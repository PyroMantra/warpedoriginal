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360" yWindow="17" windowWidth="20957" windowHeight="9720" tabRatio="947" firstSheet="3" activeTab="20"/>
  </bookViews>
  <sheets>
    <sheet name="The Informatorium" sheetId="1" r:id="rId1"/>
    <sheet name="Scaling and Dual Wield" sheetId="2" r:id="rId2"/>
    <sheet name="Roll Information" sheetId="3" r:id="rId3"/>
    <sheet name="Races" sheetId="4" r:id="rId4"/>
    <sheet name="Enemies 6.0 Creatures " sheetId="5" r:id="rId5"/>
    <sheet name="Skills" sheetId="6" r:id="rId6"/>
    <sheet name="Gear" sheetId="7" r:id="rId7"/>
    <sheet name="Items" sheetId="8" r:id="rId8"/>
    <sheet name="Gear+Items" sheetId="19" r:id="rId9"/>
    <sheet name="Zones" sheetId="9" r:id="rId10"/>
    <sheet name="Gear Set" sheetId="10" r:id="rId11"/>
    <sheet name="Crafting" sheetId="11" r:id="rId12"/>
    <sheet name="RESONANCE" sheetId="12" r:id="rId13"/>
    <sheet name="MASTERY" sheetId="13" r:id="rId14"/>
    <sheet name="LEGACY" sheetId="14" r:id="rId15"/>
    <sheet name="Legends" sheetId="15" r:id="rId16"/>
    <sheet name="Clarifications &amp; Mechanics" sheetId="16" r:id="rId17"/>
    <sheet name="Quests" sheetId="17" r:id="rId18"/>
    <sheet name="NEW SENTIENTS FRAMEWORK" sheetId="18" r:id="rId19"/>
    <sheet name="events" sheetId="20" r:id="rId20"/>
    <sheet name="Bestiary" sheetId="21" r:id="rId21"/>
  </sheets>
  <definedNames>
    <definedName name="_xlnm._FilterDatabase" localSheetId="20" hidden="1">Bestiary!$A$1:$AF$201</definedName>
    <definedName name="_xlnm._FilterDatabase" localSheetId="6" hidden="1">Gear!$A$1:$A$1876</definedName>
    <definedName name="_xlnm._FilterDatabase" localSheetId="8" hidden="1">'Gear+Items'!$A$1:$E$2212</definedName>
    <definedName name="_xlnm._FilterDatabase" localSheetId="3" hidden="1">Races!$A$1:$AD$148</definedName>
    <definedName name="_xlnm._FilterDatabase" localSheetId="0" hidden="1">'The Informatorium'!$A$87:$B$100</definedName>
  </definedNames>
  <calcPr calcId="144525"/>
</workbook>
</file>

<file path=xl/calcChain.xml><?xml version="1.0" encoding="utf-8"?>
<calcChain xmlns="http://schemas.openxmlformats.org/spreadsheetml/2006/main">
  <c r="N9" i="18"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tc={00BD00C5-00E0-4E39-8335-00C500040053}</author>
    <author>tc={005200A5-009D-4494-A8D7-000900EF004B}</author>
    <author>tc={000A0021-007D-46AA-AE84-002F007C0069}</author>
    <author>tc={00B400F5-004F-4278-9A54-0071008E00C7}</author>
    <author>tc={00F70073-00E5-4C4D-AD70-00E400F700D8}</author>
    <author>tc={00C200C0-00E2-4AC6-BB49-00A800310054}</author>
    <author>tc={003C00A4-002F-4A6C-BB36-00CE0062005B}</author>
    <author>tc={003A002A-00AB-4D6E-B16E-00EF00370049}</author>
    <author>tc={00D10097-007C-4D8F-BDA5-000E004700D7}</author>
    <author>tc={00DA002F-0096-420A-A0B3-00CC00B800F6}</author>
    <author>tc={001A00DC-007F-4585-B28D-0057005200E4}</author>
    <author>tc={004B0035-0085-4786-A7F0-00CE00E9009D}</author>
    <author>tc={005F00C6-00A2-4970-9127-00BB008C0007}</author>
    <author>tc={0047000C-002F-43FD-8172-00DD00B500F7}</author>
    <author>tc={00CE0099-007B-453A-BA4F-008A00700092}</author>
    <author>tc={0009006E-0058-4656-B2CD-0032008000E6}</author>
    <author>tc={00220034-0035-4BD8-BE18-0039002C000F}</author>
    <author>tc={00930058-001E-4546-AA35-000C00000007}</author>
    <author>tc={001F0070-00B8-4696-8152-00C5001E0097}</author>
    <author>tc={009D0052-00A1-418C-A63F-00B6009B009A}</author>
    <author>tc={008200F5-00F1-42A9-9686-0075005B0014}</author>
    <author>tc={00140005-00C7-4AB4-96CA-001C0064007B}</author>
    <author>tc={00C800DC-00DE-4B46-9CAE-004900AD00FE}</author>
    <author>tc={0009005F-00B7-44FC-A1E4-00F5006D006B}</author>
    <author>tc={004700A6-0001-4526-9D22-00B800F30099}</author>
    <author>tc={007600C3-0085-4F84-A0C6-006A00E90028}</author>
    <author>tc={001D00B4-006F-4831-9C47-000F007B0089}</author>
    <author>tc={00E000D6-0089-4963-B3C1-0056004D0059}</author>
    <author>tc={004B00A1-0004-497A-B922-00CB00CA005D}</author>
    <author>tc={00EA0081-004F-443E-8BC3-00910042003E}</author>
    <author>tc={005E006B-00ED-4C01-8BAF-002500B60027}</author>
    <author>tc={008700F4-0038-474E-AA90-006A00E10003}</author>
    <author>tc={0042008F-00CA-40EA-9542-009B001000EC}</author>
    <author>tc={00D00036-0059-4AA3-9A38-00F1001F0091}</author>
    <author>tc={00660001-005E-40D0-B0D1-00CD00C300E1}</author>
    <author>tc={00E100B9-0080-4FFA-8BEB-007E00660044}</author>
    <author>tc={005700C2-0009-433A-90F8-00D200900066}</author>
    <author>tc={00F200E6-0060-4ED2-B45E-0019008000CC}</author>
    <author>tc={00B900A1-0031-415D-B215-00D700DF0069}</author>
    <author>tc={00BB00C5-000A-4E2B-B9D6-00A200FB00A4}</author>
    <author>tc={008600F8-00E0-41C2-ADA3-00A7004500D6}</author>
    <author>tc={00B10031-008B-4658-B039-002300D300CD}</author>
    <author>tc={0053003E-0045-485A-83A3-00EA00DF004B}</author>
    <author>tc={00880041-002F-4AE8-B7AB-00E400460087}</author>
    <author>tc={00F3002E-00CC-4C57-A85E-008B000A00AB}</author>
    <author>tc={0037004F-0084-4AAE-8C8F-006F00D00054}</author>
    <author>tc={007D00C0-0023-482A-9456-00B200630016}</author>
    <author>tc={00F200F3-0057-4FBA-978B-008C002F00F6}</author>
    <author>tc={0046002E-0035-4983-9450-00C800C600ED}</author>
    <author>tc={002D0008-00B5-4F5D-BD86-0044005F006C}</author>
    <author>tc={00E100EF-0031-4154-9954-0075005200D2}</author>
    <author>tc={009F00A5-00EA-4A28-AFA4-00E1009E00F7}</author>
    <author>tc={002600BE-0083-43CD-88A4-00A4006300A5}</author>
    <author>tc={003B0023-0084-4BEC-BB4A-00EC0068001A}</author>
    <author>tc={00270093-00D9-4860-8BC7-007C00960088}</author>
    <author>tc={0037001D-0050-4BBA-9A1A-002C007B0095}</author>
    <author>tc={003B00A7-001F-49BD-A081-006800C800DB}</author>
    <author>tc={0008006A-005B-4BE3-81FF-00AD00D30068}</author>
    <author>tc={00F70073-0082-45D6-A8D8-000F0016003F}</author>
    <author>tc={00630024-00F2-49F8-B519-00B500AE00D5}</author>
    <author>tc={002E00B0-006F-4DDC-BB0F-005B00DD0095}</author>
    <author>tc={003D00A3-00A1-4ECB-91CD-00D00088005D}</author>
    <author>tc={00F70058-0093-463F-B1AB-007600BA00FF}</author>
    <author>tc={00CB0081-0036-4E6B-A2C4-00C4001F00C1}</author>
    <author>tc={00A700A3-00DC-46B1-BB75-00C7008A00DD}</author>
    <author>tc={00810097-00BE-482A-AEDF-009C00700001}</author>
    <author>tc={00D2000A-0076-4A23-AB6D-00F8006A00D0}</author>
    <author>tc={001600FE-0085-469A-8946-00A100B70060}</author>
    <author>tc={004D0047-00CF-4EC5-88DB-00F200B700BA}</author>
    <author>tc={007D000E-001A-4F8B-A15C-005B0071005D}</author>
    <author>tc={002E0051-0092-4608-9F43-00DE000E00BB}</author>
    <author>tc={00EC0061-0048-440D-92C8-0094005C00BA}</author>
    <author>tc={00C90063-00AE-449E-8E6A-0025004C0035}</author>
    <author>tc={00D900D0-001D-4073-B56C-005300740078}</author>
    <author>tc={000B00BD-0015-4BFA-ADCC-00F600D200FD}</author>
    <author>tc={00DC00FC-00C6-48E1-8B65-00DA007100C1}</author>
    <author>tc={00E10026-00D4-47C5-82A1-00C3004F0021}</author>
    <author>tc={004E0053-00B8-40FD-86E3-00120021000C}</author>
    <author>tc={00DB0072-004C-4317-AECF-00B800C30063}</author>
    <author>tc={004600C4-0051-4751-A2D2-00BE00B0007D}</author>
    <author>tc={00CE005C-00EB-4621-9B9A-00BE008C00A4}</author>
    <author>tc={00B800A6-0020-4BAF-B099-0067009B0095}</author>
    <author>tc={00CE00DC-005C-4C55-B687-00FE00470004}</author>
    <author>tc={00DB0092-00F0-4926-ADDE-00D8009E0015}</author>
    <author>tc={0030002C-008E-4464-815C-00E000D100E4}</author>
    <author>tc={00220062-00CF-4608-9482-001700B600FD}</author>
    <author>tc={008A00C3-00AE-403F-A21B-000F004700E5}</author>
    <author>tc={0043002F-000A-43E7-AAB0-006F00220090}</author>
    <author>tc={00B0005C-0027-4515-B30D-0073000700E9}</author>
    <author>tc={00330052-002D-4F92-92C7-0069005C004D}</author>
    <author>tc={00B700EF-00A8-4B5A-92B5-003400AC0010}</author>
    <author>tc={00270064-0006-411C-9B70-00CC002300F6}</author>
    <author>tc={00F500B5-001D-4EBD-B3D8-00BD001400BB}</author>
    <author>tc={0094003D-00A3-4BD5-8F8D-00A40074008C}</author>
    <author>tc={00FE0028-00B3-4E30-AD7B-00B5005C008C}</author>
    <author>tc={002F00F7-004E-4E4E-8647-0038008B0050}</author>
    <author>tc={00A800FF-00D8-4BE3-8AE2-000700E20063}</author>
    <author>tc={00ED00EA-0097-4258-B2FF-001100E600C2}</author>
    <author>tc={00070035-0038-4D48-9B94-00DA00410061}</author>
    <author>tc={000200B0-0049-4D04-B55D-00F9004100A5}</author>
    <author>tc={00700002-00C0-4B0F-8356-0098005700E8}</author>
    <author>tc={00E50022-0072-4EA3-A943-00F8009A00F8}</author>
    <author>tc={007900DF-009D-412A-8A2B-00EB00420098}</author>
    <author>tc={00490059-005F-42C6-B6D9-0057002D00FD}</author>
    <author>tc={00F60085-003D-4ECA-AC5A-00BA005D0052}</author>
    <author>tc={002400AD-009D-403E-A282-00A100770035}</author>
    <author>tc={00FC00EE-004C-465F-AA66-002F00460037}</author>
    <author>tc={00AB00B8-00F8-491C-9CE2-009C00370060}</author>
    <author>tc={00E10052-00B7-4D9A-9916-00B300DB00A9}</author>
    <author>tc={00530053-007E-4AB2-92E2-005300670081}</author>
    <author>tc={00D8005A-0024-4ADF-986A-007300FC00D3}</author>
    <author>tc={006200BC-0053-41A6-B344-00F700450069}</author>
    <author>tc={008900E5-0042-4A9F-9E58-004D00DE0041}</author>
    <author>tc={0020000F-0007-4C42-BDAB-00F6001E0067}</author>
    <author>tc={00810048-001D-473B-9C84-0003007D00DF}</author>
    <author>tc={000700EF-00E6-4AEA-9BEA-009D0019001F}</author>
    <author>tc={0095003C-0023-49E3-B130-007E00340090}</author>
    <author>tc={000E00B5-007D-4E6E-B465-007500B40011}</author>
    <author>tc={00DB00BA-0000-4F08-BEE0-00E700A20074}</author>
    <author>tc={006800FA-009B-42E1-99C0-004900AB00FF}</author>
    <author>tc={00A700FB-00A1-465D-BC5D-00A600A200ED}</author>
    <author>tc={008B0096-004B-4F93-9AE0-001F00FC00EB}</author>
    <author>tc={008E0079-0034-42D1-84AC-00660053009B}</author>
    <author>tc={002C00A4-00DB-4715-92EB-004200E30014}</author>
    <author>tc={006600EC-0025-4A95-A70E-000F0010005F}</author>
    <author>tc={0040007A-00D8-4738-B945-003B00DE00FB}</author>
    <author>tc={0043004D-0021-471B-B709-00C90078005B}</author>
    <author>tc={00FC00B4-000F-490E-B195-00D200AA0063}</author>
    <author>tc={007B00D5-0015-4514-9C65-00FF006600EF}</author>
    <author>tc={00D40029-008C-40E6-9BBD-00100043004B}</author>
    <author>tc={00A200FD-002F-4470-A324-005900F900BC}</author>
    <author>tc={007F00F3-009D-4E52-A3E6-003F00E600F6}</author>
    <author>tc={008D007F-00DB-4861-8B8E-00BF008C00A3}</author>
    <author>tc={00F0006A-00CF-4C24-9271-00E7001100E3}</author>
    <author>tc={00520053-00C6-4757-9A25-005B00BE00C6}</author>
    <author>tc={005E0029-00EF-406B-9C04-00D2008100D4}</author>
    <author>tc={004500B2-00DD-4B04-A7AE-0097006B0085}</author>
    <author>tc={003C0007-0009-4C7A-B187-0008003200C9}</author>
    <author>tc={00FC0015-004E-4059-B132-001A00AF0082}</author>
    <author>tc={0040001D-006B-4CE1-901B-00D300610005}</author>
    <author>tc={004600D2-003A-4C6E-877A-00AE00EF00F1}</author>
    <author>tc={00020070-0002-4E8F-8D78-0048000900A5}</author>
    <author>tc={00DC0000-00D1-4ACB-A810-00EB00B6002D}</author>
    <author>tc={00B00063-0086-4F00-98CA-003E00940082}</author>
    <author>tc={00DE004F-0063-4C44-8576-007D0066008C}</author>
    <author>tc={00CC00CD-0092-4B5E-86A5-00F6009000A9}</author>
    <author>tc={006200B9-009D-414B-8632-008D009B002D}</author>
    <author>tc={008D0044-00F4-43BA-ADB3-003900B700DD}</author>
    <author>tc={00BC0075-006A-4D91-A508-008400340073}</author>
    <author>tc={006600A4-00B8-4366-A0D6-000F0008001D}</author>
    <author>tc={008200FE-00F9-4806-8100-000B004D00FE}</author>
    <author>tc={000D0004-002C-40F1-BF33-00C100C000AB}</author>
    <author>tc={0088000C-00B6-4ADB-AD5C-000B004300B0}</author>
    <author>tc={007700BE-00DD-4E2D-842F-00D9005B0008}</author>
    <author>tc={00E40098-004E-4383-81A3-00AD00B300A8}</author>
    <author>tc={00D9006B-0098-482C-9771-001F009700F5}</author>
    <author>tc={00E900DC-00AF-42AD-A998-005A00790049}</author>
    <author>tc={00A800E4-006A-473D-9CDC-009D00700073}</author>
    <author>tc={002F0050-0005-4C4A-B543-00BB00B40034}</author>
    <author>tc={00990041-009F-4EF3-8496-009B002400C3}</author>
    <author>tc={008800AC-00BD-478C-A8E5-00B800C00049}</author>
    <author>tc={00A100DC-00C5-4E1E-9B04-00A2002F0065}</author>
    <author>tc={000B00EC-0084-4EE4-8D08-007C003A00A9}</author>
    <author>tc={00F4004D-00A9-4ECE-98CB-007C004F001B}</author>
    <author>tc={000D0046-0048-4002-BE6C-006F00FF00B5}</author>
    <author>tc={00890064-008A-476F-9C63-0093004B00FE}</author>
    <author>tc={001900F2-007F-47AE-819E-003A0071006F}</author>
    <author>tc={001E002A-0067-43E2-92FE-0091001F008E}</author>
    <author>tc={006600F3-0075-49D1-8CC1-0003000400F6}</author>
    <author>tc={00C80085-00C2-4CF1-93EA-000E007800B6}</author>
    <author>tc={009B00EC-00C9-4AEF-94BF-00C700F300D0}</author>
    <author>tc={003C008B-00EA-402B-B14D-0054009400B8}</author>
    <author>tc={008C0097-00E7-4C39-BFDF-0070009B00DB}</author>
    <author>tc={006F0098-006A-4662-998B-00EB00EF0015}</author>
    <author>tc={004E00EB-007D-4222-B8A5-00280099003A}</author>
    <author>tc={00950043-0010-43A8-A74B-009D0047008E}</author>
    <author>tc={00360023-0077-4458-BDD8-005600CA004D}</author>
    <author>tc={00250066-00E9-474C-B170-007200990024}</author>
    <author>tc={00DA00B7-0002-4DCF-B27A-00A4004B00B5}</author>
    <author>tc={00D20019-0041-4BE1-9B1E-00B400200017}</author>
    <author>tc={000E0061-008B-4CB6-ADCF-00FB00790054}</author>
    <author>tc={009300B7-00A7-4736-A3BF-00EB005C00EA}</author>
    <author>tc={00E80018-00C0-427E-8B61-008400F1004A}</author>
    <author>tc={009B00D7-00E6-4A5E-B6F2-00E00008005C}</author>
    <author>tc={00BC0017-008D-43D9-BAF0-00A8009000F8}</author>
    <author>tc={00600052-000C-41A9-BC9F-009D0021006F}</author>
    <author>tc={002000D6-001F-48B8-9084-001100740000}</author>
    <author>tc={00970043-0065-44A8-A8EB-006A00E50063}</author>
    <author>tc={00E8000E-00E3-4C4B-9463-00A500F80042}</author>
    <author>tc={00350001-0080-462C-8C3B-00D100D100BB}</author>
    <author>tc={002900B8-0087-4D04-930E-009000BA00E0}</author>
    <author>tc={00CB0047-0095-46C0-9BF2-00B8002200DD}</author>
    <author>tc={005700DF-002F-4F3A-BCD6-00AF005600E6}</author>
    <author>tc={009600B6-0035-4F82-A442-00DF008E00CA}</author>
    <author>tc={0050000C-0012-45F4-A8ED-008C0032003A}</author>
    <author>tc={00AC0067-0012-4E69-B573-00DE001700C3}</author>
    <author>tc={009D0012-00B0-49C3-B06D-005800D5007E}</author>
    <author>tc={00F50017-0006-4F7A-BD15-005400D30055}</author>
    <author>tc={009600A5-004F-442C-A917-0031004E00C0}</author>
    <author>tc={007C00E2-001A-47E4-B6B0-001A00050057}</author>
    <author>tc={00F900E9-00A4-4024-B867-00E000B4004C}</author>
    <author>tc={00920063-0034-4253-A7F0-007000E1009F}</author>
    <author>tc={005100CC-0075-440E-A443-005000340040}</author>
    <author>tc={004100F6-00F7-4FA4-A016-001500FD0096}</author>
    <author>tc={00F30086-00AE-489A-A06C-00EB00AC00FB}</author>
    <author>tc={00FC0075-0071-4028-8B07-00110056003E}</author>
    <author>tc={00750090-007D-49BA-84EB-005B00370020}</author>
    <author>tc={007A00F9-00EF-4F70-A0E4-00AE002B00D8}</author>
    <author>tc={00AB00A4-004D-469F-9E02-008700330090}</author>
    <author>tc={00AE00DA-00FE-444E-B617-007400F600E5}</author>
    <author>tc={00AA00B9-00CD-41B9-BC38-0099003E006A}</author>
    <author>tc={00CE00B2-006A-40D1-8B42-002D00770026}</author>
    <author>tc={00C8000A-00E9-40BA-8452-00FA00330011}</author>
    <author>tc={004F005A-0041-424B-9D49-00E100A8009B}</author>
    <author>tc={009A000F-00CF-4C92-BF52-005300300026}</author>
    <author>tc={00E600EA-00D0-414E-B554-00D900C90087}</author>
    <author>tc={00F30081-00EA-4173-AA81-008D00930088}</author>
    <author>tc={008700BC-00A4-41A9-B8C8-009F00540069}</author>
    <author>tc={00EB005A-00E9-4ECD-8760-00D100F7005A}</author>
    <author>tc={00690069-008A-426F-B946-00FB00090003}</author>
    <author>tc={00D400D1-00B9-4752-ABB7-0088003B00FC}</author>
    <author>tc={000000CA-008E-4DEF-84B7-00F700E20055}</author>
    <author>tc={00450061-0085-40F3-918B-005B007A0010}</author>
    <author>tc={000000F7-00FE-49BC-B53F-00DB001F00A2}</author>
    <author>tc={001200C2-00BC-44E0-A721-003300120076}</author>
    <author>tc={005F004A-0067-46A6-8141-0031003B006A}</author>
    <author>tc={005100ED-000A-4F8B-9EFA-003900A1004F}</author>
    <author>tc={0053005C-0095-40BE-8B66-00C100F3006D}</author>
    <author>tc={0056001B-005C-40A4-BFE0-00D5000200FD}</author>
    <author>tc={004F0005-0096-4F55-B290-0095004500AD}</author>
    <author>tc={00B600C6-00E0-4B1D-B4D7-00B200540020}</author>
    <author>tc={00CA00CA-00CD-47FE-A2DF-00BE007600A4}</author>
    <author>tc={008E0029-0014-40EF-AA0C-002200CB0052}</author>
    <author>tc={007C004C-009B-42BC-9811-00FA001000E2}</author>
    <author>tc={002E007F-001E-4F50-A275-009900FE0095}</author>
    <author>tc={00400063-003D-4F4D-BC81-006600F40021}</author>
    <author>tc={00D2006D-00FB-4686-95C7-005C00730031}</author>
    <author>tc={000A0067-0040-4883-A896-008B00A000E3}</author>
    <author>tc={009000EE-0057-4D01-9887-009500C50049}</author>
    <author>tc={001100F3-0071-4470-A0F3-003300D100E9}</author>
    <author>tc={00BC003A-0020-4C73-937A-00AE00D3003D}</author>
    <author>tc={00C800DE-00DC-4464-A67E-006600830034}</author>
    <author>tc={00EC00CA-0082-41CD-93A5-004E00B900AF}</author>
    <author>tc={00E50041-00CF-44EF-865A-006E00F30004}</author>
    <author>tc={00F40058-00E9-4D3F-9A4D-005F00D3007F}</author>
    <author>tc={005D0077-00D7-4DE4-A9EF-00D3009F00DC}</author>
    <author>tc={00E900DB-0005-423B-ACF8-000B00C000CE}</author>
    <author>tc={00650017-00C1-4253-A6E2-005E0044007B}</author>
    <author>tc={0021008E-00C0-4771-A56A-00B9005C00FD}</author>
    <author>tc={007200FB-009A-408D-8F14-001900DE00E3}</author>
    <author>tc={003000E9-0049-46D3-81A7-001300C300AE}</author>
    <author>tc={0038003B-00AE-4223-80AD-004D00AA0055}</author>
    <author>tc={00EB00A5-000C-4D91-B3F6-0002005400C1}</author>
    <author>tc={00AE0031-008B-4BE6-B614-008200260052}</author>
    <author>tc={006800BC-00B6-4C1D-B2DB-00AF00AB0058}</author>
    <author>tc={00070076-00FE-4DE7-95EA-0081000F009A}</author>
    <author>tc={00FC0066-0035-4628-891C-008300A500D3}</author>
    <author>tc={00BA00E3-0013-4377-8314-005400610030}</author>
    <author>tc={003A001B-00B5-42A2-A5BC-0027005E00D3}</author>
    <author>tc={007A0090-0018-4328-ACBB-0043005A0053}</author>
    <author>tc={00F90096-00A3-4BBD-AC01-008400350039}</author>
    <author>tc={003D00D7-009B-4EC9-9E41-00D800760085}</author>
    <author>tc={004E00D0-00AC-4EE9-8372-00C300C60027}</author>
    <author>tc={00380051-0066-436C-8F4B-00DB00730087}</author>
    <author>tc={008D0000-00BD-4CD8-A7CF-004D00EE00FD}</author>
    <author>tc={004B00A8-0046-42CD-B3BA-001600CE00B5}</author>
    <author>tc={00DA0057-0026-4EDE-B7FA-00860051007C}</author>
    <author>tc={003700E7-003B-4F23-B449-00AD00AE0080}</author>
    <author>tc={0014009E-009B-4FC1-AAC7-0056007700BD}</author>
    <author>tc={00250015-003B-4E90-9256-005F00E100A0}</author>
    <author>tc={00A200BA-0078-4F9C-B51B-003D0045008C}</author>
    <author>tc={00C8004C-0092-41A5-9F05-007600A10056}</author>
    <author>tc={00580062-002D-429F-9C3E-0026001800C9}</author>
    <author>tc={001600E5-00CF-4433-87BB-007B006E0023}</author>
    <author>tc={004C0091-0064-403C-A9B4-0038008D0096}</author>
    <author>tc={00440078-00BD-4D4B-A61F-0035000300C7}</author>
    <author>tc={00D2007F-000C-4324-BB3F-00DE00810052}</author>
    <author>tc={00C800DF-0069-4F3E-9016-00B0005D0045}</author>
    <author>tc={007F00A6-0051-4947-92E8-00BF001100A0}</author>
    <author>tc={00540033-0022-479D-A7C1-003300BA00DC}</author>
    <author>tc={002900BD-00A0-43D6-A6F1-00C5009A0061}</author>
    <author>tc={00E000CD-0073-4F3A-AB88-00470096000E}</author>
    <author>tc={00E400BF-00A7-4744-B1E0-001A00B900B5}</author>
    <author>tc={00A00045-002A-4A24-8610-00B500AF009C}</author>
    <author>tc={000500E4-0051-4B40-827A-0025004B00FD}</author>
    <author>tc={00090075-0054-47AE-9E3F-008700010086}</author>
    <author>tc={002200A5-00CD-4ABB-8BC4-0090006D00DA}</author>
    <author>tc={00CF0075-003D-4267-A737-000600CA000F}</author>
    <author>tc={001000BB-0088-43E7-B504-0044007C002E}</author>
    <author>tc={00E9009F-0074-4022-B060-00BA008700B6}</author>
    <author>tc={00E20020-002D-4834-A9BE-006A00150019}</author>
    <author>tc={008A008C-00C4-41EF-B55C-006D00F4003D}</author>
    <author>tc={00EF000B-00AB-4C55-A9B8-006C001500FC}</author>
    <author>tc={00280015-003B-441E-AE12-0026000E00A5}</author>
    <author>tc={00CC00F7-002E-4838-98F4-00F100990079}</author>
    <author>tc={00780053-0025-4E42-9EA8-00310013002F}</author>
    <author>tc={004D009C-0024-4711-8FBC-00E300FE0070}</author>
    <author>tc={006F009E-0011-432B-A780-0015007F005B}</author>
    <author>tc={00BC00DD-00B3-45FF-B3B7-002000D500BD}</author>
    <author>tc={008F000B-0019-476F-8F52-00F300D4007C}</author>
    <author>tc={002000A1-00B4-4194-8054-00E000600068}</author>
    <author>tc={00B40007-008A-4496-A22D-009700C0003E}</author>
    <author>tc={0012007B-0007-48D2-8D93-005A005E00B1}</author>
    <author>tc={0008008E-007C-4357-8703-0081004600E8}</author>
    <author>tc={00E600A4-009B-4A6A-BD3A-00F600AA00FB}</author>
    <author>tc={00010078-00FD-4A04-97B9-00BA0060007A}</author>
    <author>tc={00320096-009D-484F-954C-005F006200E7}</author>
    <author>tc={005500DF-005A-4A2C-BA78-008C004D0037}</author>
    <author>tc={00CA0009-0078-47B0-900F-007D00E30054}</author>
    <author>tc={00F7001C-001F-40A2-B1A3-0080008A009E}</author>
    <author>tc={00C300F6-00DB-40FE-AC08-007800CA0065}</author>
    <author>tc={001D00C7-001B-4575-ABDC-005E00D30071}</author>
    <author>tc={00730096-00B2-4FEB-BBFD-00BB00F5007B}</author>
    <author>tc={003C00BA-0059-4BF8-940D-002F002600B1}</author>
    <author>tc={006E0062-002A-4368-B6F1-00ED007F0035}</author>
    <author>tc={0008000E-0026-42BB-A157-003D00BF009F}</author>
    <author>tc={008A0014-00B1-4DA5-882B-00F900C60076}</author>
    <author>tc={0078001C-0011-438F-A722-0010001B00BB}</author>
    <author>tc={00DB00A3-00F3-4414-9F30-00060068005F}</author>
    <author>tc={00C0007C-00E5-4385-A512-007200F900C7}</author>
    <author>tc={00B6004A-00DD-4F65-BFC3-007E0040004F}</author>
    <author>tc={00540008-00B0-42EE-9709-006B005300C5}</author>
    <author>tc={006F0026-0028-4446-A333-009A00A10036}</author>
    <author>tc={0039000E-00F7-4C94-AD4D-003A00970039}</author>
    <author>tc={00BA008A-006B-4847-A6B9-00CF005200D7}</author>
    <author>tc={00AC0088-0060-4FEB-A824-004C00AC00F0}</author>
    <author>tc={00510070-0016-4D9F-8D50-000C0052005E}</author>
    <author>tc={00EB0048-00F5-42C7-BE2A-004B001D004F}</author>
    <author>tc={0072004D-0046-4766-A0FF-0049006B009C}</author>
    <author>tc={00BE000D-0005-47A7-B293-0097003500C6}</author>
  </authors>
  <commentList>
    <comment ref="A2" authorId="0">
      <text/>
    </comment>
    <comment ref="B2" authorId="1">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2" authorId="2">
      <text>
        <r>
          <rPr>
            <b/>
            <sz val="9"/>
            <rFont val="Tahoma"/>
          </rPr>
          <t>Gabor Daniel:</t>
        </r>
        <r>
          <rPr>
            <sz val="9"/>
            <rFont val="Tahoma"/>
          </rPr>
          <t xml:space="preserve">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3">
      <text/>
    </comment>
    <comment ref="B3" authorId="4">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3" authorId="5">
      <text>
        <r>
          <rPr>
            <b/>
            <sz val="9"/>
            <rFont val="Tahoma"/>
          </rPr>
          <t>Gabor Daniel:</t>
        </r>
        <r>
          <rPr>
            <sz val="9"/>
            <rFont val="Tahoma"/>
          </rPr>
          <t xml:space="preserve">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Q3" authorId="6">
      <text/>
    </comment>
    <comment ref="A4" authorId="7">
      <text/>
    </comment>
    <comment ref="B4" authorId="8">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4" authorId="9">
      <text>
        <r>
          <rPr>
            <b/>
            <sz val="9"/>
            <rFont val="Tahoma"/>
          </rPr>
          <t>Gabor Daniel:</t>
        </r>
        <r>
          <rPr>
            <sz val="9"/>
            <rFont val="Tahoma"/>
          </rPr>
          <t xml:space="preserve">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Q4" authorId="10">
      <text/>
    </comment>
    <comment ref="A5" authorId="11">
      <text/>
    </comment>
    <comment ref="B5" authorId="12">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5" authorId="13">
      <text>
        <r>
          <rPr>
            <b/>
            <sz val="9"/>
            <rFont val="Tahoma"/>
          </rPr>
          <t>Gabor Daniel:</t>
        </r>
        <r>
          <rPr>
            <sz val="9"/>
            <rFont val="Tahoma"/>
          </rPr>
          <t xml:space="preserve">
The Lurkers are a solidary Reptilion strain. It is believed they were thrown into the depts of the Planes after the Troglodytes banished them. They don't often resurface, but when they do, it's a bad omen.
</t>
        </r>
      </text>
    </comment>
    <comment ref="AQ5" authorId="14">
      <text/>
    </comment>
    <comment ref="A6" authorId="15">
      <text/>
    </comment>
    <comment ref="B6" authorId="16">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6" authorId="17">
      <text>
        <r>
          <rPr>
            <b/>
            <sz val="9"/>
            <rFont val="Tahoma"/>
          </rPr>
          <t>Gabor Daniel:</t>
        </r>
        <r>
          <rPr>
            <sz val="9"/>
            <rFont val="Tahoma"/>
          </rPr>
          <t xml:space="preserve">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Q6" authorId="18">
      <text/>
    </comment>
    <comment ref="A7" authorId="19">
      <text/>
    </comment>
    <comment ref="B7" authorId="20">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7" authorId="21">
      <text>
        <r>
          <rPr>
            <b/>
            <sz val="9"/>
            <rFont val="Tahoma"/>
          </rPr>
          <t>Gabor Daniel:</t>
        </r>
        <r>
          <rPr>
            <sz val="9"/>
            <rFont val="Tahoma"/>
          </rPr>
          <t xml:space="preserve">
Reptilion cavedwellers found in the Midlands. Unexpectedly fierce, the Troglodytes live in tribes and outcast themselves from the general populus of the Planes.
</t>
        </r>
      </text>
    </comment>
    <comment ref="AQ7" authorId="22">
      <text/>
    </comment>
    <comment ref="A8" authorId="23">
      <text/>
    </comment>
    <comment ref="B8" authorId="24">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25">
      <text>
        <r>
          <rPr>
            <b/>
            <sz val="9"/>
            <rFont val="Tahoma"/>
          </rPr>
          <t>Gabor Daniel:</t>
        </r>
        <r>
          <rPr>
            <sz val="9"/>
            <rFont val="Tahoma"/>
          </rPr>
          <t xml:space="preserve">
The result of the interspecies merging between the Felines and Humans. They are masters at hunting their prey.
</t>
        </r>
      </text>
    </comment>
    <comment ref="AQ8" authorId="26">
      <text/>
    </comment>
    <comment ref="A9" authorId="27">
      <text/>
    </comment>
    <comment ref="B9" authorId="28">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29">
      <text>
        <r>
          <rPr>
            <b/>
            <sz val="9"/>
            <rFont val="Tahoma"/>
          </rPr>
          <t>Gabor Daniel:</t>
        </r>
        <r>
          <rPr>
            <sz val="9"/>
            <rFont val="Tahoma"/>
          </rPr>
          <t xml:space="preserve">
The result of the interspecies merging between the Foxes and Humans. They master the art of mana sensing and are able to easily find their tracks in forests.
</t>
        </r>
      </text>
    </comment>
    <comment ref="AQ9" authorId="30">
      <text/>
    </comment>
    <comment ref="A10" authorId="31">
      <text/>
    </comment>
    <comment ref="B10" authorId="32">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33">
      <text>
        <r>
          <rPr>
            <b/>
            <sz val="9"/>
            <rFont val="Tahoma"/>
          </rPr>
          <t>Gabor Daniel:</t>
        </r>
        <r>
          <rPr>
            <sz val="9"/>
            <rFont val="Tahoma"/>
          </rPr>
          <t xml:space="preserve">
The result of the interspecies merging between the Wolves and Humans. They are deadly warriors engulfed in layers of thick fur and even deadlier teeth.
</t>
        </r>
      </text>
    </comment>
    <comment ref="AQ10" authorId="34">
      <text/>
    </comment>
    <comment ref="A11" authorId="35">
      <text/>
    </comment>
    <comment ref="B11" authorId="36">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37">
      <text>
        <r>
          <rPr>
            <b/>
            <sz val="9"/>
            <rFont val="Tahoma"/>
          </rPr>
          <t>Gabor Daniel:</t>
        </r>
        <r>
          <rPr>
            <sz val="9"/>
            <rFont val="Tahoma"/>
          </rPr>
          <t xml:space="preserve">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Q11" authorId="38">
      <text/>
    </comment>
    <comment ref="A12" authorId="39">
      <text/>
    </comment>
    <comment ref="C12" authorId="40">
      <text>
        <r>
          <rPr>
            <b/>
            <sz val="9"/>
            <rFont val="Tahoma"/>
          </rPr>
          <t>Gabor Daniel:</t>
        </r>
        <r>
          <rPr>
            <sz val="9"/>
            <rFont val="Tahoma"/>
          </rPr>
          <t xml:space="preserve">
The Strix is an Owl-type Avian which hatches only from an Owls Egg which is incubated by a Harpy.
Their eyes allow them to see what most can not, additionaly they have a higher affinity to magic. 
</t>
        </r>
      </text>
    </comment>
    <comment ref="AQ12" authorId="41">
      <text/>
    </comment>
    <comment ref="A13" authorId="42">
      <text/>
    </comment>
    <comment ref="B13" authorId="43">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44">
      <text>
        <r>
          <rPr>
            <b/>
            <sz val="9"/>
            <rFont val="Tahoma"/>
          </rPr>
          <t>Gabor Daniel:</t>
        </r>
        <r>
          <rPr>
            <sz val="9"/>
            <rFont val="Tahoma"/>
          </rPr>
          <t xml:space="preserve">
The Ravian is a Raven-type Avian which hatches only from a Ravens Egg which is incubated by a Harpy. They are fearless hunters with incredible reflexes. 
</t>
        </r>
      </text>
    </comment>
    <comment ref="AQ13" authorId="45">
      <text/>
    </comment>
    <comment ref="A14" authorId="46">
      <text/>
    </comment>
    <comment ref="B14" authorId="47">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48">
      <text>
        <r>
          <rPr>
            <b/>
            <sz val="9"/>
            <rFont val="Tahoma"/>
          </rPr>
          <t>Gabor Daniel:</t>
        </r>
        <r>
          <rPr>
            <sz val="9"/>
            <rFont val="Tahoma"/>
          </rPr>
          <t xml:space="preserve">
Horns of fury, thichk fur and raging eyes. This absolute unit not short of a monster will tear through the toughest enemies without much care.
</t>
        </r>
      </text>
    </comment>
    <comment ref="AQ14" authorId="49">
      <text/>
    </comment>
    <comment ref="A15" authorId="50">
      <text/>
    </comment>
    <comment ref="B15" authorId="51">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52">
      <text>
        <r>
          <rPr>
            <b/>
            <sz val="9"/>
            <rFont val="Tahoma"/>
          </rPr>
          <t>Gabor Daniel:</t>
        </r>
        <r>
          <rPr>
            <sz val="9"/>
            <rFont val="Tahoma"/>
          </rPr>
          <t xml:space="preserve">
The true Half-orcs that originally came from the Old-World were bread with Humans, trolls and even Dwarves. If there is something that they all have in common it is their Solid build.
</t>
        </r>
      </text>
    </comment>
    <comment ref="AQ15" authorId="53">
      <text/>
    </comment>
    <comment ref="A16" authorId="54">
      <text/>
    </comment>
    <comment ref="B16" authorId="55">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56">
      <text>
        <r>
          <rPr>
            <b/>
            <sz val="9"/>
            <rFont val="Tahoma"/>
          </rPr>
          <t>Gabor Daniel:</t>
        </r>
        <r>
          <rPr>
            <sz val="9"/>
            <rFont val="Tahoma"/>
          </rPr>
          <t xml:space="preserve">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Q16" authorId="57">
      <text/>
    </comment>
    <comment ref="A17" authorId="58">
      <text/>
    </comment>
    <comment ref="B17" authorId="59">
      <text>
        <r>
          <rPr>
            <b/>
            <sz val="9"/>
            <rFont val="Tahoma"/>
          </rPr>
          <t>Gabor Daniel:</t>
        </r>
        <r>
          <rPr>
            <sz val="9"/>
            <rFont val="Tahoma"/>
          </rPr>
          <t xml:space="preserve">
ORIGIN: Old-Worlder
</t>
        </r>
      </text>
    </comment>
    <comment ref="C17" authorId="60">
      <text/>
    </comment>
    <comment ref="AQ17" authorId="61">
      <text/>
    </comment>
    <comment ref="A18" authorId="62">
      <text/>
    </comment>
    <comment ref="B18" authorId="63">
      <text>
        <r>
          <rPr>
            <b/>
            <sz val="9"/>
            <rFont val="Tahoma"/>
          </rPr>
          <t>Gabor Daniel:</t>
        </r>
        <r>
          <rPr>
            <sz val="9"/>
            <rFont val="Tahoma"/>
          </rPr>
          <t xml:space="preserve">
ORIGIN: Old-Worlder
</t>
        </r>
      </text>
    </comment>
    <comment ref="C18" authorId="64">
      <text/>
    </comment>
    <comment ref="AQ18" authorId="65">
      <text/>
    </comment>
    <comment ref="A19" authorId="66">
      <text/>
    </comment>
    <comment ref="B19" authorId="67">
      <text>
        <r>
          <rPr>
            <b/>
            <sz val="9"/>
            <rFont val="Tahoma"/>
          </rPr>
          <t>Gabor Daniel:</t>
        </r>
        <r>
          <rPr>
            <sz val="9"/>
            <rFont val="Tahoma"/>
          </rPr>
          <t xml:space="preserve">
ORIGIN: Old-Worlder
</t>
        </r>
      </text>
    </comment>
    <comment ref="C19" authorId="68">
      <text/>
    </comment>
    <comment ref="AQ19" authorId="69">
      <text/>
    </comment>
    <comment ref="A20" authorId="70">
      <text/>
    </comment>
    <comment ref="B20" authorId="71">
      <text>
        <r>
          <rPr>
            <b/>
            <sz val="9"/>
            <rFont val="Tahoma"/>
          </rPr>
          <t>Gabor Daniel:</t>
        </r>
        <r>
          <rPr>
            <sz val="9"/>
            <rFont val="Tahoma"/>
          </rPr>
          <t xml:space="preserve">
ORIGIN: Old-Worlder
</t>
        </r>
      </text>
    </comment>
    <comment ref="C20" authorId="72">
      <text/>
    </comment>
    <comment ref="AQ20" authorId="73">
      <text/>
    </comment>
    <comment ref="A21" authorId="74">
      <text/>
    </comment>
    <comment ref="B21" authorId="75">
      <text>
        <r>
          <rPr>
            <b/>
            <sz val="9"/>
            <rFont val="Tahoma"/>
          </rPr>
          <t>Gabor Daniel:</t>
        </r>
        <r>
          <rPr>
            <sz val="9"/>
            <rFont val="Tahoma"/>
          </rPr>
          <t xml:space="preserve">
ORIGIN: Old-Worlder
</t>
        </r>
      </text>
    </comment>
    <comment ref="C21" authorId="76">
      <text/>
    </comment>
    <comment ref="AQ21" authorId="77">
      <text/>
    </comment>
    <comment ref="A22" authorId="78">
      <text/>
    </comment>
    <comment ref="B22" authorId="79">
      <text>
        <r>
          <rPr>
            <b/>
            <sz val="9"/>
            <rFont val="Tahoma"/>
          </rPr>
          <t>Gabor Daniel:</t>
        </r>
        <r>
          <rPr>
            <sz val="9"/>
            <rFont val="Tahoma"/>
          </rPr>
          <t xml:space="preserve">
ORIGIN: Old-Worlder
</t>
        </r>
      </text>
    </comment>
    <comment ref="C22" authorId="80">
      <text/>
    </comment>
    <comment ref="AQ22" authorId="81">
      <text/>
    </comment>
    <comment ref="A23" authorId="82">
      <text/>
    </comment>
    <comment ref="B23" authorId="83">
      <text>
        <r>
          <rPr>
            <b/>
            <sz val="9"/>
            <rFont val="Tahoma"/>
          </rPr>
          <t>Gabor Daniel:</t>
        </r>
        <r>
          <rPr>
            <sz val="9"/>
            <rFont val="Tahoma"/>
          </rPr>
          <t xml:space="preserve">
ORIGIN: Old-Worlder
</t>
        </r>
      </text>
    </comment>
    <comment ref="C23" authorId="84">
      <text/>
    </comment>
    <comment ref="AQ23" authorId="85">
      <text/>
    </comment>
    <comment ref="A24" authorId="86">
      <text/>
    </comment>
    <comment ref="B24" authorId="87">
      <text>
        <r>
          <rPr>
            <b/>
            <sz val="9"/>
            <rFont val="Tahoma"/>
          </rPr>
          <t>Gabor Daniel:</t>
        </r>
        <r>
          <rPr>
            <sz val="9"/>
            <rFont val="Tahoma"/>
          </rPr>
          <t xml:space="preserve">
ORIGIN: Old-Worlder
</t>
        </r>
      </text>
    </comment>
    <comment ref="C24" authorId="88">
      <text/>
    </comment>
    <comment ref="AQ24" authorId="89">
      <text/>
    </comment>
    <comment ref="A25" authorId="90">
      <text/>
    </comment>
    <comment ref="C25" authorId="91">
      <text/>
    </comment>
    <comment ref="AQ25" authorId="92">
      <text/>
    </comment>
    <comment ref="A26" authorId="93">
      <text/>
    </comment>
    <comment ref="B26" authorId="94">
      <text>
        <r>
          <rPr>
            <b/>
            <sz val="9"/>
            <rFont val="Tahoma"/>
          </rPr>
          <t>Gabor Daniel:</t>
        </r>
        <r>
          <rPr>
            <sz val="9"/>
            <rFont val="Tahoma"/>
          </rPr>
          <t xml:space="preserve">
ORIGIN: Planian
</t>
        </r>
      </text>
    </comment>
    <comment ref="C26" authorId="95">
      <text/>
    </comment>
    <comment ref="AQ26" authorId="96">
      <text/>
    </comment>
    <comment ref="A27" authorId="97">
      <text/>
    </comment>
    <comment ref="C27" authorId="98">
      <text/>
    </comment>
    <comment ref="AQ27" authorId="99">
      <text/>
    </comment>
    <comment ref="A28" authorId="100">
      <text/>
    </comment>
    <comment ref="C28" authorId="101">
      <text/>
    </comment>
    <comment ref="AQ28" authorId="102">
      <text/>
    </comment>
    <comment ref="A29" authorId="103">
      <text/>
    </comment>
    <comment ref="B29" authorId="104">
      <text>
        <r>
          <rPr>
            <b/>
            <sz val="9"/>
            <rFont val="Tahoma"/>
          </rPr>
          <t>Gabor Daniel:</t>
        </r>
        <r>
          <rPr>
            <sz val="9"/>
            <rFont val="Tahoma"/>
          </rPr>
          <t xml:space="preserve">
ORIGIN: Planian
</t>
        </r>
      </text>
    </comment>
    <comment ref="C29" authorId="105">
      <text/>
    </comment>
    <comment ref="AQ29" authorId="106">
      <text/>
    </comment>
    <comment ref="A30" authorId="107">
      <text/>
    </comment>
    <comment ref="C30" authorId="108">
      <text/>
    </comment>
    <comment ref="AQ30" authorId="109">
      <text/>
    </comment>
    <comment ref="A31" authorId="110">
      <text/>
    </comment>
    <comment ref="C31" authorId="111">
      <text/>
    </comment>
    <comment ref="AQ31" authorId="112">
      <text/>
    </comment>
    <comment ref="A32" authorId="113">
      <text/>
    </comment>
    <comment ref="B32" authorId="114">
      <text>
        <r>
          <rPr>
            <b/>
            <sz val="9"/>
            <rFont val="Tahoma"/>
          </rPr>
          <t>Gabor Daniel:</t>
        </r>
        <r>
          <rPr>
            <sz val="9"/>
            <rFont val="Tahoma"/>
          </rPr>
          <t xml:space="preserve">
ORIGIN: Planian
</t>
        </r>
      </text>
    </comment>
    <comment ref="C32" authorId="115">
      <text/>
    </comment>
    <comment ref="AQ32" authorId="116">
      <text/>
    </comment>
    <comment ref="A33" authorId="117">
      <text/>
    </comment>
    <comment ref="C33" authorId="118">
      <text/>
    </comment>
    <comment ref="AQ33" authorId="119">
      <text/>
    </comment>
    <comment ref="A34" authorId="120">
      <text/>
    </comment>
    <comment ref="C34" authorId="121">
      <text/>
    </comment>
    <comment ref="AQ34" authorId="122">
      <text/>
    </comment>
    <comment ref="A35" authorId="123">
      <text/>
    </comment>
    <comment ref="B35" authorId="124">
      <text>
        <r>
          <rPr>
            <b/>
            <sz val="9"/>
            <rFont val="Tahoma"/>
          </rPr>
          <t>Gabor Daniel:</t>
        </r>
        <r>
          <rPr>
            <sz val="9"/>
            <rFont val="Tahoma"/>
          </rPr>
          <t xml:space="preserve">
ORIGIN: Old-Worlder
</t>
        </r>
      </text>
    </comment>
    <comment ref="C35" authorId="125">
      <text/>
    </comment>
    <comment ref="AQ35" authorId="126">
      <text/>
    </comment>
    <comment ref="A36" authorId="127">
      <text/>
    </comment>
    <comment ref="C36" authorId="128">
      <text/>
    </comment>
    <comment ref="AQ36" authorId="129">
      <text/>
    </comment>
    <comment ref="A37" authorId="130">
      <text/>
    </comment>
    <comment ref="C37" authorId="131">
      <text/>
    </comment>
    <comment ref="AQ37" authorId="132">
      <text/>
    </comment>
    <comment ref="B38" authorId="133">
      <text>
        <r>
          <rPr>
            <b/>
            <sz val="9"/>
            <rFont val="Tahoma"/>
          </rPr>
          <t>Gabor Daniel:</t>
        </r>
        <r>
          <rPr>
            <sz val="9"/>
            <rFont val="Tahoma"/>
          </rPr>
          <t xml:space="preserve">
ORIGIN: Arkafaerian
</t>
        </r>
      </text>
    </comment>
    <comment ref="C38" authorId="134">
      <text/>
    </comment>
    <comment ref="AQ38" authorId="135">
      <text/>
    </comment>
    <comment ref="C39" authorId="136">
      <text/>
    </comment>
    <comment ref="AQ39" authorId="137">
      <text/>
    </comment>
    <comment ref="C40" authorId="138">
      <text/>
    </comment>
    <comment ref="AQ40" authorId="139">
      <text/>
    </comment>
    <comment ref="B41" authorId="140">
      <text>
        <r>
          <rPr>
            <b/>
            <sz val="9"/>
            <rFont val="Tahoma"/>
          </rPr>
          <t>Gabor Daniel:</t>
        </r>
        <r>
          <rPr>
            <sz val="9"/>
            <rFont val="Tahoma"/>
          </rPr>
          <t xml:space="preserve">
ORIGIN: Arkafaerian
</t>
        </r>
      </text>
    </comment>
    <comment ref="C41" authorId="141">
      <text/>
    </comment>
    <comment ref="AQ41" authorId="142">
      <text/>
    </comment>
    <comment ref="C42" authorId="143">
      <text/>
    </comment>
    <comment ref="AQ42" authorId="144">
      <text/>
    </comment>
    <comment ref="C43" authorId="145">
      <text/>
    </comment>
    <comment ref="AQ43" authorId="146">
      <text/>
    </comment>
    <comment ref="B44" authorId="147">
      <text>
        <r>
          <rPr>
            <b/>
            <sz val="9"/>
            <rFont val="Tahoma"/>
          </rPr>
          <t>Gabor Daniel:</t>
        </r>
        <r>
          <rPr>
            <sz val="9"/>
            <rFont val="Tahoma"/>
          </rPr>
          <t xml:space="preserve">
ORIGIN: Arkafaerian
</t>
        </r>
      </text>
    </comment>
    <comment ref="C44" authorId="148">
      <text/>
    </comment>
    <comment ref="AQ44" authorId="149">
      <text/>
    </comment>
    <comment ref="C45" authorId="150">
      <text/>
    </comment>
    <comment ref="AQ45" authorId="151">
      <text/>
    </comment>
    <comment ref="C46" authorId="152">
      <text/>
    </comment>
    <comment ref="AQ46" authorId="153">
      <text/>
    </comment>
    <comment ref="B47" authorId="154">
      <text>
        <r>
          <rPr>
            <b/>
            <sz val="9"/>
            <rFont val="Tahoma"/>
          </rPr>
          <t>Gabor Daniel:</t>
        </r>
        <r>
          <rPr>
            <sz val="9"/>
            <rFont val="Tahoma"/>
          </rPr>
          <t xml:space="preserve">
ORIGIN: Arkafaerian
</t>
        </r>
      </text>
    </comment>
    <comment ref="C47" authorId="155">
      <text/>
    </comment>
    <comment ref="AQ47" authorId="156">
      <text/>
    </comment>
    <comment ref="C48" authorId="157">
      <text/>
    </comment>
    <comment ref="AQ48" authorId="158">
      <text/>
    </comment>
    <comment ref="C49" authorId="159">
      <text/>
    </comment>
    <comment ref="AQ49" authorId="160">
      <text/>
    </comment>
    <comment ref="A50" authorId="161">
      <text/>
    </comment>
    <comment ref="B50" authorId="162">
      <text>
        <r>
          <rPr>
            <b/>
            <sz val="9"/>
            <rFont val="Tahoma"/>
          </rPr>
          <t>Gabor Daniel:</t>
        </r>
        <r>
          <rPr>
            <sz val="9"/>
            <rFont val="Tahoma"/>
          </rPr>
          <t xml:space="preserve">
ORIGIN: Created
</t>
        </r>
      </text>
    </comment>
    <comment ref="C50" authorId="163">
      <text/>
    </comment>
    <comment ref="AQ50" authorId="164">
      <text/>
    </comment>
    <comment ref="A51" authorId="165">
      <text/>
    </comment>
    <comment ref="C51" authorId="166">
      <text/>
    </comment>
    <comment ref="AQ51" authorId="167">
      <text/>
    </comment>
    <comment ref="A52" authorId="168">
      <text/>
    </comment>
    <comment ref="C52" authorId="169">
      <text/>
    </comment>
    <comment ref="AQ52" authorId="170">
      <text/>
    </comment>
    <comment ref="A53" authorId="171">
      <text/>
    </comment>
    <comment ref="B53" authorId="172">
      <text>
        <r>
          <rPr>
            <b/>
            <sz val="9"/>
            <rFont val="Tahoma"/>
          </rPr>
          <t>Gabor Daniel:</t>
        </r>
        <r>
          <rPr>
            <sz val="9"/>
            <rFont val="Tahoma"/>
          </rPr>
          <t xml:space="preserve">
ORIGIN: Created
</t>
        </r>
      </text>
    </comment>
    <comment ref="C53" authorId="173">
      <text/>
    </comment>
    <comment ref="AQ53" authorId="174">
      <text/>
    </comment>
    <comment ref="A54" authorId="175">
      <text/>
    </comment>
    <comment ref="C54" authorId="176">
      <text/>
    </comment>
    <comment ref="AQ54" authorId="177">
      <text/>
    </comment>
    <comment ref="A55" authorId="178">
      <text/>
    </comment>
    <comment ref="C55" authorId="179">
      <text/>
    </comment>
    <comment ref="AQ55" authorId="180">
      <text/>
    </comment>
    <comment ref="A56" authorId="181">
      <text/>
    </comment>
    <comment ref="B56" authorId="182">
      <text>
        <r>
          <rPr>
            <b/>
            <sz val="9"/>
            <rFont val="Tahoma"/>
          </rPr>
          <t>Gabor Daniel:</t>
        </r>
        <r>
          <rPr>
            <sz val="9"/>
            <rFont val="Tahoma"/>
          </rPr>
          <t xml:space="preserve">
ORIGIN: Planian
</t>
        </r>
      </text>
    </comment>
    <comment ref="C56" authorId="183">
      <text/>
    </comment>
    <comment ref="AQ56" authorId="184">
      <text/>
    </comment>
    <comment ref="A57" authorId="185">
      <text/>
    </comment>
    <comment ref="C57" authorId="186">
      <text/>
    </comment>
    <comment ref="AQ57" authorId="187">
      <text/>
    </comment>
    <comment ref="A58" authorId="188">
      <text/>
    </comment>
    <comment ref="C58" authorId="189">
      <text/>
    </comment>
    <comment ref="AQ58" authorId="190">
      <text/>
    </comment>
    <comment ref="A59" authorId="191">
      <text/>
    </comment>
    <comment ref="B59" authorId="192">
      <text>
        <r>
          <rPr>
            <b/>
            <sz val="9"/>
            <rFont val="Tahoma"/>
          </rPr>
          <t>Gabor Daniel:</t>
        </r>
        <r>
          <rPr>
            <sz val="9"/>
            <rFont val="Tahoma"/>
          </rPr>
          <t xml:space="preserve">
ORIGIN: Created/Planian
</t>
        </r>
      </text>
    </comment>
    <comment ref="C59" authorId="193">
      <text/>
    </comment>
    <comment ref="AQ59" authorId="194">
      <text/>
    </comment>
    <comment ref="A60" authorId="195">
      <text/>
    </comment>
    <comment ref="C60" authorId="196">
      <text/>
    </comment>
    <comment ref="AQ60" authorId="197">
      <text/>
    </comment>
    <comment ref="A61" authorId="198">
      <text/>
    </comment>
    <comment ref="C61" authorId="199">
      <text/>
    </comment>
    <comment ref="AQ61" authorId="200">
      <text/>
    </comment>
    <comment ref="A62" authorId="201">
      <text/>
    </comment>
    <comment ref="B62" authorId="202">
      <text>
        <r>
          <rPr>
            <b/>
            <sz val="9"/>
            <rFont val="Tahoma"/>
          </rPr>
          <t>Gabor Daniel:</t>
        </r>
        <r>
          <rPr>
            <sz val="9"/>
            <rFont val="Tahoma"/>
          </rPr>
          <t xml:space="preserve">
ORIGIN: Created
</t>
        </r>
      </text>
    </comment>
    <comment ref="C62" authorId="203">
      <text/>
    </comment>
    <comment ref="AQ62" authorId="204">
      <text/>
    </comment>
    <comment ref="A63" authorId="205">
      <text/>
    </comment>
    <comment ref="C63" authorId="206">
      <text/>
    </comment>
    <comment ref="AQ63" authorId="207">
      <text/>
    </comment>
    <comment ref="A64" authorId="208">
      <text/>
    </comment>
    <comment ref="C64" authorId="209">
      <text/>
    </comment>
    <comment ref="AQ64" authorId="210">
      <text/>
    </comment>
    <comment ref="A65" authorId="211">
      <text/>
    </comment>
    <comment ref="B65" authorId="212">
      <text>
        <r>
          <rPr>
            <b/>
            <sz val="9"/>
            <rFont val="Tahoma"/>
          </rPr>
          <t>Gabor Daniel:</t>
        </r>
        <r>
          <rPr>
            <sz val="9"/>
            <rFont val="Tahoma"/>
          </rPr>
          <t xml:space="preserve">
ORIGIN: Planian
</t>
        </r>
      </text>
    </comment>
    <comment ref="C65" authorId="213">
      <text/>
    </comment>
    <comment ref="AQ65" authorId="214">
      <text/>
    </comment>
    <comment ref="A66" authorId="215">
      <text/>
    </comment>
    <comment ref="C66" authorId="216">
      <text/>
    </comment>
    <comment ref="AQ66" authorId="217">
      <text/>
    </comment>
    <comment ref="A67" authorId="218">
      <text/>
    </comment>
    <comment ref="C67" authorId="219">
      <text/>
    </comment>
    <comment ref="AQ67" authorId="220">
      <text/>
    </comment>
    <comment ref="A68" authorId="221">
      <text/>
    </comment>
    <comment ref="B68" authorId="222">
      <text>
        <r>
          <rPr>
            <b/>
            <sz val="9"/>
            <rFont val="Tahoma"/>
          </rPr>
          <t>Gabor Daniel:</t>
        </r>
        <r>
          <rPr>
            <sz val="9"/>
            <rFont val="Tahoma"/>
          </rPr>
          <t xml:space="preserve">
ORIGIN: Planian
</t>
        </r>
      </text>
    </comment>
    <comment ref="C68" authorId="223">
      <text/>
    </comment>
    <comment ref="AQ68" authorId="224">
      <text/>
    </comment>
    <comment ref="A69" authorId="225">
      <text/>
    </comment>
    <comment ref="C69" authorId="226">
      <text/>
    </comment>
    <comment ref="AQ69" authorId="227">
      <text/>
    </comment>
    <comment ref="A70" authorId="228">
      <text/>
    </comment>
    <comment ref="C70" authorId="229">
      <text/>
    </comment>
    <comment ref="AQ70" authorId="230">
      <text/>
    </comment>
    <comment ref="A71" authorId="231">
      <text/>
    </comment>
    <comment ref="B71" authorId="232">
      <text>
        <r>
          <rPr>
            <b/>
            <sz val="9"/>
            <rFont val="Tahoma"/>
          </rPr>
          <t>Gabor Daniel:</t>
        </r>
        <r>
          <rPr>
            <sz val="9"/>
            <rFont val="Tahoma"/>
          </rPr>
          <t xml:space="preserve">
ORIGIN: Created
</t>
        </r>
      </text>
    </comment>
    <comment ref="C71" authorId="233">
      <text/>
    </comment>
    <comment ref="AQ71" authorId="234">
      <text/>
    </comment>
    <comment ref="A72" authorId="235">
      <text/>
    </comment>
    <comment ref="C72" authorId="236">
      <text/>
    </comment>
    <comment ref="AQ72" authorId="237">
      <text/>
    </comment>
    <comment ref="A73" authorId="238">
      <text/>
    </comment>
    <comment ref="C73" authorId="239">
      <text/>
    </comment>
    <comment ref="AQ73" authorId="240">
      <text/>
    </comment>
    <comment ref="A74" authorId="241">
      <text/>
    </comment>
    <comment ref="B74" authorId="242">
      <text>
        <r>
          <rPr>
            <b/>
            <sz val="9"/>
            <rFont val="Tahoma"/>
          </rPr>
          <t>Gabor Daniel:</t>
        </r>
        <r>
          <rPr>
            <sz val="9"/>
            <rFont val="Tahoma"/>
          </rPr>
          <t xml:space="preserve">
ORIGIN: Old-Worlder
</t>
        </r>
      </text>
    </comment>
    <comment ref="C74" authorId="243">
      <text/>
    </comment>
    <comment ref="AQ74" authorId="244">
      <text/>
    </comment>
    <comment ref="A75" authorId="245">
      <text/>
    </comment>
    <comment ref="C75" authorId="246">
      <text/>
    </comment>
    <comment ref="AQ75" authorId="247">
      <text/>
    </comment>
    <comment ref="A76" authorId="248">
      <text/>
    </comment>
    <comment ref="C76" authorId="249">
      <text/>
    </comment>
    <comment ref="AQ76" authorId="250">
      <text/>
    </comment>
    <comment ref="A77" authorId="251">
      <text/>
    </comment>
    <comment ref="B77" authorId="252">
      <text>
        <r>
          <rPr>
            <b/>
            <sz val="9"/>
            <rFont val="Tahoma"/>
          </rPr>
          <t>Gabor Daniel:</t>
        </r>
        <r>
          <rPr>
            <sz val="9"/>
            <rFont val="Tahoma"/>
          </rPr>
          <t xml:space="preserve">
ORIGIN: Hellgate
</t>
        </r>
      </text>
    </comment>
    <comment ref="C77" authorId="253">
      <text/>
    </comment>
    <comment ref="AQ77" authorId="254">
      <text/>
    </comment>
    <comment ref="A78" authorId="255">
      <text/>
    </comment>
    <comment ref="C78" authorId="256">
      <text/>
    </comment>
    <comment ref="AQ78" authorId="257">
      <text/>
    </comment>
    <comment ref="A79" authorId="258">
      <text/>
    </comment>
    <comment ref="C79" authorId="259">
      <text/>
    </comment>
    <comment ref="AQ79" authorId="260">
      <text/>
    </comment>
    <comment ref="A80" authorId="261">
      <text/>
    </comment>
    <comment ref="B80" authorId="262">
      <text>
        <r>
          <rPr>
            <b/>
            <sz val="9"/>
            <rFont val="Tahoma"/>
          </rPr>
          <t>Gabor Daniel:</t>
        </r>
        <r>
          <rPr>
            <sz val="9"/>
            <rFont val="Tahoma"/>
          </rPr>
          <t xml:space="preserve">
ORIGIN: Created
</t>
        </r>
      </text>
    </comment>
    <comment ref="C80" authorId="263">
      <text/>
    </comment>
    <comment ref="AQ80" authorId="264">
      <text/>
    </comment>
    <comment ref="A81" authorId="265">
      <text/>
    </comment>
    <comment ref="C81" authorId="266">
      <text/>
    </comment>
    <comment ref="AQ81" authorId="267">
      <text/>
    </comment>
    <comment ref="A82" authorId="268">
      <text/>
    </comment>
    <comment ref="C82" authorId="269">
      <text/>
    </comment>
    <comment ref="AQ82" authorId="270">
      <text/>
    </comment>
    <comment ref="A83" authorId="271">
      <text/>
    </comment>
    <comment ref="B83" authorId="272">
      <text>
        <r>
          <rPr>
            <b/>
            <sz val="9"/>
            <rFont val="Tahoma"/>
          </rPr>
          <t>Gabor Daniel:</t>
        </r>
        <r>
          <rPr>
            <sz val="9"/>
            <rFont val="Tahoma"/>
          </rPr>
          <t xml:space="preserve">
ORIGIN: Hellgate
</t>
        </r>
      </text>
    </comment>
    <comment ref="C83" authorId="273">
      <text/>
    </comment>
    <comment ref="AQ83" authorId="274">
      <text/>
    </comment>
    <comment ref="A84" authorId="275">
      <text/>
    </comment>
    <comment ref="C84" authorId="276">
      <text/>
    </comment>
    <comment ref="AQ84" authorId="277">
      <text/>
    </comment>
    <comment ref="A85" authorId="278">
      <text/>
    </comment>
    <comment ref="C85" authorId="279">
      <text/>
    </comment>
    <comment ref="AQ85" authorId="280">
      <text/>
    </comment>
    <comment ref="A86" authorId="281">
      <text/>
    </comment>
    <comment ref="B86" authorId="282">
      <text>
        <r>
          <rPr>
            <b/>
            <sz val="9"/>
            <rFont val="Tahoma"/>
          </rPr>
          <t>Gabor Daniel:</t>
        </r>
        <r>
          <rPr>
            <sz val="9"/>
            <rFont val="Tahoma"/>
          </rPr>
          <t xml:space="preserve">
ORIGIN: Old-Worlder
</t>
        </r>
      </text>
    </comment>
    <comment ref="C86" authorId="283">
      <text/>
    </comment>
    <comment ref="AQ86" authorId="284">
      <text/>
    </comment>
    <comment ref="A87" authorId="285">
      <text/>
    </comment>
    <comment ref="C87" authorId="286">
      <text/>
    </comment>
    <comment ref="AQ87" authorId="287">
      <text/>
    </comment>
    <comment ref="A88" authorId="288">
      <text/>
    </comment>
    <comment ref="C88" authorId="289">
      <text/>
    </comment>
    <comment ref="AQ88" authorId="290">
      <text/>
    </comment>
    <comment ref="A89" authorId="291">
      <text/>
    </comment>
    <comment ref="B89" authorId="292">
      <text>
        <r>
          <rPr>
            <b/>
            <sz val="9"/>
            <rFont val="Tahoma"/>
          </rPr>
          <t>Gabor Daniel:</t>
        </r>
        <r>
          <rPr>
            <sz val="9"/>
            <rFont val="Tahoma"/>
          </rPr>
          <t xml:space="preserve">
ORIGIN: Created
</t>
        </r>
      </text>
    </comment>
    <comment ref="C89" authorId="293">
      <text/>
    </comment>
    <comment ref="AQ89" authorId="294">
      <text/>
    </comment>
    <comment ref="A90" authorId="295">
      <text/>
    </comment>
    <comment ref="C90" authorId="296">
      <text/>
    </comment>
    <comment ref="AQ90" authorId="297">
      <text/>
    </comment>
    <comment ref="A91" authorId="298">
      <text/>
    </comment>
    <comment ref="C91" authorId="299">
      <text/>
    </comment>
    <comment ref="AQ91" authorId="300">
      <text/>
    </comment>
    <comment ref="A92" authorId="301">
      <text/>
    </comment>
    <comment ref="B92" authorId="302">
      <text>
        <r>
          <rPr>
            <b/>
            <sz val="9"/>
            <rFont val="Tahoma"/>
          </rPr>
          <t>Gabor Daniel:</t>
        </r>
        <r>
          <rPr>
            <sz val="9"/>
            <rFont val="Tahoma"/>
          </rPr>
          <t xml:space="preserve">
ORIGIN: Created
</t>
        </r>
      </text>
    </comment>
    <comment ref="C92" authorId="303">
      <text/>
    </comment>
    <comment ref="AQ92" authorId="304">
      <text/>
    </comment>
    <comment ref="A93" authorId="305">
      <text/>
    </comment>
    <comment ref="C93" authorId="306">
      <text/>
    </comment>
    <comment ref="AQ93" authorId="307">
      <text/>
    </comment>
    <comment ref="A94" authorId="308">
      <text/>
    </comment>
    <comment ref="C94" authorId="309">
      <text/>
    </comment>
    <comment ref="AQ94" authorId="310">
      <text/>
    </comment>
    <comment ref="A95" authorId="311">
      <text/>
    </comment>
    <comment ref="B95" authorId="312">
      <text>
        <r>
          <rPr>
            <b/>
            <sz val="9"/>
            <rFont val="Tahoma"/>
          </rPr>
          <t>Gabor Daniel:</t>
        </r>
        <r>
          <rPr>
            <sz val="9"/>
            <rFont val="Tahoma"/>
          </rPr>
          <t xml:space="preserve">
ORIGIN: Created
</t>
        </r>
      </text>
    </comment>
    <comment ref="C95" authorId="313">
      <text/>
    </comment>
    <comment ref="AQ95" authorId="314">
      <text/>
    </comment>
    <comment ref="A96" authorId="315">
      <text/>
    </comment>
    <comment ref="C96" authorId="316">
      <text/>
    </comment>
    <comment ref="AQ96" authorId="317">
      <text/>
    </comment>
    <comment ref="A97" authorId="318">
      <text/>
    </comment>
    <comment ref="C97" authorId="319">
      <text/>
    </comment>
    <comment ref="AQ97" authorId="320">
      <text/>
    </comment>
    <comment ref="AQ98" authorId="321">
      <text/>
    </comment>
    <comment ref="B577" authorId="322">
      <text/>
    </comment>
    <comment ref="C577" authorId="323">
      <text/>
    </comment>
    <comment ref="B580" authorId="324">
      <text/>
    </comment>
    <comment ref="C580" authorId="325">
      <text/>
    </comment>
    <comment ref="B583" authorId="326">
      <text/>
    </comment>
    <comment ref="C583" authorId="327">
      <text/>
    </comment>
    <comment ref="B586" authorId="328">
      <text/>
    </comment>
    <comment ref="C586" authorId="329">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comments3.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sharedStrings.xml><?xml version="1.0" encoding="utf-8"?>
<sst xmlns="http://schemas.openxmlformats.org/spreadsheetml/2006/main" count="26258" uniqueCount="6631">
  <si>
    <t>Line</t>
  </si>
  <si>
    <t>Meaning</t>
  </si>
  <si>
    <t>Actions</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</si>
  <si>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</si>
  <si>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</si>
  <si>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</si>
  <si>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</si>
  <si>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</si>
  <si>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</si>
  <si>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</si>
  <si>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</si>
  <si>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</si>
  <si>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</si>
  <si>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</si>
  <si>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</si>
  <si>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</si>
  <si>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</si>
  <si>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</si>
  <si>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</si>
  <si>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</si>
  <si>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</si>
  <si>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</si>
  <si>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</si>
  <si>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</si>
  <si>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</si>
  <si>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</si>
  <si>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</si>
  <si>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</si>
  <si>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</si>
  <si>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</si>
  <si>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</si>
  <si>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</si>
  <si>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</si>
  <si>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</si>
  <si>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</si>
  <si>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</si>
  <si>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</si>
  <si>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</si>
  <si>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</si>
  <si>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</si>
  <si>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</si>
  <si>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Overcast</t>
  </si>
  <si>
    <t>Use a Projectile or Alteration Ability Attack by rolling a D20 for various effects; Rolls: 1 - Target Yourself; 2-5 Miss; 6-15 Cast normally; 16-19 Critical (Double Damage); 20 Vital. (Triple Damage)</t>
  </si>
  <si>
    <t>Faith Actions:</t>
  </si>
  <si>
    <t>Twist of Faith:</t>
  </si>
  <si>
    <t>Requires 1 Faith; Instant; Reroll any D20 Dice Roll that belongs to you.</t>
  </si>
  <si>
    <t>Cleanse:</t>
  </si>
  <si>
    <t>Requires 2 Faith; Flash; Reflex; Remove Target Status from yourself.</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</si>
  <si>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</si>
  <si>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</si>
  <si>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</si>
  <si>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</si>
  <si>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</si>
  <si>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</si>
  <si>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</si>
  <si>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</si>
  <si>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</si>
  <si>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</si>
  <si>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</si>
  <si>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</si>
  <si>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</si>
  <si>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</si>
  <si>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</si>
  <si>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</si>
  <si>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</si>
  <si>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</si>
  <si>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</si>
  <si>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</si>
  <si>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</si>
  <si>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</si>
  <si>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</si>
  <si>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</si>
  <si>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</si>
  <si>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</si>
  <si>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</si>
  <si>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</si>
  <si>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</si>
  <si>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</si>
  <si>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</si>
  <si>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</si>
  <si>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</si>
  <si>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</si>
  <si>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</si>
  <si>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</si>
  <si>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</si>
  <si>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</si>
  <si>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</si>
  <si>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</si>
  <si>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</si>
  <si>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</si>
  <si>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</si>
  <si>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</si>
  <si>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</si>
  <si>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</si>
  <si>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</si>
  <si>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</si>
  <si>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</si>
  <si>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</si>
  <si>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</si>
  <si>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</si>
  <si>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</si>
  <si>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</si>
  <si>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</si>
  <si>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</si>
  <si>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</si>
  <si>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</si>
  <si>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</si>
  <si>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</si>
  <si>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</si>
  <si>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</si>
  <si>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</si>
  <si>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</si>
  <si>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</si>
  <si>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</si>
  <si>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</si>
  <si>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</si>
  <si>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</si>
  <si>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</si>
  <si>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</si>
  <si>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</si>
  <si>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</si>
  <si>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</si>
  <si>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</si>
  <si>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</si>
  <si>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</si>
  <si>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</si>
  <si>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</si>
  <si>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</si>
  <si>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</si>
  <si>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</si>
  <si>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</si>
  <si>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</si>
  <si>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</si>
  <si>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</si>
  <si>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</si>
  <si>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</si>
  <si>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</si>
  <si>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</si>
  <si>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</si>
  <si>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</si>
  <si>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</si>
  <si>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</si>
  <si>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</si>
  <si>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</si>
  <si>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</si>
  <si>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</si>
  <si>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</si>
  <si>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</si>
  <si>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</si>
  <si>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</si>
  <si>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</si>
  <si>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Toggle</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</si>
  <si>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</si>
  <si>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</si>
  <si>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</si>
  <si>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</si>
  <si>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</si>
  <si>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</si>
  <si>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</si>
  <si>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</si>
  <si>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</si>
  <si>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</si>
  <si>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</si>
  <si>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</si>
  <si>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</si>
  <si>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</si>
  <si>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</si>
  <si>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</si>
  <si>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</si>
  <si>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</si>
  <si>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</si>
  <si>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</si>
  <si>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</si>
  <si>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</si>
  <si>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</si>
  <si>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</si>
  <si>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</si>
  <si>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</si>
  <si>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</si>
  <si>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</si>
  <si>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</si>
  <si>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</si>
  <si>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</si>
  <si>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</si>
  <si>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</si>
  <si>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</si>
  <si>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</si>
  <si>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</si>
  <si>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</si>
  <si>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</si>
  <si>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</si>
  <si>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</si>
  <si>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</si>
  <si>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</si>
  <si>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</si>
  <si>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</si>
  <si>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</si>
  <si>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</si>
  <si>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</si>
  <si>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</si>
  <si>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</si>
  <si>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</si>
  <si>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</si>
  <si>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</si>
  <si>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</si>
  <si>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Vision</t>
  </si>
  <si>
    <t>The Vision of the surrounding Hexes on the Map. It is 1 by default and it is capped at 3.</t>
  </si>
  <si>
    <t>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</si>
  <si>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</si>
  <si>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</si>
  <si>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</si>
  <si>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</si>
  <si>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</si>
  <si>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</si>
  <si>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</si>
  <si>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</si>
  <si>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</si>
  <si>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</si>
  <si>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</si>
  <si>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</si>
  <si>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</si>
  <si>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</si>
  <si>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</si>
  <si>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</si>
  <si>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</si>
  <si>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</si>
  <si>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</si>
  <si>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</si>
  <si>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</si>
  <si>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</si>
  <si>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</si>
  <si>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</si>
  <si>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</si>
  <si>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</si>
  <si>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</si>
  <si>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</si>
  <si>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</si>
  <si>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</si>
  <si>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</si>
  <si>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</si>
  <si>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</si>
  <si>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</si>
  <si>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</si>
  <si>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</si>
  <si>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</si>
  <si>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</si>
  <si>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</si>
  <si>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</si>
  <si>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</si>
  <si>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</si>
  <si>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</si>
  <si>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</si>
  <si>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</si>
  <si>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</si>
  <si>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</si>
  <si>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</si>
  <si>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</si>
  <si>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</si>
  <si>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</si>
  <si>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Forced</t>
  </si>
  <si>
    <t>You must do Forced Action before anything else, If you are unable to do a Forced Action your Turn Ends.</t>
  </si>
  <si>
    <t>Invulnerable</t>
  </si>
  <si>
    <t>Unable to take Damage.</t>
  </si>
  <si>
    <t>Dismember</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</si>
  <si>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</si>
  <si>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</si>
  <si>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</si>
  <si>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</si>
  <si>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</si>
  <si>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</si>
  <si>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</si>
  <si>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</si>
  <si>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</si>
  <si>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</si>
  <si>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</si>
  <si>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</si>
  <si>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</si>
  <si>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</si>
  <si>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</si>
  <si>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</si>
  <si>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</si>
  <si>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</si>
  <si>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</si>
  <si>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</si>
  <si>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</si>
  <si>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</si>
  <si>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Bosses are the tough type of Enemy; they have Level 6, an average Health of 300, they grant 800 Xp upon being Killed and their Loot Gold Average is 2000(Legendary); Their Prime Versions are stronger, Level 5, grant 1000 Xp and their Loot Gold Average is 2500(Legendary).</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</si>
  <si>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</si>
  <si>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</si>
  <si>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</si>
  <si>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</si>
  <si>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</si>
  <si>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</si>
  <si>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</si>
  <si>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</si>
  <si>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</si>
  <si>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</si>
  <si>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</si>
  <si>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</si>
  <si>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</si>
  <si>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</si>
  <si>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</si>
  <si>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</si>
  <si>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</si>
  <si>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</si>
  <si>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</si>
  <si>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</si>
  <si>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</si>
  <si>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</si>
  <si>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Queued Actions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</si>
  <si>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</si>
  <si>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</si>
  <si>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</si>
  <si>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</si>
  <si>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</si>
  <si>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</si>
  <si>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</si>
  <si>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</si>
  <si>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</si>
  <si>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</si>
  <si>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</si>
  <si>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</si>
  <si>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</si>
  <si>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</si>
  <si>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</si>
  <si>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</si>
  <si>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</si>
  <si>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</si>
  <si>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</si>
  <si>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</si>
  <si>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</si>
  <si>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</si>
  <si>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</si>
  <si>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</si>
  <si>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Elemental Combinations</t>
  </si>
  <si>
    <t>The Default for combinations is 50% of one resistance + 50% of the other resistance. Damage gets added, unless Overriden.</t>
  </si>
  <si>
    <t>Tutorial:</t>
  </si>
  <si>
    <t>Formula:</t>
  </si>
  <si>
    <t>Each One point of Elemental Damage combines with 1 Point of another Element. (For 50 Fire Damage and 100 Lightning Damage Target will receive 100 Radiation and 50 Lightning Damage)</t>
  </si>
  <si>
    <t>Arcane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</si>
  <si>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</si>
  <si>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</si>
  <si>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</si>
  <si>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</si>
  <si>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</si>
  <si>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</si>
  <si>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and Demons, Healing to Divine and Fae, Normal Damage to Living and Constructs)</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</si>
  <si>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</si>
  <si>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</si>
  <si>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</si>
  <si>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</si>
  <si>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</si>
  <si>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</si>
  <si>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</si>
  <si>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</si>
  <si>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</si>
  <si>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</si>
  <si>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</si>
  <si>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</si>
  <si>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</si>
  <si>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</si>
  <si>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</si>
  <si>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 Undead and Demons, True Damage to Divine and Fae, Normal Damage to Living and Constructs)</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</si>
  <si>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</si>
  <si>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</si>
  <si>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</si>
  <si>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</si>
  <si>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</si>
  <si>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</si>
  <si>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</si>
  <si>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</si>
  <si>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</si>
  <si>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</si>
  <si>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</si>
  <si>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</si>
  <si>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</si>
  <si>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</si>
  <si>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</si>
  <si>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</si>
  <si>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</si>
  <si>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</si>
  <si>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</si>
  <si>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</si>
  <si>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</si>
  <si>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</si>
  <si>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</si>
  <si>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</si>
  <si>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</si>
  <si>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</si>
  <si>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</si>
  <si>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 xml:space="preserve">Frost + Poison (Instead of taking Elemental Damage, Target affected loses Current Health Equal to 50% Viral Damage after resistance is calculated)
</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</si>
  <si>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</si>
  <si>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</si>
  <si>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</si>
  <si>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</si>
  <si>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</si>
  <si>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</si>
  <si>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</si>
  <si>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</si>
  <si>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</si>
  <si>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</si>
  <si>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</si>
  <si>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</si>
  <si>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Poison</t>
  </si>
  <si>
    <t>Earth + Bleed</t>
  </si>
  <si>
    <t>Toxic</t>
  </si>
  <si>
    <t>Earth + Poison (50% Chance to Inflict Poisoned for 50% of Total Damage Over 2 Ticks) </t>
  </si>
  <si>
    <t>Corrosive </t>
  </si>
  <si>
    <t>Poison + Lightning (Inflicts Corroded until End of Combat) </t>
  </si>
  <si>
    <t>Infectious</t>
  </si>
  <si>
    <r>
      <rPr>
        <sz val="10"/>
        <rFont val="Times New Roman"/>
      </rPr>
      <t xml:space="preserve">
</t>
    </r>
    <r>
      <rPr>
        <sz val="12"/>
        <rFont val="Arial"/>
      </rPr>
      <t>Bleed + Poison (Bleed and Poison Statuses are doubled in damage)</t>
    </r>
  </si>
  <si>
    <t>Status</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</si>
  <si>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</si>
  <si>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</si>
  <si>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</si>
  <si>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</si>
  <si>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</si>
  <si>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</si>
  <si>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</si>
  <si>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</si>
  <si>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</si>
  <si>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</si>
  <si>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</si>
  <si>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</si>
  <si>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</si>
  <si>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</si>
  <si>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</si>
  <si>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</si>
  <si>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</si>
  <si>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</si>
  <si>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</si>
  <si>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</si>
  <si>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</si>
  <si>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</si>
  <si>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</si>
  <si>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</si>
  <si>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</si>
  <si>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</si>
  <si>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</si>
  <si>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</si>
  <si>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</si>
  <si>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</si>
  <si>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</si>
  <si>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</si>
  <si>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</si>
  <si>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</si>
  <si>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</si>
  <si>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</si>
  <si>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</si>
  <si>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</si>
  <si>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</si>
  <si>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</si>
  <si>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</si>
  <si>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</si>
  <si>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</si>
  <si>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</si>
  <si>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</si>
  <si>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</si>
  <si>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</si>
  <si>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</si>
  <si>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</si>
  <si>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</si>
  <si>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</si>
  <si>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</si>
  <si>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</si>
  <si>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</si>
  <si>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</si>
  <si>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</si>
  <si>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</si>
  <si>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</si>
  <si>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</si>
  <si>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</si>
  <si>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</si>
  <si>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</si>
  <si>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</si>
  <si>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</si>
  <si>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</si>
  <si>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</si>
  <si>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</si>
  <si>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</si>
  <si>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</si>
  <si>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</si>
  <si>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</si>
  <si>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</si>
  <si>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</si>
  <si>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</si>
  <si>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</si>
  <si>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</si>
  <si>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</si>
  <si>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</si>
  <si>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</si>
  <si>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</si>
  <si>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</si>
  <si>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</si>
  <si>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</si>
  <si>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</si>
  <si>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</si>
  <si>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</si>
  <si>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</si>
  <si>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</si>
  <si>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</si>
  <si>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</si>
  <si>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</si>
  <si>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</si>
  <si>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</si>
  <si>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</si>
  <si>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</si>
  <si>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</si>
  <si>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</si>
  <si>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</si>
  <si>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</si>
  <si>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</si>
  <si>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</si>
  <si>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</si>
  <si>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</si>
  <si>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</si>
  <si>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</si>
  <si>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</si>
  <si>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</si>
  <si>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</si>
  <si>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</si>
  <si>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</si>
  <si>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</si>
  <si>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</si>
  <si>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</si>
  <si>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</si>
  <si>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</si>
  <si>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</si>
  <si>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</si>
  <si>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</si>
  <si>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</si>
  <si>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</si>
  <si>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</si>
  <si>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</si>
  <si>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</si>
  <si>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</si>
  <si>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</si>
  <si>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</si>
  <si>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</si>
  <si>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</si>
  <si>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</si>
  <si>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</si>
  <si>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</si>
  <si>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</si>
  <si>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</si>
  <si>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or can last for a certain number of Days.</t>
  </si>
  <si>
    <t>Absorber</t>
  </si>
  <si>
    <t>Dispersion is now percentage based and each Dispersion point counts as 3%.</t>
  </si>
  <si>
    <t>Adaptive</t>
  </si>
  <si>
    <t>Reduce the Damage of Type that first affects you on a Day by 5.</t>
  </si>
  <si>
    <t>Aetheric</t>
  </si>
  <si>
    <t>Leveling up restores 25% Missing Health and Resource; This Stacks with Soul Resurgence.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</si>
  <si>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</si>
  <si>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</si>
  <si>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</si>
  <si>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</si>
  <si>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</si>
  <si>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</si>
  <si>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</si>
  <si>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</si>
  <si>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</si>
  <si>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</si>
  <si>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</si>
  <si>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t>
  </si>
  <si>
    <t>Banished</t>
  </si>
  <si>
    <t>You can no Longer Interact with any Zone or Contruction Yard; Your Banner Count is set to 2, overrides everything.</t>
  </si>
  <si>
    <t>Blessed by the Gods</t>
  </si>
  <si>
    <t>(P): If the Incoming Damage or Health Loss would prove lethal, Consume 1 Faith and Block up to 50 Damage or 50 Lost Health; This Stacks up to 100 Damage/Health Loss Prevented (At 2 Faith).</t>
  </si>
  <si>
    <t>Brawn</t>
  </si>
  <si>
    <t>Critical Strikes on Melee weapons will apply from a dice roll of 14-20.</t>
  </si>
  <si>
    <t>Clarity</t>
  </si>
  <si>
    <t>Immune to Confusion.</t>
  </si>
  <si>
    <t>Cold Blooded</t>
  </si>
  <si>
    <t>Immune to Frostbite and Chilled.</t>
  </si>
  <si>
    <t>Coward</t>
  </si>
  <si>
    <t>You can no longer hire Merernaries, Companions or Fight in the Arena</t>
  </si>
  <si>
    <t>Cursed</t>
  </si>
  <si>
    <t>You are suffering from a curse. Curses can only be broken by either the Death of the Entity that caused it or using a special Item/Scroll. </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</si>
  <si>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</si>
  <si>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</si>
  <si>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</si>
  <si>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</si>
  <si>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</si>
  <si>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</si>
  <si>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</si>
  <si>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</si>
  <si>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</si>
  <si>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</si>
  <si>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</si>
  <si>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</si>
  <si>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</si>
  <si>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</si>
  <si>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</si>
  <si>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</si>
  <si>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</si>
  <si>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Your Initiative in Combat is always set to last place.</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</si>
  <si>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</si>
  <si>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</si>
  <si>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</si>
  <si>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</si>
  <si>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</si>
  <si>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t>
  </si>
  <si>
    <t>Insane</t>
  </si>
  <si>
    <t>Immune to Tormented.</t>
  </si>
  <si>
    <t>Ionized</t>
  </si>
  <si>
    <t>Damage will be dealt to Mana first; When Mana Reaches 0 you start losing Health; This does not work with alternative Resources.</t>
  </si>
  <si>
    <t>Mechanical</t>
  </si>
  <si>
    <t>Immune to Poison and Bleed Damage; Can't Swim; Cannot go above 0 Mobility.</t>
  </si>
  <si>
    <t>Necronian Field</t>
  </si>
  <si>
    <t>Gain 10% Deflect; If Below 50% Max Health your Deflection is converted to Reflection.</t>
  </si>
  <si>
    <t>Nocturnal</t>
  </si>
  <si>
    <t>Immune to Sleeping and Blinded.</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</si>
  <si>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</si>
  <si>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</si>
  <si>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</si>
  <si>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</si>
  <si>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</si>
  <si>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</si>
  <si>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</si>
  <si>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You gain +4 Roll Modifier on attempts to cast without Mana. (Following the Damage Chart from "Casting Abilities without enough Resource)</t>
  </si>
  <si>
    <t>Rich</t>
  </si>
  <si>
    <t>At the start of each Vendal gain 500 Gold; this triggers on the first Day of a Campaign as well.</t>
  </si>
  <si>
    <t>Rotting</t>
  </si>
  <si>
    <t>Causes you to die in a certain number of Turns/Days if not removed; For Rotting in x Days, Death will always happen at the Start of xth Day.</t>
  </si>
  <si>
    <t>Scaled</t>
  </si>
  <si>
    <t>Gain 10% Deflection;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</si>
  <si>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</si>
  <si>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</si>
  <si>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</si>
  <si>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</si>
  <si>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</si>
  <si>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</si>
  <si>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</si>
  <si>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</si>
  <si>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</si>
  <si>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by 2.</t>
  </si>
  <si>
    <t>Underdweller</t>
  </si>
  <si>
    <t>Unstable</t>
  </si>
  <si>
    <t>At the Start of Combat you become Vulnerable or Surged for 3 Turns at random.</t>
  </si>
  <si>
    <t>Vigilent</t>
  </si>
  <si>
    <t>You are able to see Stealth Objects and Entities.</t>
  </si>
  <si>
    <t>Vile</t>
  </si>
  <si>
    <t>Immune to Charmed; Gain +1 to Basic Attack Rolls.</t>
  </si>
  <si>
    <t>Winged </t>
  </si>
  <si>
    <t>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</si>
  <si>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</si>
  <si>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</si>
  <si>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</si>
  <si>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</si>
  <si>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</si>
  <si>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</si>
  <si>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</si>
  <si>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</si>
  <si>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</si>
  <si>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</si>
  <si>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</si>
  <si>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</si>
  <si>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</si>
  <si>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</si>
  <si>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</si>
  <si>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</si>
  <si>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</si>
  <si>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</si>
  <si>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</si>
  <si>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</si>
  <si>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</si>
  <si>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</si>
  <si>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</si>
  <si>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</si>
  <si>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</si>
  <si>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</si>
  <si>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</si>
  <si>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</si>
  <si>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</si>
  <si>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</si>
  <si>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</si>
  <si>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</si>
  <si>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</si>
  <si>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</si>
  <si>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</si>
  <si>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</si>
  <si>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</si>
  <si>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</si>
  <si>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</si>
  <si>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</si>
  <si>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</si>
  <si>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</si>
  <si>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</si>
  <si>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</si>
  <si>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</si>
  <si>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</si>
  <si>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</si>
  <si>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</si>
  <si>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</si>
  <si>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</si>
  <si>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</si>
  <si>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</si>
  <si>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</si>
  <si>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</si>
  <si>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</si>
  <si>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</si>
  <si>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</si>
  <si>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</si>
  <si>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</si>
  <si>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</si>
  <si>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</si>
  <si>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</si>
  <si>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</si>
  <si>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</si>
  <si>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</si>
  <si>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</si>
  <si>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</si>
  <si>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</si>
  <si>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</si>
  <si>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</si>
  <si>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</si>
  <si>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</si>
  <si>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</si>
  <si>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</si>
  <si>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</si>
  <si>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</si>
  <si>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</si>
  <si>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</si>
  <si>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</si>
  <si>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</si>
  <si>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</si>
  <si>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</si>
  <si>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</si>
  <si>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</si>
  <si>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</si>
  <si>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</si>
  <si>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</si>
  <si>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</si>
  <si>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</si>
  <si>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</si>
  <si>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</si>
  <si>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</si>
  <si>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</si>
  <si>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</si>
  <si>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</si>
  <si>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</si>
  <si>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</si>
  <si>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</si>
  <si>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Moving without Stamina</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</si>
  <si>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</si>
  <si>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</si>
  <si>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</si>
  <si>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</si>
  <si>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</si>
  <si>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</si>
  <si>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</si>
  <si>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</si>
  <si>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</si>
  <si>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</si>
  <si>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</si>
  <si>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</si>
  <si>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</si>
  <si>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</si>
  <si>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</si>
  <si>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</si>
  <si>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Attempting to Climb a Mountain</t>
  </si>
  <si>
    <t>Attempt to Stagger Target</t>
  </si>
  <si>
    <t>Attempting to Talk at 1 Hex Range</t>
  </si>
  <si>
    <t>Attempt to Tank for someone else in Melee Range.</t>
  </si>
  <si>
    <t>Attempt to Push Target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</si>
  <si>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</si>
  <si>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</si>
  <si>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</si>
  <si>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</si>
  <si>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</si>
  <si>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</si>
  <si>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</si>
  <si>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</si>
  <si>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</si>
  <si>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</si>
  <si>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</si>
  <si>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</si>
  <si>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</si>
  <si>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</si>
  <si>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</si>
  <si>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</si>
  <si>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</si>
  <si>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</si>
  <si>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</si>
  <si>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</si>
  <si>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</si>
  <si>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</si>
  <si>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</si>
  <si>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</si>
  <si>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</si>
  <si>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</si>
  <si>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</si>
  <si>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</si>
  <si>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</si>
  <si>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</si>
  <si>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</si>
  <si>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</si>
  <si>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</si>
  <si>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</si>
  <si>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</si>
  <si>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</si>
  <si>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</si>
  <si>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</si>
  <si>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</si>
  <si>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Attempting to Swim</t>
  </si>
  <si>
    <t>Fleeing With Stamina</t>
  </si>
  <si>
    <t>Fleeing Without Stamina</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</si>
  <si>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</si>
  <si>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</si>
  <si>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</si>
  <si>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</si>
  <si>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</si>
  <si>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</si>
  <si>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</si>
  <si>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</si>
  <si>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</si>
  <si>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</si>
  <si>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</si>
  <si>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</si>
  <si>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</si>
  <si>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</si>
  <si>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</si>
  <si>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</si>
  <si>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</si>
  <si>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</si>
  <si>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</si>
  <si>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</si>
  <si>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</si>
  <si>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</si>
  <si>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</si>
  <si>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</si>
  <si>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</si>
  <si>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</si>
  <si>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</si>
  <si>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</si>
  <si>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</si>
  <si>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Casting Ability Without Enough Resource</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</si>
  <si>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</si>
  <si>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</si>
  <si>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</si>
  <si>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</si>
  <si>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</si>
  <si>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</si>
  <si>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</si>
  <si>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</si>
  <si>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</si>
  <si>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</si>
  <si>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</si>
  <si>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</si>
  <si>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</si>
  <si>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</si>
  <si>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</si>
  <si>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</si>
  <si>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</si>
  <si>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</si>
  <si>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</si>
  <si>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</si>
  <si>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</si>
  <si>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</si>
  <si>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</si>
  <si>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</si>
  <si>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</si>
  <si>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</si>
  <si>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</si>
  <si>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</si>
  <si>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</si>
  <si>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</si>
  <si>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</si>
  <si>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</si>
  <si>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</si>
  <si>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</si>
  <si>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</si>
  <si>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</si>
  <si>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</si>
  <si>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</si>
  <si>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</si>
  <si>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</si>
  <si>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</si>
  <si>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</si>
  <si>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</si>
  <si>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</si>
  <si>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</si>
  <si>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</si>
  <si>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DEFENSE</t>
  </si>
  <si>
    <t>DISPERSION</t>
  </si>
  <si>
    <t>STRENGTH</t>
  </si>
  <si>
    <t>DEXTERITY</t>
  </si>
  <si>
    <t>POWER</t>
  </si>
  <si>
    <t>STAMINA</t>
  </si>
  <si>
    <t>FORTITUDE</t>
  </si>
  <si>
    <t>ELEMENTAL RESISTANCES</t>
  </si>
  <si>
    <t>H/M</t>
  </si>
  <si>
    <t>Master</t>
  </si>
  <si>
    <t>COND</t>
  </si>
  <si>
    <t>ELEM/AT/ST</t>
  </si>
  <si>
    <t>Master 2</t>
  </si>
  <si>
    <t>Human</t>
  </si>
  <si>
    <t>Dunian</t>
  </si>
  <si>
    <t>Hope; Adaptive</t>
  </si>
  <si>
    <t>3</t>
  </si>
  <si>
    <t>0</t>
  </si>
  <si>
    <t>Race</t>
  </si>
  <si>
    <t>Mana</t>
  </si>
  <si>
    <t>Condition 1</t>
  </si>
  <si>
    <t>Condition 2</t>
  </si>
  <si>
    <t>Total Defense/Dispersion</t>
  </si>
  <si>
    <t>Total Attributes</t>
  </si>
  <si>
    <t>Total Elemental Resistance</t>
  </si>
  <si>
    <t>Condition Cost</t>
  </si>
  <si>
    <t>Stats Cost</t>
  </si>
  <si>
    <t>Def/Dis Cost</t>
  </si>
  <si>
    <t>Attribute Cost</t>
  </si>
  <si>
    <t>Stam Cost</t>
  </si>
  <si>
    <t>MASTER </t>
  </si>
  <si>
    <t>Total Cost of Stat</t>
  </si>
  <si>
    <t>Conditions</t>
  </si>
  <si>
    <t>Value</t>
  </si>
  <si>
    <t>Difference from Dunadian</t>
  </si>
  <si>
    <t>Altreidian</t>
  </si>
  <si>
    <t>Hope; Ambitious</t>
  </si>
  <si>
    <t>Yserian</t>
  </si>
  <si>
    <t>Hope; Disciplined</t>
  </si>
  <si>
    <t>Reptilion</t>
  </si>
  <si>
    <t>Lurker</t>
  </si>
  <si>
    <t>Scaled; Underdweller</t>
  </si>
  <si>
    <t>Kobold</t>
  </si>
  <si>
    <t>Scaled; Fireborn</t>
  </si>
  <si>
    <t>5</t>
  </si>
  <si>
    <t>Troglodyte</t>
  </si>
  <si>
    <t>Scaled; Cold Blooded</t>
  </si>
  <si>
    <t>3.5</t>
  </si>
  <si>
    <t>Nari</t>
  </si>
  <si>
    <t>Felinari</t>
  </si>
  <si>
    <t>Agile; Ambusher</t>
  </si>
  <si>
    <t>4</t>
  </si>
  <si>
    <t>Vulpinari</t>
  </si>
  <si>
    <t>Agile; Pathfinder</t>
  </si>
  <si>
    <t>0.5</t>
  </si>
  <si>
    <t>Lupinari</t>
  </si>
  <si>
    <t>Agile; Thick-furred</t>
  </si>
  <si>
    <t>Avian</t>
  </si>
  <si>
    <t>Harpy</t>
  </si>
  <si>
    <t>Winged; Fierce</t>
  </si>
  <si>
    <t>-1</t>
  </si>
  <si>
    <t>Strix</t>
  </si>
  <si>
    <t>Winged; Vigilent</t>
  </si>
  <si>
    <t>-4</t>
  </si>
  <si>
    <t>Ravian</t>
  </si>
  <si>
    <t>Winged; Fearless</t>
  </si>
  <si>
    <t>-3</t>
  </si>
  <si>
    <t>Brazen</t>
  </si>
  <si>
    <t>Minotaur</t>
  </si>
  <si>
    <t>Brawn; Thick-furred</t>
  </si>
  <si>
    <t>2.5</t>
  </si>
  <si>
    <t>Forgotten</t>
  </si>
  <si>
    <t>Brawn; Solid</t>
  </si>
  <si>
    <t>-2.5</t>
  </si>
  <si>
    <t>Satyr</t>
  </si>
  <si>
    <t>Brawn; Agile</t>
  </si>
  <si>
    <t>LIVING</t>
  </si>
  <si>
    <t>Orc</t>
  </si>
  <si>
    <t>Goblin</t>
  </si>
  <si>
    <t>Fierce; Coward</t>
  </si>
  <si>
    <t>-3.5</t>
  </si>
  <si>
    <t>Grunt</t>
  </si>
  <si>
    <t>Fierce; Brawn</t>
  </si>
  <si>
    <t>7</t>
  </si>
  <si>
    <t>-?</t>
  </si>
  <si>
    <t>Corrupted</t>
  </si>
  <si>
    <t>Fierce; Vile</t>
  </si>
  <si>
    <t>Dwarf</t>
  </si>
  <si>
    <t>Delver</t>
  </si>
  <si>
    <t>Rich; Underdweller</t>
  </si>
  <si>
    <t>Landzwerger</t>
  </si>
  <si>
    <t>Rich; Heavy</t>
  </si>
  <si>
    <t>5.5</t>
  </si>
  <si>
    <t>Gnome</t>
  </si>
  <si>
    <t>Rich; Stealth</t>
  </si>
  <si>
    <t>7.5</t>
  </si>
  <si>
    <t>Troll</t>
  </si>
  <si>
    <t>Mountain</t>
  </si>
  <si>
    <t>Heavy; Solid</t>
  </si>
  <si>
    <t>2</t>
  </si>
  <si>
    <t>-5</t>
  </si>
  <si>
    <t>Forest</t>
  </si>
  <si>
    <t>Heavy; Regeneration</t>
  </si>
  <si>
    <t>6</t>
  </si>
  <si>
    <t>Cave</t>
  </si>
  <si>
    <t>Heavy; Fierce</t>
  </si>
  <si>
    <t>Hivespawn</t>
  </si>
  <si>
    <t>Mothrin</t>
  </si>
  <si>
    <t>Nocturnal; Winged</t>
  </si>
  <si>
    <t>Arachnian</t>
  </si>
  <si>
    <t>Nocturnal; Ambusher</t>
  </si>
  <si>
    <t>Arkaden</t>
  </si>
  <si>
    <t>Nocturnal; Skeletal</t>
  </si>
  <si>
    <t>Naga</t>
  </si>
  <si>
    <t>Siren</t>
  </si>
  <si>
    <t>Amphibious; Seducer</t>
  </si>
  <si>
    <t>Triton</t>
  </si>
  <si>
    <t>Amphibious; Scaled</t>
  </si>
  <si>
    <t>Nixie</t>
  </si>
  <si>
    <t>Amphibious; Foresight</t>
  </si>
  <si>
    <t>1.5</t>
  </si>
  <si>
    <t>Sporian</t>
  </si>
  <si>
    <t>Rotcap</t>
  </si>
  <si>
    <t>Underdweller; Rotting in 5 Days</t>
  </si>
  <si>
    <t>-0.5</t>
  </si>
  <si>
    <t>Deathcap</t>
  </si>
  <si>
    <t>Underdweller; Resolute</t>
  </si>
  <si>
    <t>14.5</t>
  </si>
  <si>
    <t>Redcap</t>
  </si>
  <si>
    <t>Underdweller; Disciplined</t>
  </si>
  <si>
    <t>4.5</t>
  </si>
  <si>
    <t>Reflector</t>
  </si>
  <si>
    <t>Ratfolk</t>
  </si>
  <si>
    <t>Sewerspawn</t>
  </si>
  <si>
    <t>Adaptive; Ambusher</t>
  </si>
  <si>
    <t>Vermin</t>
  </si>
  <si>
    <t>Adaptive; Insane</t>
  </si>
  <si>
    <t>Legislated</t>
  </si>
  <si>
    <t>Adaptive; Thick-furred</t>
  </si>
  <si>
    <t>Dryad</t>
  </si>
  <si>
    <t>Nymph</t>
  </si>
  <si>
    <t>Regeneration; Seducer</t>
  </si>
  <si>
    <t>Frostleaf</t>
  </si>
  <si>
    <t>Regeneration; Cold Blooded</t>
  </si>
  <si>
    <t>Naturian</t>
  </si>
  <si>
    <t>Regeneration; Adaptive</t>
  </si>
  <si>
    <t>FAE</t>
  </si>
  <si>
    <t>Elf</t>
  </si>
  <si>
    <t>Shadow</t>
  </si>
  <si>
    <t>Vigilent; Nocturnal</t>
  </si>
  <si>
    <t>Crimson</t>
  </si>
  <si>
    <t>Vigilent; Unstable</t>
  </si>
  <si>
    <t>Sylvan</t>
  </si>
  <si>
    <t>Vigilent; Agile</t>
  </si>
  <si>
    <t>Sprite</t>
  </si>
  <si>
    <t>Pixie</t>
  </si>
  <si>
    <t>Absorber; Stealth</t>
  </si>
  <si>
    <t>-2</t>
  </si>
  <si>
    <t>Faery</t>
  </si>
  <si>
    <t>Absorber; Ethereal</t>
  </si>
  <si>
    <t>Wildian</t>
  </si>
  <si>
    <t>Absorber; Regeneration</t>
  </si>
  <si>
    <t>Nemesian</t>
  </si>
  <si>
    <t>Azurebound</t>
  </si>
  <si>
    <t>Aetheric; Foresight</t>
  </si>
  <si>
    <t>Verdant</t>
  </si>
  <si>
    <t>Aetheric; Clarity</t>
  </si>
  <si>
    <t>Gloomveiled</t>
  </si>
  <si>
    <t>Aetheric; Psionic</t>
  </si>
  <si>
    <t>Gear-Forged</t>
  </si>
  <si>
    <t>Automaton</t>
  </si>
  <si>
    <t>Mechanical; Fearless</t>
  </si>
  <si>
    <t>Clockwork</t>
  </si>
  <si>
    <t>Mechanical; Brawn</t>
  </si>
  <si>
    <t>Steam Walker</t>
  </si>
  <si>
    <t>Mechanical; Heavy</t>
  </si>
  <si>
    <t>-12</t>
  </si>
  <si>
    <t>CONSTRUCT</t>
  </si>
  <si>
    <t>Sentinel</t>
  </si>
  <si>
    <t>Hardwired</t>
  </si>
  <si>
    <t>Armored; Pathfinder</t>
  </si>
  <si>
    <t>50%</t>
  </si>
  <si>
    <t>-10</t>
  </si>
  <si>
    <t>12</t>
  </si>
  <si>
    <t>Replicant</t>
  </si>
  <si>
    <t>Armored; Fierce</t>
  </si>
  <si>
    <t>Sentry</t>
  </si>
  <si>
    <t>Armored; Solid</t>
  </si>
  <si>
    <t>Anima</t>
  </si>
  <si>
    <t>Crystalite</t>
  </si>
  <si>
    <t>Animated; Unstable</t>
  </si>
  <si>
    <t>Obisidiante</t>
  </si>
  <si>
    <t>Animated; Amphibious</t>
  </si>
  <si>
    <t>Carbonite</t>
  </si>
  <si>
    <t>Animated; Fireborn</t>
  </si>
  <si>
    <t>Golem</t>
  </si>
  <si>
    <t>Mana-Tech</t>
  </si>
  <si>
    <t>Incorporated; Ionized</t>
  </si>
  <si>
    <t>Metal</t>
  </si>
  <si>
    <t>Incorporated; Solid</t>
  </si>
  <si>
    <t>Bone</t>
  </si>
  <si>
    <t>Incorporated; Skeletal</t>
  </si>
  <si>
    <t>Wight</t>
  </si>
  <si>
    <t>Skeleton</t>
  </si>
  <si>
    <t>Fearless; Skeletal</t>
  </si>
  <si>
    <t>Ghoul</t>
  </si>
  <si>
    <t>Fearless; Rotting in 5 Days</t>
  </si>
  <si>
    <t>Revenant</t>
  </si>
  <si>
    <t>Fearless; Cold Blooded</t>
  </si>
  <si>
    <t>15.5</t>
  </si>
  <si>
    <t>UNDEAD</t>
  </si>
  <si>
    <t>Bane</t>
  </si>
  <si>
    <t>Watcher</t>
  </si>
  <si>
    <t>Vile; Armored</t>
  </si>
  <si>
    <t>Grimglider</t>
  </si>
  <si>
    <t>Vile; Winged</t>
  </si>
  <si>
    <t>Lich</t>
  </si>
  <si>
    <t>Vile; Absorber</t>
  </si>
  <si>
    <t>Wraith</t>
  </si>
  <si>
    <t>Shade</t>
  </si>
  <si>
    <t>Ethereal; Nocturnal</t>
  </si>
  <si>
    <t>Banshee</t>
  </si>
  <si>
    <t>Ethereal; Amphibious</t>
  </si>
  <si>
    <t>Spectre</t>
  </si>
  <si>
    <t>Ethereal; Stealth</t>
  </si>
  <si>
    <t>Necronian</t>
  </si>
  <si>
    <t>Dawnfallen</t>
  </si>
  <si>
    <t>Reflector; Adaptive</t>
  </si>
  <si>
    <t>Helltaken</t>
  </si>
  <si>
    <t>Reflector; Gating</t>
  </si>
  <si>
    <t>Forsaken</t>
  </si>
  <si>
    <t>Reflector; Agile</t>
  </si>
  <si>
    <t>-2.22045E-16</t>
  </si>
  <si>
    <t>Cambion</t>
  </si>
  <si>
    <t>Wingborn</t>
  </si>
  <si>
    <t>Fireborn; Winged</t>
  </si>
  <si>
    <t>Wrathian</t>
  </si>
  <si>
    <t>Fireborn; Gating</t>
  </si>
  <si>
    <t>Darktale</t>
  </si>
  <si>
    <t>Fireborn; Insane</t>
  </si>
  <si>
    <t>DEMON</t>
  </si>
  <si>
    <t>Devil</t>
  </si>
  <si>
    <t>Twin Tailed</t>
  </si>
  <si>
    <t>Gating; Agile</t>
  </si>
  <si>
    <t>Horned</t>
  </si>
  <si>
    <t>Gating; Brawn</t>
  </si>
  <si>
    <t>Primordial</t>
  </si>
  <si>
    <t>Gating; Vile</t>
  </si>
  <si>
    <t>Aetherkan</t>
  </si>
  <si>
    <t>Flare</t>
  </si>
  <si>
    <t>Infernal; Gating</t>
  </si>
  <si>
    <t>2.22045E-16</t>
  </si>
  <si>
    <t>Sear</t>
  </si>
  <si>
    <t>Infernal; Fierce</t>
  </si>
  <si>
    <t>Lilian</t>
  </si>
  <si>
    <t>Infernal; Vile</t>
  </si>
  <si>
    <t>Fiend</t>
  </si>
  <si>
    <t>Imp</t>
  </si>
  <si>
    <t>Winged; Agile</t>
  </si>
  <si>
    <t>Succubus</t>
  </si>
  <si>
    <t>Winged; Seducer</t>
  </si>
  <si>
    <t>Blanc</t>
  </si>
  <si>
    <t>Winged; Banished</t>
  </si>
  <si>
    <t>Angel</t>
  </si>
  <si>
    <t>Exiled</t>
  </si>
  <si>
    <t>Winged; Insane</t>
  </si>
  <si>
    <t>-1.5</t>
  </si>
  <si>
    <t>14</t>
  </si>
  <si>
    <t>Highsky</t>
  </si>
  <si>
    <t>Winged; Pathfinder</t>
  </si>
  <si>
    <t>Valkyr</t>
  </si>
  <si>
    <t>Winged; Clarity</t>
  </si>
  <si>
    <t>-4.5</t>
  </si>
  <si>
    <t>DIVINE</t>
  </si>
  <si>
    <t>Deva</t>
  </si>
  <si>
    <t>Goldalcon</t>
  </si>
  <si>
    <t>Ambitious; Resolute</t>
  </si>
  <si>
    <t>Sevascon</t>
  </si>
  <si>
    <t>Ambitious; Disciplined</t>
  </si>
  <si>
    <t>Planicon</t>
  </si>
  <si>
    <t>Ambitious; Vigilent</t>
  </si>
  <si>
    <t>Servion</t>
  </si>
  <si>
    <t>Celestial</t>
  </si>
  <si>
    <t>Psionic; Foresight</t>
  </si>
  <si>
    <t>Empyrian</t>
  </si>
  <si>
    <t>Psionic; Ethereal</t>
  </si>
  <si>
    <t>Cosmic</t>
  </si>
  <si>
    <t>Psionic; Unstable</t>
  </si>
  <si>
    <t>Aspect</t>
  </si>
  <si>
    <t>Patagan</t>
  </si>
  <si>
    <t>Absorber; Armored</t>
  </si>
  <si>
    <t>Orion</t>
  </si>
  <si>
    <t>Absorber; Resolute</t>
  </si>
  <si>
    <t>Electis</t>
  </si>
  <si>
    <t>Absorber; Ionized</t>
  </si>
  <si>
    <t>CONDITION</t>
  </si>
  <si>
    <t>EFFECT</t>
  </si>
  <si>
    <t>LIGHT </t>
  </si>
  <si>
    <t>DARK </t>
  </si>
  <si>
    <t>FIRE </t>
  </si>
  <si>
    <t>FROST </t>
  </si>
  <si>
    <t>WIND </t>
  </si>
  <si>
    <t>EARTH </t>
  </si>
  <si>
    <t>LIGHTNING </t>
  </si>
  <si>
    <t>BLEED </t>
  </si>
  <si>
    <t>POISON </t>
  </si>
  <si>
    <t>Dispersion is now percentage based and each Dispersion point counts as 3%; Capped at 100%.</t>
  </si>
  <si>
    <t>Reduce the first Type of Damage that first affects by 5 until End of Day.</t>
  </si>
  <si>
    <t>Leveling up restores 25% Missing Health and Resource.</t>
  </si>
  <si>
    <t>Defense is now Percentage based, and each Defense point counts as 3%; Capped at 100%.</t>
  </si>
  <si>
    <t>You can no Longer Interact with any Zone</t>
  </si>
  <si>
    <t>(P): If the Incoming Damage or Health Loss would prove lethal, Consume 1 Faith and Block up to 50 Damage or 50 Lost Health; This Stacks up to 150 Damage/Health Loss Prevented (At 3 Faith).</t>
  </si>
  <si>
    <t>You can no longer hire Mercanaries, companions or Fight in the Arena</t>
  </si>
  <si>
    <t>You are suffering from a curse. Curses can only be broken by either the Death of the Entity that caused it or using a special Item/Scroll.</t>
  </si>
  <si>
    <t>Gain -2 Mobility; -3 Initiative Roll.</t>
  </si>
  <si>
    <t>Immune to Fire and Frost Damage; Wet Status also deals 25 True Damage per Tick to you.</t>
  </si>
  <si>
    <t>Immune to Tormented and Drunk.</t>
  </si>
  <si>
    <t>Gain 10% Deflection; Your Deflection is replaced by Reflection; Reflection reflects Non-Ultimate Projectiles at 50% of their original Damage.</t>
  </si>
  <si>
    <t>Immune to Sleeping.</t>
  </si>
  <si>
    <t>When Casting Abilities without enough Resource it still casts unless the roll is a 1. (Following the Damage Chart from "Casting Abilities without enough Resource)</t>
  </si>
  <si>
    <t>Causes death in a certain number of Turns/Days if not removed. </t>
  </si>
  <si>
    <t>Gain 10% Deflect; Strikes are now also affected by your Deflect Chance but instead of being fully negated they are only reduced by 50% of their Total Damage.</t>
  </si>
  <si>
    <t>Reduce all Damage you are about to take by 2.</t>
  </si>
  <si>
    <t>You are able to Traverse Mountains; Gain Stealth while on Mountain Hexes.</t>
  </si>
  <si>
    <t>At the Start of Combat you roll a d10 to become Vulnerable or Surged for 3 Turns at random.</t>
  </si>
  <si>
    <t>No longer Take Damage from Traversing Hexes; Spend 0.5 Stamina to gain 1 Hex Vision until Movement.</t>
  </si>
  <si>
    <t>    </t>
  </si>
  <si>
    <t> </t>
  </si>
  <si>
    <t>If you find this easter egg</t>
  </si>
  <si>
    <t>rest assured it is not in the</t>
  </si>
  <si>
    <t>Game yet so don't bother </t>
  </si>
  <si>
    <t>ELDRITCH</t>
  </si>
  <si>
    <t>Verubian</t>
  </si>
  <si>
    <t>CREATURE</t>
  </si>
  <si>
    <t>KIN/DIFFICULTY</t>
  </si>
  <si>
    <t>BIOMES</t>
  </si>
  <si>
    <t>WEAKLINGS</t>
  </si>
  <si>
    <t>Primes</t>
  </si>
  <si>
    <t>Surface</t>
  </si>
  <si>
    <t>Demon</t>
  </si>
  <si>
    <t>Underground</t>
  </si>
  <si>
    <t>Undead</t>
  </si>
  <si>
    <t>Grasslands</t>
  </si>
  <si>
    <t>Fae</t>
  </si>
  <si>
    <t>Frostreach</t>
  </si>
  <si>
    <t>Divine</t>
  </si>
  <si>
    <t>Sakura</t>
  </si>
  <si>
    <t>Construct</t>
  </si>
  <si>
    <t>Sundune</t>
  </si>
  <si>
    <t>Living</t>
  </si>
  <si>
    <t>Bloodgrounds</t>
  </si>
  <si>
    <t>8</t>
  </si>
  <si>
    <t>Volcanica</t>
  </si>
  <si>
    <t>9</t>
  </si>
  <si>
    <t>Desolation</t>
  </si>
  <si>
    <t>10</t>
  </si>
  <si>
    <t>Grimwall</t>
  </si>
  <si>
    <t>11</t>
  </si>
  <si>
    <t>Elysian</t>
  </si>
  <si>
    <t>Underspread</t>
  </si>
  <si>
    <t>13</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</si>
  <si>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</si>
  <si>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</si>
  <si>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</si>
  <si>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</si>
  <si>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</si>
  <si>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</si>
  <si>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</si>
  <si>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</si>
  <si>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</si>
  <si>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</si>
  <si>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</si>
  <si>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</si>
  <si>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</si>
  <si>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</si>
  <si>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</si>
  <si>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</si>
  <si>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</si>
  <si>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</si>
  <si>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</si>
  <si>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</si>
  <si>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</si>
  <si>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</si>
  <si>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</si>
  <si>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</si>
  <si>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</si>
  <si>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</si>
  <si>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</si>
  <si>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</si>
  <si>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</si>
  <si>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</si>
  <si>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</si>
  <si>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</si>
  <si>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</si>
  <si>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</si>
  <si>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</si>
  <si>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</si>
  <si>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</si>
  <si>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</si>
  <si>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</si>
  <si>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</si>
  <si>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</si>
  <si>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</si>
  <si>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</si>
  <si>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</si>
  <si>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</si>
  <si>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</si>
  <si>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</si>
  <si>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</si>
  <si>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</si>
  <si>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</si>
  <si>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</si>
  <si>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</si>
  <si>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</si>
  <si>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</si>
  <si>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</si>
  <si>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</si>
  <si>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</si>
  <si>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</si>
  <si>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</si>
  <si>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</si>
  <si>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</si>
  <si>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</si>
  <si>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</si>
  <si>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</si>
  <si>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</si>
  <si>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</si>
  <si>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</si>
  <si>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</si>
  <si>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</si>
  <si>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</si>
  <si>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</si>
  <si>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</si>
  <si>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</si>
  <si>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</si>
  <si>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</si>
  <si>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</si>
  <si>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</si>
  <si>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</si>
  <si>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</si>
  <si>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</si>
  <si>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</si>
  <si>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</si>
  <si>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</si>
  <si>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</si>
  <si>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</si>
  <si>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</si>
  <si>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</si>
  <si>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</si>
  <si>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</si>
  <si>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</si>
  <si>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</si>
  <si>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</si>
  <si>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</si>
  <si>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</si>
  <si>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</si>
  <si>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</si>
  <si>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</si>
  <si>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</si>
  <si>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</si>
  <si>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</si>
  <si>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</si>
  <si>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</si>
  <si>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</si>
  <si>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</si>
  <si>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</si>
  <si>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</si>
  <si>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</si>
  <si>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</si>
  <si>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</si>
  <si>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</si>
  <si>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</si>
  <si>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</si>
  <si>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</si>
  <si>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</si>
  <si>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</si>
  <si>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</si>
  <si>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</si>
  <si>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</si>
  <si>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</si>
  <si>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</si>
  <si>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</si>
  <si>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</si>
  <si>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</si>
  <si>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</si>
  <si>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</si>
  <si>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</si>
  <si>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</si>
  <si>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</si>
  <si>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</si>
  <si>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</si>
  <si>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</si>
  <si>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</si>
  <si>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</si>
  <si>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</si>
  <si>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</si>
  <si>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</si>
  <si>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</si>
  <si>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</si>
  <si>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</si>
  <si>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</si>
  <si>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</si>
  <si>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</si>
  <si>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</si>
  <si>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</si>
  <si>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</si>
  <si>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</si>
  <si>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</si>
  <si>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</si>
  <si>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</si>
  <si>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</si>
  <si>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</si>
  <si>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</si>
  <si>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</si>
  <si>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</si>
  <si>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</si>
  <si>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</si>
  <si>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</si>
  <si>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</si>
  <si>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</si>
  <si>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</si>
  <si>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</si>
  <si>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</si>
  <si>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</si>
  <si>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</si>
  <si>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</si>
  <si>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</si>
  <si>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</si>
  <si>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</si>
  <si>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</si>
  <si>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</si>
  <si>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</si>
  <si>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</si>
  <si>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</si>
  <si>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</si>
  <si>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</si>
  <si>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</si>
  <si>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</si>
  <si>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</si>
  <si>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</si>
  <si>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</si>
  <si>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</si>
  <si>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</si>
  <si>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</si>
  <si>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</si>
  <si>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</si>
  <si>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</si>
  <si>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</si>
  <si>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</si>
  <si>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</si>
  <si>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</si>
  <si>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</si>
  <si>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</si>
  <si>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</si>
  <si>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</si>
  <si>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</si>
  <si>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</si>
  <si>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</si>
  <si>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</si>
  <si>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</si>
  <si>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</si>
  <si>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</si>
  <si>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</si>
  <si>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</si>
  <si>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</si>
  <si>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</si>
  <si>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</si>
  <si>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</si>
  <si>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</si>
  <si>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</si>
  <si>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</si>
  <si>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</si>
  <si>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</si>
  <si>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</si>
  <si>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</si>
  <si>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</si>
  <si>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</si>
  <si>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</si>
  <si>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</si>
  <si>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</si>
  <si>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</si>
  <si>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</si>
  <si>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</si>
  <si>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</si>
  <si>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</si>
  <si>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</si>
  <si>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</si>
  <si>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</si>
  <si>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</si>
  <si>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</si>
  <si>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</si>
  <si>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</si>
  <si>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</si>
  <si>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</si>
  <si>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</si>
  <si>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</si>
  <si>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</si>
  <si>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</si>
  <si>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</si>
  <si>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</si>
  <si>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</si>
  <si>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</si>
  <si>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</si>
  <si>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</si>
  <si>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</si>
  <si>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</si>
  <si>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</si>
  <si>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</si>
  <si>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</si>
  <si>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</si>
  <si>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</si>
  <si>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</si>
  <si>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</si>
  <si>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</si>
  <si>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</si>
  <si>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</si>
  <si>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</si>
  <si>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</si>
  <si>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</si>
  <si>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</si>
  <si>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</si>
  <si>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</si>
  <si>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</si>
  <si>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</si>
  <si>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</si>
  <si>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</si>
  <si>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</si>
  <si>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</si>
  <si>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</si>
  <si>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</si>
  <si>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</si>
  <si>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</si>
  <si>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</si>
  <si>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</si>
  <si>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</si>
  <si>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</si>
  <si>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</si>
  <si>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</si>
  <si>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</si>
  <si>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</si>
  <si>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</si>
  <si>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</si>
  <si>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</si>
  <si>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</si>
  <si>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</si>
  <si>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</si>
  <si>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</si>
  <si>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Rot Target with 50% chance, Rots in 7 Days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</si>
  <si>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</si>
  <si>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</si>
  <si>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</si>
  <si>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</si>
  <si>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</si>
  <si>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</si>
  <si>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</si>
  <si>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</si>
  <si>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</si>
  <si>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</si>
  <si>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</si>
  <si>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</si>
  <si>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</si>
  <si>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</si>
  <si>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</si>
  <si>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</si>
  <si>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</si>
  <si>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</si>
  <si>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</si>
  <si>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</si>
  <si>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</si>
  <si>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</si>
  <si>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</si>
  <si>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</si>
  <si>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</si>
  <si>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</si>
  <si>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</si>
  <si>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</si>
  <si>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</si>
  <si>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</si>
  <si>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</si>
  <si>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</si>
  <si>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</si>
  <si>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</si>
  <si>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</si>
  <si>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</si>
  <si>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</si>
  <si>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</si>
  <si>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</si>
  <si>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</si>
  <si>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</si>
  <si>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</si>
  <si>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</si>
  <si>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</si>
  <si>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</si>
  <si>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</si>
  <si>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</si>
  <si>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</si>
  <si>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</si>
  <si>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</si>
  <si>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</si>
  <si>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</si>
  <si>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</si>
  <si>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</si>
  <si>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</si>
  <si>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</si>
  <si>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</si>
  <si>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</si>
  <si>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</si>
  <si>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</si>
  <si>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</si>
  <si>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</si>
  <si>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</si>
  <si>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</si>
  <si>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</si>
  <si>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</si>
  <si>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</si>
  <si>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</si>
  <si>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</si>
  <si>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</si>
  <si>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</si>
  <si>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</si>
  <si>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</si>
  <si>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</si>
  <si>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</si>
  <si>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</si>
  <si>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</si>
  <si>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</si>
  <si>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</si>
  <si>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</si>
  <si>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</si>
  <si>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</si>
  <si>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</si>
  <si>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</si>
  <si>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</si>
  <si>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</si>
  <si>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</si>
  <si>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</si>
  <si>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</si>
  <si>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</si>
  <si>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</si>
  <si>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</si>
  <si>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</si>
  <si>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</si>
  <si>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</si>
  <si>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</si>
  <si>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</si>
  <si>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</si>
  <si>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</si>
  <si>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</si>
  <si>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</si>
  <si>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</si>
  <si>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</si>
  <si>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</si>
  <si>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</si>
  <si>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</si>
  <si>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</si>
  <si>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</si>
  <si>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</si>
  <si>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</si>
  <si>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</si>
  <si>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</si>
  <si>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</si>
  <si>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</si>
  <si>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</si>
  <si>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</si>
  <si>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</si>
  <si>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</si>
  <si>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</si>
  <si>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</si>
  <si>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</si>
  <si>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</si>
  <si>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</si>
  <si>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</si>
  <si>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</si>
  <si>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</si>
  <si>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</si>
  <si>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</si>
  <si>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</si>
  <si>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</si>
  <si>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</si>
  <si>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</si>
  <si>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</si>
  <si>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</si>
  <si>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</si>
  <si>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</si>
  <si>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</si>
  <si>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</si>
  <si>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</si>
  <si>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</si>
  <si>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</si>
  <si>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</si>
  <si>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</si>
  <si>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</si>
  <si>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</si>
  <si>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</si>
  <si>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</si>
  <si>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</si>
  <si>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</si>
  <si>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</si>
  <si>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</si>
  <si>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</si>
  <si>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</si>
  <si>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</si>
  <si>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</si>
  <si>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</si>
  <si>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</si>
  <si>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</si>
  <si>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</si>
  <si>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</si>
  <si>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</si>
  <si>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</si>
  <si>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</si>
  <si>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</si>
  <si>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</si>
  <si>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</si>
  <si>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</si>
  <si>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</si>
  <si>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</si>
  <si>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</si>
  <si>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</si>
  <si>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</si>
  <si>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</si>
  <si>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</si>
  <si>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</si>
  <si>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</si>
  <si>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</si>
  <si>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</si>
  <si>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</si>
  <si>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</si>
  <si>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</si>
  <si>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</si>
  <si>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</si>
  <si>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</si>
  <si>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</si>
  <si>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</si>
  <si>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</si>
  <si>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</si>
  <si>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</si>
  <si>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</si>
  <si>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</si>
  <si>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</si>
  <si>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</si>
  <si>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</si>
  <si>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</si>
  <si>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</si>
  <si>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</si>
  <si>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</si>
  <si>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</si>
  <si>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</si>
  <si>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</si>
  <si>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</si>
  <si>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</si>
  <si>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</si>
  <si>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</si>
  <si>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</si>
  <si>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</si>
  <si>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</si>
  <si>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</si>
  <si>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</si>
  <si>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</si>
  <si>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</si>
  <si>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</si>
  <si>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</si>
  <si>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</si>
  <si>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</si>
  <si>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</si>
  <si>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</si>
  <si>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</si>
  <si>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</si>
  <si>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</si>
  <si>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</si>
  <si>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</si>
  <si>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</si>
  <si>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</si>
  <si>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</si>
  <si>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</si>
  <si>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</si>
  <si>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</si>
  <si>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</si>
  <si>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</si>
  <si>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</si>
  <si>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</si>
  <si>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</si>
  <si>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</si>
  <si>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</si>
  <si>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</si>
  <si>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</si>
  <si>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</si>
  <si>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</si>
  <si>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</si>
  <si>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</si>
  <si>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</si>
  <si>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</si>
  <si>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</si>
  <si>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</si>
  <si>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</si>
  <si>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</si>
  <si>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</si>
  <si>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</si>
  <si>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</si>
  <si>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</si>
  <si>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</si>
  <si>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</si>
  <si>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</si>
  <si>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</si>
  <si>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</si>
  <si>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</si>
  <si>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</si>
  <si>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</si>
  <si>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</si>
  <si>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</si>
  <si>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</si>
  <si>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</si>
  <si>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</si>
  <si>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</si>
  <si>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</si>
  <si>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</si>
  <si>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</si>
  <si>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</si>
  <si>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</si>
  <si>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</si>
  <si>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</si>
  <si>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</si>
  <si>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</si>
  <si>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</si>
  <si>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</si>
  <si>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</si>
  <si>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</si>
  <si>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</si>
  <si>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</si>
  <si>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</si>
  <si>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</si>
  <si>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</si>
  <si>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</si>
  <si>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</si>
  <si>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</si>
  <si>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</si>
  <si>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</si>
  <si>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</si>
  <si>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</si>
  <si>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</si>
  <si>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</si>
  <si>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</si>
  <si>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</si>
  <si>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</si>
  <si>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</si>
  <si>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</si>
  <si>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</si>
  <si>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</si>
  <si>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</si>
  <si>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</si>
  <si>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</si>
  <si>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</si>
  <si>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</si>
  <si>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</si>
  <si>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</si>
  <si>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</si>
  <si>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</si>
  <si>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</si>
  <si>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</si>
  <si>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</si>
  <si>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</si>
  <si>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</si>
  <si>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</si>
  <si>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</si>
  <si>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</si>
  <si>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</si>
  <si>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</si>
  <si>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</si>
  <si>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</si>
  <si>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</si>
  <si>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</si>
  <si>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</si>
  <si>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</si>
  <si>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</si>
  <si>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</si>
  <si>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</si>
  <si>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</si>
  <si>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</si>
  <si>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</si>
  <si>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</si>
  <si>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</si>
  <si>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</si>
  <si>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</si>
  <si>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</si>
  <si>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</si>
  <si>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</si>
  <si>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</si>
  <si>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</si>
  <si>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</si>
  <si>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</si>
  <si>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</si>
  <si>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</si>
  <si>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</si>
  <si>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</si>
  <si>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</si>
  <si>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</si>
  <si>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</si>
  <si>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</si>
  <si>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</si>
  <si>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</si>
  <si>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</si>
  <si>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</si>
  <si>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</si>
  <si>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</si>
  <si>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</si>
  <si>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</si>
  <si>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</si>
  <si>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</si>
  <si>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</si>
  <si>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</si>
  <si>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</si>
  <si>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</si>
  <si>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</si>
  <si>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</si>
  <si>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</si>
  <si>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</si>
  <si>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</si>
  <si>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</si>
  <si>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</si>
  <si>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</si>
  <si>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</si>
  <si>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</si>
  <si>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</si>
  <si>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</si>
  <si>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</si>
  <si>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</si>
  <si>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</si>
  <si>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</si>
  <si>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</si>
  <si>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</si>
  <si>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</si>
  <si>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</si>
  <si>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</si>
  <si>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</si>
  <si>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</si>
  <si>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</si>
  <si>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</si>
  <si>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</si>
  <si>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</si>
  <si>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</si>
  <si>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</si>
  <si>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</si>
  <si>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</si>
  <si>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</si>
  <si>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</si>
  <si>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</si>
  <si>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</si>
  <si>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</si>
  <si>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</si>
  <si>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</si>
  <si>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</si>
  <si>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</si>
  <si>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</si>
  <si>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</si>
  <si>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</si>
  <si>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</si>
  <si>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</si>
  <si>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</si>
  <si>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</si>
  <si>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</si>
  <si>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</si>
  <si>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</si>
  <si>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</si>
  <si>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</si>
  <si>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</si>
  <si>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</si>
  <si>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</si>
  <si>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</si>
  <si>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</si>
  <si>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</si>
  <si>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</si>
  <si>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</si>
  <si>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</si>
  <si>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</si>
  <si>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</si>
  <si>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</si>
  <si>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</si>
  <si>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</si>
  <si>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</si>
  <si>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</si>
  <si>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</si>
  <si>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</si>
  <si>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</si>
  <si>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</si>
  <si>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</si>
  <si>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</si>
  <si>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</si>
  <si>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</si>
  <si>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</si>
  <si>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</si>
  <si>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</si>
  <si>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</si>
  <si>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</si>
  <si>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</si>
  <si>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</si>
  <si>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</si>
  <si>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</si>
  <si>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</si>
  <si>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</si>
  <si>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</si>
  <si>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</si>
  <si>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</si>
  <si>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</si>
  <si>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</si>
  <si>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</si>
  <si>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</si>
  <si>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</si>
  <si>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</si>
  <si>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</si>
  <si>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</si>
  <si>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</si>
  <si>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</si>
  <si>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</si>
  <si>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</si>
  <si>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</si>
  <si>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</si>
  <si>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</si>
  <si>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</si>
  <si>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</si>
  <si>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</si>
  <si>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</si>
  <si>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</si>
  <si>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</si>
  <si>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</si>
  <si>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</si>
  <si>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</si>
  <si>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</si>
  <si>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</si>
  <si>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</si>
  <si>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</si>
  <si>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</si>
  <si>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</si>
  <si>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</si>
  <si>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</si>
  <si>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</si>
  <si>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</si>
  <si>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</si>
  <si>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</si>
  <si>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</si>
  <si>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</si>
  <si>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</si>
  <si>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</si>
  <si>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</si>
  <si>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</si>
  <si>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</si>
  <si>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</si>
  <si>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</si>
  <si>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</si>
  <si>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</si>
  <si>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</si>
  <si>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</si>
  <si>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</si>
  <si>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</si>
  <si>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</si>
  <si>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</si>
  <si>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</si>
  <si>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</si>
  <si>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</si>
  <si>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</si>
  <si>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</si>
  <si>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</si>
  <si>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145/300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</si>
  <si>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</si>
  <si>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</si>
  <si>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</si>
  <si>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</si>
  <si>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</si>
  <si>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</si>
  <si>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</si>
  <si>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</si>
  <si>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</si>
  <si>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</si>
  <si>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</si>
  <si>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</si>
  <si>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</si>
  <si>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</si>
  <si>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</si>
  <si>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</si>
  <si>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</si>
  <si>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</si>
  <si>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</si>
  <si>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</si>
  <si>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</si>
  <si>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</si>
  <si>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</si>
  <si>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</si>
  <si>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</si>
  <si>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</si>
  <si>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</si>
  <si>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</si>
  <si>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</si>
  <si>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</si>
  <si>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</si>
  <si>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</si>
  <si>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</si>
  <si>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</si>
  <si>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</si>
  <si>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</si>
  <si>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</si>
  <si>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</si>
  <si>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</si>
  <si>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</si>
  <si>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</si>
  <si>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</si>
  <si>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</si>
  <si>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</si>
  <si>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</si>
  <si>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</si>
  <si>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</si>
  <si>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</si>
  <si>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</si>
  <si>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</si>
  <si>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</si>
  <si>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</si>
  <si>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</si>
  <si>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</si>
  <si>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</si>
  <si>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</si>
  <si>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</si>
  <si>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</si>
  <si>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</si>
  <si>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</si>
  <si>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</si>
  <si>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</si>
  <si>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</si>
  <si>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</si>
  <si>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</si>
  <si>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</si>
  <si>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</si>
  <si>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</si>
  <si>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</si>
  <si>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</si>
  <si>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</si>
  <si>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</si>
  <si>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</si>
  <si>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</si>
  <si>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</si>
  <si>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</si>
  <si>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</si>
  <si>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</si>
  <si>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</si>
  <si>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</si>
  <si>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</si>
  <si>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</si>
  <si>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</si>
  <si>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</si>
  <si>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</si>
  <si>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</si>
  <si>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</si>
  <si>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</si>
  <si>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</si>
  <si>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</si>
  <si>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</si>
  <si>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</si>
  <si>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</si>
  <si>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</si>
  <si>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</si>
  <si>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</si>
  <si>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</si>
  <si>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</si>
  <si>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</si>
  <si>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</si>
  <si>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</si>
  <si>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</si>
  <si>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</si>
  <si>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</si>
  <si>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</si>
  <si>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</si>
  <si>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</si>
  <si>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</si>
  <si>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</si>
  <si>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</si>
  <si>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</si>
  <si>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</si>
  <si>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</si>
  <si>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</si>
  <si>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</si>
  <si>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</si>
  <si>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</si>
  <si>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</si>
  <si>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</si>
  <si>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</si>
  <si>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</si>
  <si>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</si>
  <si>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</si>
  <si>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</si>
  <si>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</si>
  <si>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</si>
  <si>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</si>
  <si>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</si>
  <si>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</si>
  <si>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</si>
  <si>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</si>
  <si>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</si>
  <si>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</si>
  <si>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</si>
  <si>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</si>
  <si>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</si>
  <si>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</si>
  <si>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</si>
  <si>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</si>
  <si>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</si>
  <si>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</si>
  <si>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</si>
  <si>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</si>
  <si>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</si>
  <si>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</si>
  <si>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</si>
  <si>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</si>
  <si>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</si>
  <si>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</si>
  <si>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</si>
  <si>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</si>
  <si>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</si>
  <si>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</si>
  <si>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</si>
  <si>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</si>
  <si>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</si>
  <si>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</si>
  <si>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</si>
  <si>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</si>
  <si>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</si>
  <si>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</si>
  <si>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</si>
  <si>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</si>
  <si>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</si>
  <si>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</si>
  <si>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</si>
  <si>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</si>
  <si>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</si>
  <si>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</si>
  <si>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</si>
  <si>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</si>
  <si>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</si>
  <si>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</si>
  <si>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</si>
  <si>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</si>
  <si>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</si>
  <si>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</si>
  <si>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</si>
  <si>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</si>
  <si>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</si>
  <si>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</si>
  <si>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</si>
  <si>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</si>
  <si>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</si>
  <si>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</si>
  <si>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</si>
  <si>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</si>
  <si>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</si>
  <si>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</si>
  <si>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</si>
  <si>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</si>
  <si>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</si>
  <si>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</si>
  <si>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</si>
  <si>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</si>
  <si>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</si>
  <si>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</si>
  <si>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</si>
  <si>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</si>
  <si>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</si>
  <si>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</si>
  <si>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</si>
  <si>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</si>
  <si>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</si>
  <si>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</si>
  <si>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</si>
  <si>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</si>
  <si>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</si>
  <si>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</si>
  <si>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</si>
  <si>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</si>
  <si>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</si>
  <si>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</si>
  <si>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</si>
  <si>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</si>
  <si>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</si>
  <si>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</si>
  <si>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</si>
  <si>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</si>
  <si>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</si>
  <si>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</si>
  <si>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</si>
  <si>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</si>
  <si>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</si>
  <si>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</si>
  <si>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</si>
  <si>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</si>
  <si>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</si>
  <si>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</si>
  <si>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</si>
  <si>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</si>
  <si>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</si>
  <si>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</si>
  <si>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</si>
  <si>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</si>
  <si>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</si>
  <si>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</si>
  <si>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</si>
  <si>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</si>
  <si>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</si>
  <si>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</si>
  <si>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</si>
  <si>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</si>
  <si>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</si>
  <si>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</si>
  <si>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</si>
  <si>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</si>
  <si>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</si>
  <si>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</si>
  <si>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</si>
  <si>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</si>
  <si>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</si>
  <si>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</si>
  <si>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</si>
  <si>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</si>
  <si>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</si>
  <si>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</si>
  <si>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</si>
  <si>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</si>
  <si>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</si>
  <si>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</si>
  <si>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</si>
  <si>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</si>
  <si>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</si>
  <si>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</si>
  <si>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</si>
  <si>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</si>
  <si>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</si>
  <si>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</si>
  <si>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</si>
  <si>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</si>
  <si>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</si>
  <si>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</si>
  <si>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</si>
  <si>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</si>
  <si>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</si>
  <si>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</si>
  <si>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</si>
  <si>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</si>
  <si>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</si>
  <si>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</si>
  <si>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</si>
  <si>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</si>
  <si>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</si>
  <si>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</si>
  <si>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</si>
  <si>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</si>
  <si>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</si>
  <si>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</si>
  <si>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</si>
  <si>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</si>
  <si>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</si>
  <si>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</si>
  <si>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</si>
  <si>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</si>
  <si>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</si>
  <si>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</si>
  <si>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</si>
  <si>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</si>
  <si>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</si>
  <si>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</si>
  <si>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</si>
  <si>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</si>
  <si>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</si>
  <si>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</si>
  <si>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</si>
  <si>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</si>
  <si>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</si>
  <si>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</si>
  <si>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</si>
  <si>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</si>
  <si>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</si>
  <si>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</si>
  <si>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</si>
  <si>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</si>
  <si>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</si>
  <si>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</si>
  <si>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</si>
  <si>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</si>
  <si>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</si>
  <si>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</si>
  <si>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</si>
  <si>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</si>
  <si>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</si>
  <si>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</si>
  <si>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</si>
  <si>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</si>
  <si>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</si>
  <si>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</si>
  <si>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</si>
  <si>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</si>
  <si>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</si>
  <si>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</si>
  <si>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</si>
  <si>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CLASS</t>
  </si>
  <si>
    <t>KEYSTONES</t>
  </si>
  <si>
    <t>Blacksmith</t>
  </si>
  <si>
    <t>Start The Game with 5 Common Ore in inventory.</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</si>
  <si>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</si>
  <si>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</si>
  <si>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</si>
  <si>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</si>
  <si>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</si>
  <si>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</si>
  <si>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</si>
  <si>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</si>
  <si>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</si>
  <si>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</si>
  <si>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</si>
  <si>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</si>
  <si>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Start the Game with a Lucky Charm Equipped.</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</si>
  <si>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</si>
  <si>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</si>
  <si>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</si>
  <si>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</si>
  <si>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</si>
  <si>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</si>
  <si>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</si>
  <si>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Start the Game with a Random Rare Scroll.</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</si>
  <si>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</si>
  <si>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</si>
  <si>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</si>
  <si>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</si>
  <si>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</si>
  <si>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</si>
  <si>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</si>
  <si>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xml:space="preserve">Start the Game with your Max Mana constantly converted to Supply at a 10:1 ratio bringing and capping it at 0; Supply is Uncapped.											</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</si>
  <si>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</si>
  <si>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</si>
  <si>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</si>
  <si>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</si>
  <si>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</si>
  <si>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</si>
  <si>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</si>
  <si>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Start the Game with 5 Extra Throwing Knives.</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</si>
  <si>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</si>
  <si>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</si>
  <si>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</si>
  <si>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</si>
  <si>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</si>
  <si>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</si>
  <si>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</si>
  <si>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Start the Game with a Cello.</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</si>
  <si>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</si>
  <si>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</si>
  <si>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</si>
  <si>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</si>
  <si>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</si>
  <si>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</si>
  <si>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</si>
  <si>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Start the Game with 1 Extra Dispersion.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</si>
  <si>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</si>
  <si>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</si>
  <si>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</si>
  <si>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</si>
  <si>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</si>
  <si>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</si>
  <si>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</si>
  <si>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</si>
  <si>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</si>
  <si>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Fire Mastery: Gain 50% Fire Resistance.</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</si>
  <si>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</si>
  <si>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</si>
  <si>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</si>
  <si>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</si>
  <si>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</si>
  <si>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Start the Game with Rage as a Resource; It Starts at 0 and is uncapped and is set to 0 outside of Combat; You gain 10 Rage when landing Basic Attacks; Max Mana is converted automatically to Max Health.</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</si>
  <si>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</si>
  <si>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</si>
  <si>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</si>
  <si>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</si>
  <si>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</si>
  <si>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</si>
  <si>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</si>
  <si>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</si>
  <si>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</si>
  <si>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</si>
  <si>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</si>
  <si>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</si>
  <si>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</si>
  <si>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</si>
  <si>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Start the Game with 1 Extra Base Strength.</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</si>
  <si>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</si>
  <si>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</si>
  <si>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</si>
  <si>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</si>
  <si>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</si>
  <si>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</si>
  <si>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</si>
  <si>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Start the Game with a Common Quiver or 5 Common Throwing Axes.</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</si>
  <si>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</si>
  <si>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</si>
  <si>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</si>
  <si>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</si>
  <si>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</si>
  <si>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</si>
  <si>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</si>
  <si>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 xml:space="preserve">Start the Game with 1 Extra Base Power. </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</si>
  <si>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</si>
  <si>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</si>
  <si>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</si>
  <si>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</si>
  <si>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</si>
  <si>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</si>
  <si>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</si>
  <si>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Start the Game with 1 Extra Base Dexterity.</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</si>
  <si>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</si>
  <si>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</si>
  <si>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</si>
  <si>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</si>
  <si>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</si>
  <si>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</si>
  <si>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</si>
  <si>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Start the Game with 1 Extra Defense.</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</si>
  <si>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</si>
  <si>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</si>
  <si>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</si>
  <si>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</si>
  <si>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</si>
  <si>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</si>
  <si>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</si>
  <si>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Start the Game with 10 Extra Max Health and Max Mana.</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</si>
  <si>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</si>
  <si>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</si>
  <si>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</si>
  <si>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</si>
  <si>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</si>
  <si>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</si>
  <si>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</si>
  <si>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</si>
  <si>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</si>
  <si>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</si>
  <si>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</si>
  <si>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</si>
  <si>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Healer</t>
  </si>
  <si>
    <t>Start the Game with 1 Potion of Health.</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</si>
  <si>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</si>
  <si>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</si>
  <si>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</si>
  <si>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</si>
  <si>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</si>
  <si>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</si>
  <si>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</si>
  <si>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Start the Game with a Random Common Ring.</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</si>
  <si>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</si>
  <si>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</si>
  <si>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</si>
  <si>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</si>
  <si>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</si>
  <si>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</si>
  <si>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</si>
  <si>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Start the Game with 20 Extra Max Mana.</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</si>
  <si>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</si>
  <si>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</si>
  <si>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</si>
  <si>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</si>
  <si>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</si>
  <si>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</si>
  <si>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</si>
  <si>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Start the Game with 1 Extra Attunement Point; You may invest Attunement Points over Current Level +1.</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</si>
  <si>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</si>
  <si>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</si>
  <si>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</si>
  <si>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</si>
  <si>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</si>
  <si>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</si>
  <si>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</si>
  <si>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Start the Game having a new Faction: Inquisition. (Faction Feat: Killing Undead, Demons and Fae Non-Minion Entities Grant you 200 Extra Xp or Gold at Random)</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</si>
  <si>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</si>
  <si>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</si>
  <si>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</si>
  <si>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</si>
  <si>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</si>
  <si>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</si>
  <si>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</si>
  <si>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Start the Game Wavelengthless; with Focus Replacing Mana; Regenerate 5 Focus Per Resonance while in Combat at the Start of your Turn; Outside of Combat Focus is always Maxed.</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</si>
  <si>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</si>
  <si>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</si>
  <si>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</si>
  <si>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</si>
  <si>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</si>
  <si>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</si>
  <si>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</si>
  <si>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</si>
  <si>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</si>
  <si>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</si>
  <si>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</si>
  <si>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</si>
  <si>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</si>
  <si>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</si>
  <si>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</si>
  <si>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Start the Game with 20 Extra Health.</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</si>
  <si>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</si>
  <si>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</si>
  <si>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</si>
  <si>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</si>
  <si>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</si>
  <si>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</si>
  <si>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</si>
  <si>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Start the Game with a Common Pouch.</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</si>
  <si>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</si>
  <si>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</si>
  <si>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</si>
  <si>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</si>
  <si>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</si>
  <si>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</si>
  <si>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</si>
  <si>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Start the Game with a Common Body Piece.</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</si>
  <si>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</si>
  <si>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</si>
  <si>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</si>
  <si>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</si>
  <si>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</si>
  <si>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</si>
  <si>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</si>
  <si>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Start the Game with 2 Random Common Items; Your Innate Abilities can be Ranked up to 3.</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</si>
  <si>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</si>
  <si>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</si>
  <si>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</si>
  <si>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</si>
  <si>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</si>
  <si>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</si>
  <si>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</si>
  <si>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</si>
  <si>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</si>
  <si>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</si>
  <si>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</si>
  <si>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</si>
  <si>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</si>
  <si>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</si>
  <si>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</si>
  <si>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</si>
  <si>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</si>
  <si>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</si>
  <si>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</si>
  <si>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</si>
  <si>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</si>
  <si>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</si>
  <si>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</si>
  <si>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</si>
  <si>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</si>
  <si>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</si>
  <si>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</si>
  <si>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</si>
  <si>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</si>
  <si>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</si>
  <si>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</si>
  <si>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Start the Game Wavelengthless with Soul replacing Mana; You Regenerate 5% Max Soul Per Resonance at the Start of each Day; While you have 0 Soul, you take double damage.</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</si>
  <si>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</si>
  <si>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</si>
  <si>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</si>
  <si>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</si>
  <si>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</si>
  <si>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</si>
  <si>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</si>
  <si>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</si>
  <si>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</si>
  <si>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</si>
  <si>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</si>
  <si>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</si>
  <si>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</si>
  <si>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</si>
  <si>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</si>
  <si>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Start the Game with 5 Scrap.</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</si>
  <si>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</si>
  <si>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</si>
  <si>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</si>
  <si>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</si>
  <si>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</si>
  <si>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</si>
  <si>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</si>
  <si>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Start the Game with 5 Meat/Flour.</t>
  </si>
  <si>
    <t>(≈) Assortment of Spices: You may Trade 2 Cooking material and 2 Ingredients for 1 Legendary Gear or Item at Market/Black Market Zone.</t>
  </si>
  <si>
    <t>(≈) The Perfect Dish: Powerplay; Consume 5 Ingredients to create a Dish that fully restores Health and Mana.</t>
  </si>
  <si>
    <t xml:space="preserve">(P) Fresh Deals: You can trade Cooking Material and ingredients of the same rarity  1:1 with any Merchant. </t>
  </si>
  <si>
    <t>(P) Proteins and Vitamins: Consuming Food gives you a Random Point in Streangth/Dexterity/Power.</t>
  </si>
  <si>
    <t>(P) Recipe Substitutes: When you loot a creature or a sentient gain 1 meat, when searching on any grass hex gain 1 flour; You can use any cooking material as a substitute for another and vice-versa.</t>
  </si>
  <si>
    <t>(P) Salvaged Food: Chests contain D20/10 (rounded down) random Cooking Material.</t>
  </si>
  <si>
    <t>Strider</t>
  </si>
  <si>
    <t xml:space="preserve">Start the Game with +1 Mobility				</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</si>
  <si>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</si>
  <si>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</si>
  <si>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</si>
  <si>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</si>
  <si>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</si>
  <si>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</si>
  <si>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Weapon Section:</t>
  </si>
  <si>
    <t>Stats/Effects</t>
  </si>
  <si>
    <t>1. One-handed Swords:</t>
  </si>
  <si>
    <t>Metal Type</t>
  </si>
  <si>
    <t>Common:</t>
  </si>
  <si>
    <t>Rusty Sword: One-handed Melee Sword; Set Piece; 5-7 Physical Damage.</t>
  </si>
  <si>
    <t>Rare: </t>
  </si>
  <si>
    <t>Silver Sword: One-handed Melee Sword; 10 True Damage to Undead. Faries; Divine and Demons; 10 Physical Damage to Living and Constructs.</t>
  </si>
  <si>
    <t>Circular Spade: One-handed Melee Sword; 7-10 Physical Damage; 50% chance to cause bleed for 3 Bleed Damage Per Tick Over 2 Turns.</t>
  </si>
  <si>
    <t>**Insert**</t>
  </si>
  <si>
    <t>Epic: </t>
  </si>
  <si>
    <t>Fight the Oppressor: One-handed Melee Sword; 12 Physical; Passive: As long as your Target has more Health than you. the sword will deal 20 Magic Damage on Hit.</t>
  </si>
  <si>
    <t>Blood Viper: One-handed Melee Sword; Set Piece; 7 Physical Damage; 7 Bleed Damage On Hit; Passive: 25% Lifedrain on all Physical and Bleed Damage dealt by this Weapon.</t>
  </si>
  <si>
    <t>Short Heatsword: One-handed Melee Sword; 5 Physical Damage; On Hit: 15 Fire Damage.</t>
  </si>
  <si>
    <t>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t>
  </si>
  <si>
    <t>Legendary: </t>
  </si>
  <si>
    <t>The Sarkon: One-handed Melee Sword; 13-15 Physical Damage; Passive: Your Basic Attack has a 30% Chance to Trigger Twice.</t>
  </si>
  <si>
    <t>Mordred's Fury: One-handed Melee Sword; 13 Physical Damage; Active: (≈) Consume a chosen amount of Health and Strike with +1 Crit Multiplier and +1 Roll Modifier for each 40 Health consumed.</t>
  </si>
  <si>
    <t>Grand Zelos: One-handed Melee Sword; Flexible; 12-18 Physical Damage; Passive: 20% Chance to Block incoming Strike.</t>
  </si>
  <si>
    <t>Final Falx: One-handed Melee Sword; Flexible; 20 Physical Damage; Passive: D20 Rolls on Basic Attacks have +1 Critical Multiplier and ignore 50% of Targets Defense.</t>
  </si>
  <si>
    <t>Mythic: </t>
  </si>
  <si>
    <t>The Merciless: One-handed Melee Sword; 18-20 Physical Damage; 30% Deflect;  Passive: At the Start of your Turn Gain 5 Bleed Damage On Hit until End of Combat.</t>
  </si>
  <si>
    <t>Astral: </t>
  </si>
  <si>
    <t>2. Two-handed Swords:</t>
  </si>
  <si>
    <t>Wooden Sword: Two-handed Melee Sword; 8 Physical Damage; Gain 1 Base Damage with each Attack until End of Combat.</t>
  </si>
  <si>
    <t>Broadsword: Two-handed Melee Sword; 10-12 Physical Damage.</t>
  </si>
  <si>
    <t>Zweihander: Two-handed Melee Sword; 12-15 Physical Damage.</t>
  </si>
  <si>
    <t>Executioners Blade: Two-handed Melee Sword; 10-12 Physical Damage; +0.5 Crit multiplier.</t>
  </si>
  <si>
    <t>Katana: Two-handed Melee Sword; 10 Physical Damage; Passive: This Weapon has +5 Base Damage if Target you are Attacking has 5 or less Defense and another +5 Base Damage if Targets Defense is 0 or lower.</t>
  </si>
  <si>
    <t>Flamberg: Two-handed Melee Sword; 15 Physical Damage; On Attack: Deal 8 Fire Damage.</t>
  </si>
  <si>
    <t>Ice Kings Revenge: Two-handed Melee Sword; 13-16 Physical Damage; On Hit: 5 Frost Damage &amp; 50% chance to inflict Frostbite status for 5 Frost damage per 2 turns.</t>
  </si>
  <si>
    <t>Eulostravo: Two-handed Melee Sword; 15 Physical Damage; On Hit: 20 Lightning Damage; Passive: Entities will Recognise this sword in Combat and will be able to tell what it is.</t>
  </si>
  <si>
    <t>The Guillotine: Two-handed Melee Sword; 16-20 Physical Damage; +1 Crit Multiplier; On Crit: Bleed Target for 5 Bleed Damage Per Tick over 4 Turns.</t>
  </si>
  <si>
    <t>Iserasin: Two-handed Melee Sword; 20 Physical Damage; Active: (≈) Toggle; Physical Damage Dealt is converted to Static Damage.</t>
  </si>
  <si>
    <t>Bakyou: Two-handed Melee Sword; 30 Physical Damage; Passive: Your Basic Attacks have Blitz.</t>
  </si>
  <si>
    <t>The Pride of Orgor: Two-handed Melee Sword; 40 True Damage; Passive: Locks Main and Off-Hand upon Equipping; Active: (+) Roll d100 and Deal True Damage Equal to Roll to Target Entity. (1/Entity)</t>
  </si>
  <si>
    <t>3. One-handed Spears:</t>
  </si>
  <si>
    <t>Rusty Spear: One-handed Melee Spear; Set Piece; 6-7 Physical Damage; Flexible.</t>
  </si>
  <si>
    <t>Golden Poker: One-handed Melee Spear; 10-12 Physical Damage; Flexible; Passive: +2 Physical Damage if Two-handed.</t>
  </si>
  <si>
    <t>Full Metal Spear: One-handed Melee Spear; 10 Physical Damage; Flexible; Passive: If Two-Handed Strikes Ignore 50% of Targets Defense.</t>
  </si>
  <si>
    <t>Light Sparrow: One-handed Melee Spear; Flexible; 7 Physical Damage; On Hit: 6 Light Damage; Active: (&gt;) Selfdestruct; Throw the Spear into the sky. at the start of your next Turn the Spear will hit Target dealing 30 Light Damage.</t>
  </si>
  <si>
    <t>Dark Sparrow: One-handed Melee Spear; Flexible; 7 Physical Damage; On Hit: 6 Dark Damage; Active: (&gt;) Selfdestruct; Throw the Spear into the sky. at the start of your next Turn the Spear will hit Target dealing 30 Dark Damage.</t>
  </si>
  <si>
    <t>Diamond Piercer: One-handed Melee Spear; Unscallable 33 True Damage; Passive: This weapon can not Crit.</t>
  </si>
  <si>
    <t>Emerald Temporia: One-handed Melee Spear; 16 Magic Damage; Passive: After each Throw at the start of your Turn. the Spear travels back into your hand.</t>
  </si>
  <si>
    <t>4. Two-handed Spears:</t>
  </si>
  <si>
    <t>Wooden Spike: Two-handed Melee Spear; 9 Physical Damage; + 0.5 Critical Multiplier.</t>
  </si>
  <si>
    <t>Sturdy Pike: Two-Handed Melee Spear; 15 Physical Damage; Passive: The first time a Hostile Entity enters your Melee Range you Basic Attack it. (1/Combat)</t>
  </si>
  <si>
    <t>Lance of Reality: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</si>
  <si>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Two-handed Melee Spear; 18 Physical Damage; On Hit: 10 Fire Damage; Active:[Channel for 1 Turn] Transform Weapon into Visera Dominatus: (o) Dealing 100 Fire Damage to all Entities on Hex.</t>
  </si>
  <si>
    <t>Heaven's Roar: Two-handed Melee Spear; 20 Physical Damage &amp; 20 Lightning Damage; Active: (o) Converge a storm on your Hex which lasts 5 Turns. Every Turn, it Staggers for 1 Turn and deals 10 Lightning Damage to all Entities in the Combat Area. (1/Day)</t>
  </si>
  <si>
    <t>Visera-Dominatus: Two-handed Melee Spear; 30 Magic Damage; Passive: Take 10 Fire Damage each turn you are Holding this; Active: (o) 1 Hex Range; Selfdestruct; Throw the Spear to deal 200 Fire Damage and Transforming Target Hex into a Scorched Hex.</t>
  </si>
  <si>
    <t>5. One-handed Axes:</t>
  </si>
  <si>
    <t>Sharp Axe Head on a Branch: One-handed Melee Axe; 1 Physical Damage; Ignores 75% Defense.</t>
  </si>
  <si>
    <t>Rusty Axe: One-handed Melee Axe; 5-6 Physical Damage; + 1 Strength.</t>
  </si>
  <si>
    <t>Iron Hatchet: One-handed Melee Axe; 7-12 Physical Damage.</t>
  </si>
  <si>
    <t>Bloody Axe: One-handed Melee Axe; 5-8 Physical Damage; On Hit: 2 Bleed Damage, Add +2 Bleed Damage to this On Hit until End of Combat.</t>
  </si>
  <si>
    <t>Forester: One-handed Melee Axe; 8-11 Physical Damage; Active: (≈) Chop down Forest Hex transforming it into a Simple Hex. (0.5 Stamina)</t>
  </si>
  <si>
    <t>Crescent Edge: One-handed Melee Axe; 7-12 Physical Damage; On Hit: Drain 10 Mana.</t>
  </si>
  <si>
    <t>Boomeraxe: One-handed Melee Axe; 10 Physical Damage; On Hit: 15 Wind Damage; Active: (&gt;) Throw your Axe at Target Dealing Basic Attack Damage; It returns into the respective Slot at the end of your next Turn.</t>
  </si>
  <si>
    <t>The Grounding: One-handed Melee Axe; 10 Physical Damage; On Hit: 30% Chance to Stun.</t>
  </si>
  <si>
    <t>Zealdis No’: One-handed Melee Axe; 20 Physical Damage; Passive: While equipped in the Main-Hand Slot. Your Off-Hand slot becomes a copy of Zealdis No'.</t>
  </si>
  <si>
    <t>6. Two-handed Axes:</t>
  </si>
  <si>
    <t>Rusty Cleaver: Two-handed Melee Axe; Set Piece; 6-12 Physical Damage.</t>
  </si>
  <si>
    <t>Brawl Stopper: Two-handed Melee Axe;  12-14 Physical Damage; +0.5 Crit multiplier.</t>
  </si>
  <si>
    <t>Battle Axe: Two-handed Melee Axe; 16 Physical Damage.</t>
  </si>
  <si>
    <t>Charcoal Slasher: Two-handed Melee Axe; 12-15 Physical Damage; On Hit: 50% chance Burn Target for 5 Fire Damage Per Tick over 5 Turns.</t>
  </si>
  <si>
    <t>Butcher's Cleaver: Two-handed Melee Axe; 10 Physical; 20% Chance to Dismember Target on Crit.</t>
  </si>
  <si>
    <t>Da’ Choppa: Two-handed Melee Axe; 10-30 Physical Damage; +3 Crit Multiplier but can only Crit on a d20.</t>
  </si>
  <si>
    <t>Warcry: Two-handed Melee Axe; 16-24 Physical Damage; Active: (≈) 1 Hex Range; Move into Melee range of Target and Basic Attack them. (1/Day)</t>
  </si>
  <si>
    <t>Orc's Honor: Two-handed Melee Axe; 25 Physical Damage; Passive: Strikes that bring Targets below 20% Max Health will Kill them instead.</t>
  </si>
  <si>
    <t>Crimson Devora: Two-handed Melee Axe; 10 Bleed Damage; On Hit: Weapon gains 10 Base Bleed Damage and Target Gains -10% Bleed Resistance Until End of Combat; Passive: If Weapons Base Damage Reaches 100 Bleed Damage or higher Transform it into 1000 Bleed Damage instead.</t>
  </si>
  <si>
    <t>7. One-handed Maces:</t>
  </si>
  <si>
    <t>Rusty Mace: One-handed Melee Mace; Set Piece; 6-7 Physical Damage.</t>
  </si>
  <si>
    <t>Trick Pick: One-handed Melee Mace; 7-8 Physical Damage; Passive: +0.5 Critical Multiplier.</t>
  </si>
  <si>
    <t>Morning Star: One-handed Melee Mace; 8-10 Physical Damage; On Hit: 50% Chance to cause an explosion for 10 Solar Damage.</t>
  </si>
  <si>
    <t>Golden Parade: One-handed Melee Mace; 16-18 Physical Damage; Active: (+) Cause Target Entity to drop 100 Gold upon Death; Passive: This Gear sells at full value.</t>
  </si>
  <si>
    <t>8. Two-handed Maces:</t>
  </si>
  <si>
    <t>Worn-out Heavy Mace: Two-handed Melee Mace; Set Piece; 9-11 Physical Damage.</t>
  </si>
  <si>
    <t>Greater Morning Star: Two-handed Melee Mace; 10-15 Physical Damage; On Hit: 50% Chance to cause an explosion for 20 Solar Damage.</t>
  </si>
  <si>
    <t>The Balkanique: Two-handed Melee Mace; 25-30 Physical Damage.</t>
  </si>
  <si>
    <t>Wailing Bell: Two-handed Melee Mace; 16-22 Physical Damage; On Hit: 40% Chance to Confuse for 1 Turn.</t>
  </si>
  <si>
    <t>Annihilator: Two-handed Melee Mace; 24 Physical Damage; Passive: Every second Strike deals True Damage.</t>
  </si>
  <si>
    <t>9. One-handed Flails</t>
  </si>
  <si>
    <t>Stick, String and a Rock: One-handed Melee Flail; 4-9 Physical Damage.</t>
  </si>
  <si>
    <t>Chain and Ball: One-handed Melee Flail; 8-10 Physical Damage.</t>
  </si>
  <si>
    <t>Scorpion: One-handed Melee Flail; 10 Physical Damage; Passive: Critical Multiplier of this Weapon is Set to 1, instead Critical Rolls on Basic Attacks inflict 40 Poison Damage On Hit.</t>
  </si>
  <si>
    <t>Kusari-gama: One-handed Half-Ranged Flail; 15 Physical Damage; Passive: This weapon counts as Sharp.</t>
  </si>
  <si>
    <t>Cerberus: One-handed Melee Flail; 7 Physical Damage; 3 Unscallable Fire Damage; Passive: It has Three Heads causing each Attack with this Weapon to count as 3 Strikes, This Weapon does not Trigger On Hit Effects.</t>
  </si>
  <si>
    <t>10. Two-handed Flails</t>
  </si>
  <si>
    <t>Peasants Flail: Two-handed Melee Flail; 10-12 Physical Damage.</t>
  </si>
  <si>
    <t>Double Ball Flail: Two-handed Melee Flail; 14-16 Physical Damage.</t>
  </si>
  <si>
    <t>Bomb on a Stick: Two-handed Melee Flail; 20 Blast Damage; On Hit: Selfdestruct.</t>
  </si>
  <si>
    <t>Militants Heavy Flail: Two-handed Melee Flail; 12-20 Physical Damage; Active: (≈) [1 Preparation Stack] Strike with Double this weapons Base Damage and with +2 Roll Modifier.</t>
  </si>
  <si>
    <t>Iminentrum: Two-handed Melee Flail; 5-25 Physical Damage; Passive: Each landed Strike with this Weapon causes the lowest number on the Damage Range to increase by 1, When the Base Damage is flat 25 its Strikes will Destroy Targets On Hit, Resets at the End of Combat.</t>
  </si>
  <si>
    <t>Bloodlust: Two-handed Melee Flail; 15 Physical Damage; Active: (≈) Toggle; Gain 40% Lifedrain and failing to land a Basic Attack during your Turn will cause you to lose all Health gained this Combat.</t>
  </si>
  <si>
    <t>Pond Rod: Two-handed Melee Flail; 10 Hydro Damage; Active: (&gt;) [Requires Adjacent Water Hex] Hook Target Entity bringing them immediately onto your Hex; Infinite Hex Range. (1/Day)</t>
  </si>
  <si>
    <t>The Golden Sack: Two-handed Melee Flail; 1 Physical Damage; Passive: This Weapon gains +1 Base Damage for each 100 Gold in your Inventory and does not Scale with Strength.</t>
  </si>
  <si>
    <t>11. One-handed Warhammers:</t>
  </si>
  <si>
    <t>Cobbled Hammer: One-handed Melee Warhammer; 6 Physical Damage.</t>
  </si>
  <si>
    <t>Warpick: One-handed Melee Warhammer; 9 Physical Damage; Passive: This Weapon counts as an Impact.</t>
  </si>
  <si>
    <t>Rasonian Hamtax: One-handed Melee Warhammer; 10 Physical Damage; On Hit: Reduce Targets Defense by 4 Until End of Combat.</t>
  </si>
  <si>
    <t>The Tool: One-handed Melee Warhammer; 6 Physical Damage; Passive: This Weapon Permanently Gains 2 Base Damage every time its Active Ability is used; Active: (≈) Craft Target Ore into Gear of its Respective Rarity. (1/Day)</t>
  </si>
  <si>
    <t>12. Two-handed Warhammers:</t>
  </si>
  <si>
    <t>Crumbler: Two-handed Melee Warhammer; 30 Physical Damage; On Hit: Selfdestruct.</t>
  </si>
  <si>
    <t>Chipped Hammer: Two-handed Melee Warhammer; 10 Physical Damage.</t>
  </si>
  <si>
    <t>Maul: Two-handed Melee Warhammer; 14 Physical Damage.</t>
  </si>
  <si>
    <t>Runehammer: Two-handed Melee Warhammer; 9 Physical Damage; On Hit: 5 Earth Damage &amp; 20% chance to Stun Target for 1 Turn.</t>
  </si>
  <si>
    <t>Mana-Tech Hammer: Two-handed Melee Warhammer; 10-14 Physical Damage; On Hit: 10 Manadrain.</t>
  </si>
  <si>
    <t>Bright Blunder: Two-handed Melee Warhammer; 15 Physical Damage; On Hit: 10 Light Damage.</t>
  </si>
  <si>
    <t>Planet Crusher: Two-handed Melee Warhammer; 7 Physical Damage; On Hit: 30 Earth Damage.</t>
  </si>
  <si>
    <t>The Gorgon Smasher: Two-handed Melee Warhammer; 20 Physical Damage; On Hit: If Targets Health is Higher than yours it Deals the Difference as Physical Damage; On Crit: Convert Total Damage and On Hit Damage to True Damage.</t>
  </si>
  <si>
    <t>Vaporizor: Two-handed Melee Warhammer; 30 Physical damage. Passive: All Damage dealt by this weapon to a Target is stored; When Stored Damage reaches Targets current Health they get Destroyed.</t>
  </si>
  <si>
    <t>The Coreforger: Two-handed Melee Warhammer; 40 Physical Damage; 20 Fire Damage On Hit; +3 Crit Multiplier; Passive: -2 on Basic Attack Roll; Active: (≈) Selfdestruct The Coreforger transforming it into The Core(Astral Body Piece) and Permanently Equip it.</t>
  </si>
  <si>
    <t>13. One-handed Clubs:</t>
  </si>
  <si>
    <t>Wooden Bat: One-handed Melee Club; 6-9 Physical Damage.</t>
  </si>
  <si>
    <t>Chunk of Meat: One-handed Melee Club; 8 Physical Damage; Active: (≈) Take a bite out of your Ham to Restore 10 Health but decrease Base Damage by 2; If Base Damage reaches 0 Selfdestruct.</t>
  </si>
  <si>
    <t>Steel Tonfa: One-handed Melee Club; +3 Defense; 7 Physical Damage; Passive: If you have two Steel Tonfas equipped double their base Stats.</t>
  </si>
  <si>
    <t>Soulwooden Baton: One-handed Melee Club; 10 Physical Damage; On Hit: 10 Magic Damage.</t>
  </si>
  <si>
    <t>Torching Warclub: One-handed Melee Club; 15 Physical Damage; On Hit: 5 Fire Damage; Passive: Immunity to Blinded and Asleep.</t>
  </si>
  <si>
    <t>14. Two-handed Clubs:</t>
  </si>
  <si>
    <t>Good ol' Club: Two-handed Melee Club; 11 Physical Damage.</t>
  </si>
  <si>
    <t>Greatclub: Two-handed Melee Club; 15 Physical Damage.</t>
  </si>
  <si>
    <t>The Old Blunt: Two-handed Melee Club; 20 Physical Damage; Active: (≈) Defense Crackdown: Smash Target in Melee Range for 10 Physical Damage reducing their Defense by 50% Until End of Combat. (1/Entity)</t>
  </si>
  <si>
    <t>Giant Chunk of Meat: Two-handed Melee Club; 18 Physical Damage; Active: (≈) Take a bite out of your Ham to Restore 20 Health but decrease Base Damage by 2; If Base Damage reaches 0 Selfdestruct. (2/Day)</t>
  </si>
  <si>
    <t>15. Glaives:</t>
  </si>
  <si>
    <t>Rusty Glaive: Two-handed Melee Glaive; 4-16 Physical Damage.</t>
  </si>
  <si>
    <t>Stone Glaive: Two-handed Melee Glaive; 20-26 Physical Damage; Passive: You may only Basic Attack Twice per Combat; Active: Refresh Passive. (0.5 Stamina)</t>
  </si>
  <si>
    <t>Weightless Razor: Two-handed Melee Glaive; 15-20 Physical Damage; Passive: It can not Crit.</t>
  </si>
  <si>
    <t>Poled Slasher: Two-handed Melee Glaive; 8-20 Physical Damage.</t>
  </si>
  <si>
    <t>Guan Yu Guandao: Two-handed Melee Glaive; 4-12 Physical Damage; Active: [Requires 1 Preparation Stack]; Basic Attack Thrice.</t>
  </si>
  <si>
    <t>Twinglaive: Two-handed Melee Glaive; 10-26 Physical Damage; On Basic Attack 50% Chance to Strike Again.</t>
  </si>
  <si>
    <t>Nightriders Choice: Two-handed Melee Glaive; 4-26 Physical Damage; Passive: +1 Critical Multiplier; Active: (≈) Basic Attack Target with +1 Crit Multiplier. (1/Combat)</t>
  </si>
  <si>
    <t>Guardian Slayer: Two-handed Melee Glaive; 10 Unscallable Physical Damage; +10 Strength; Passive: If Target has 400 Max Health or more, this Weapon increases its Damage Tenfold.</t>
  </si>
  <si>
    <t>Mirrormorph Blade: Two-handed Melee Glaive; 10 Physical Damage; Active: (≈) Destroy Target Weapon in your inventory and Gain its Passive.</t>
  </si>
  <si>
    <t>16. Halberds</t>
  </si>
  <si>
    <t>Dull Halberd: Two-handed Melee Halberd; 10 Physical Damage.</t>
  </si>
  <si>
    <t>Bardiche: Two-handed Melee Halberd; 16 Physical Damage.</t>
  </si>
  <si>
    <t>Standard Pole-axe: Two-handed Melee Halberd; 11 Physical Damage; Active: (≈) Counter; Stagger yourself for 1 Turn; Basic Attack Target in Melee Range. (1/Combat)</t>
  </si>
  <si>
    <t>Winged Halberd: Two-handed Melee Halberd; 17 Physical Damage; On Hit: 7 Light Damage; Active: (≈) Flash; Toggle; Use the Weapons secondary Edge when Striking converting the On Hit Damage type of this weapon to Bleed Damage.</t>
  </si>
  <si>
    <t>Edge of Night: Two-handed Melee Halberd; 10 Dark Damage; (≈) Active: Deal 30 Unholy Damage to Target Entity in Melee Range. (1/Day)</t>
  </si>
  <si>
    <t>Crescent Finale: Two-handed Melee Halberd; 20 Physical Damage; On Attack: Half of Targets Defense is added to the Base Damage of the Attack.</t>
  </si>
  <si>
    <t>The Peasant's Revenge: Two-Handed Melee Halberd; 20 Unscallable True Damage; Blitz;  Passive: This Weapon has +10 Base Damage for each Level Difference between you and Target; At 6 Levels Difference this Weapon has 1 Zero Added to its base Damage.</t>
  </si>
  <si>
    <t>17. Knives:</t>
  </si>
  <si>
    <t>Rusty knife: One-handed Melee Knife; Set Piece; 4-5 Physical Damage; Composite: 40% chance to Strike with your other Knife On Basic Attack.</t>
  </si>
  <si>
    <t>Rusty Shiv: One-handed Melee Knife; Set Piece; 2-4 Physical Damage; Composite: 60% chance to Strike with your other Knife On Basic Attack.</t>
  </si>
  <si>
    <t>Poisoned Knife: One-handed Melee Knife; 4-6 Physical Damage; Composite: 50% chance to Strike with your other Knife On Basic Attack; On Hit: 50% Chance to Inflict 6 Poison Damage per Tick over 2 Turns.</t>
  </si>
  <si>
    <t>Sharpened Shiv: One-handed Melee Knife; 5-7 Physical Damage; Composite: 70% chance to Strike with your other Knife On Basic Attack.</t>
  </si>
  <si>
    <t>Sickle: One-handed Melee Knife; 7 Physical Damage; On Hit: 7 Bleed Damage.</t>
  </si>
  <si>
    <t>Dagger of Fatality: One-handed Melee Knife; 5-10 Magic Damage; Active: (≈) Place the knife on adjacent Tile; The knife will start spinning and strike a random Target on your Hex each Turn for 10 Fatal Damage.</t>
  </si>
  <si>
    <t>Rebound Blade: One-handed Melee Knife; 6-9 Physical Damage; Composite: 50% Chance to do another Basic Attack on landed Basic Attack and 50% chance to Strike with your other Knife On Basic Attack.</t>
  </si>
  <si>
    <t>Forward Fang: One-handed Melee Knife; 13 Physical Damage; Composite: Your Basic Attack has +0.5 Crit Multiplier.</t>
  </si>
  <si>
    <t>Stalker's Revenge: One-handed Melee Knife; Set Piece; 1 Dark Damage; Passive: Scales with Dexterity and Power if your Off-Hand Slot is Empty; Active: (&gt;) Deal double the Damage taken last Turn as Dark Damage to Target. (1/Day)</t>
  </si>
  <si>
    <t>Blade of Lario: One-handed Melee Knife; 10 Unscalable Bleed Damage; Passive: [Requires to be Wielded in Main Hand] Orbs you equip in your Off-Hand Override their Off-Hand mode and Act as if it's equipped in your Main Hand and become Melee Sharp Strike Weapons.</t>
  </si>
  <si>
    <t>The Collector: One-handed Melee Knife; 5 True Damage; Passive: Killing Entities will steal their Souls and them as Base Damage to this Weapon. [weakling: 1 Soul; Elite 2 Souls; Boss 4 Souls; Hero: 8 Souls].</t>
  </si>
  <si>
    <t>Infamy: One-handed Melee Knife; Flexible; 6 Physical Damage; On Hit: Reduce Targets Defense by 3 Until End of Combat.</t>
  </si>
  <si>
    <t>Blue Fire Claws: Two-handed Melee Knife; [Requires Above 0% Fire Resistance to be Equipped] 30 Physical Damage; On Hit: 30 Fire Damage; Passive: Miss Range is 1-10.</t>
  </si>
  <si>
    <t>Featherweight: One-handed Melee Knife: 3 Physical damage; Passive: This weapon strikes as many times as its Physical Damage/2 on Basic Attack.</t>
  </si>
  <si>
    <t>18. Scythes:</t>
  </si>
  <si>
    <t>Peasant's Scythe: Two-handed Melee Scythe; 10-12 Physical Damage.</t>
  </si>
  <si>
    <t>Crop-Chop Harvester: Two-handed Melee Scythe; 14-22 Physical Damage; Active : Explore a Hex at half cost. (2/Day)</t>
  </si>
  <si>
    <t>Necros: Two-handed Melee Scythe; 12-20 Physical Damage; Active: (^) Summon a 25 Health and 10 Physical Damage Melee Basic Attack Skeleton Minion to aid you until end of Combat. (1/Combat)</t>
  </si>
  <si>
    <t>Edge of Fate: Two-handed Melee Scythe; 1-20 Unscallable True Damage; Passive: 25% chance to deal double the Damage; Each Time this Passive Triggers. it increases by 25% Until End of Combat; at 100% Chance the Damage is Trippled instead.</t>
  </si>
  <si>
    <t>Death Scythe: Two-handed Melee Scythe; 10-20 Magic Damage; On Hit: Roll a D100, Rolling a 1 will Kill the Target; Each time the Roll Fails add a -1 Modifier to the Roll until End of Combat.</t>
  </si>
  <si>
    <t>Rust of the Sea: Two-handed Melee Scythe; 15 Physical Damage; Active: (+) Flash; Chain Target Rooting them for 2 Turns. (1/Day); Passive: This Weapon deals 20 Poison Damage On Hit against Rooted Targets.</t>
  </si>
  <si>
    <t>Rankar: Two-Handed Melee Scythe; 10 Light Damage; Passive: +10 Light Damage per seal unlocked; Seal I: Have 20% or less Health; Seal II: Have 20% or less Mana; Seal III: Have 0 Stamina; Unlock all seals to transform into Exterminatus.</t>
  </si>
  <si>
    <t>Exterminatus: Two-handed Melee Scythe; Active: (&gt;) [Channel for 1 Turn] Fire a Beam dealing 1000 True Damage to Target Entity; If the Target is Killed. revert back to Rankar; If the Target survives. the Weapon Self-Destructs and the Active is Cast again, at the end of combat revert Exterminatus back to Rankar.</t>
  </si>
  <si>
    <t>19. Whips</t>
  </si>
  <si>
    <t>Used Whip: One-handed Half-Ranged Whip; 3 Physical Damage; On Hit: 5 Wind Damage.</t>
  </si>
  <si>
    <t>Battle Whip: One-handed Half-Ranged Whip; 10 Physical Damage.</t>
  </si>
  <si>
    <t>Red Whip: One-handed Half-Ranged Whip; 4 Physical Damage; 8 Fire Damage on Hit.  </t>
  </si>
  <si>
    <t>Whipping Belt: One-handed Melee Whip; Passive: 2 Physical Damage; On Hit: 20 Terror Damage.</t>
  </si>
  <si>
    <t>Spiked Whip: One-handed Half-Ranged Whip; 12 Physical Damage; On Hit: 50% chance to Bleed Target for 5 Bleeding Damage Per Tick over 3 Turns.</t>
  </si>
  <si>
    <t>The Enslaver: One-handed Melee Whip; 14-18 Physical Damage; On Attack: 20% Chance to Mind Control Target for 1 Turn.</t>
  </si>
  <si>
    <t>The Cryout: One-handed Half-Ranged Whip; 16 Physical Damage; On Hit: 10 Dark Damage; Passive: Striking a Target Below 50% Health Fears and Torments them for 1 Turn.</t>
  </si>
  <si>
    <t>Elemental Lash: One Handed Half Ranged Whip; 20 Elemental Damage Type Equal to Targets lowest Elemental Resistance.</t>
  </si>
  <si>
    <t>The Tormenting One: One-handed Half-Ranged Whip; 15 Terror Damage; Active: (+) Torment Target for 7 Turns. (1/Combat)</t>
  </si>
  <si>
    <t>20. Bows:</t>
  </si>
  <si>
    <t>Short Bow: Two-handed Ranged Bow; 9 Physical Damage.</t>
  </si>
  <si>
    <t>Plain Bow: Two-handed Ranged Bow; 6-12 Physical Damage.</t>
  </si>
  <si>
    <t>Recurve Bow: Two-handed Ranged Bow; 9-11 Physical Damage; On Hit: 30% chance to ignore Defense.</t>
  </si>
  <si>
    <t>Long Bow: Two-handed Ranged Bow; 12 Physical Damage; Active: (&gt;) 1 Hex Range; Basic Attack Target. (2/Day)</t>
  </si>
  <si>
    <t>Scouter: Two-handed Ranged Bow; 14-17 Physical Damage; Active: (&gt;) 1 Hex Range; Shoot an Arrow at Target Hex placing a 1 Hex Vision Ward on it. (1/Day)</t>
  </si>
  <si>
    <t>Arcane Bow: Two-handed Ranged Bow; 20 Magic Damage.</t>
  </si>
  <si>
    <t>Artemis: Two-handed Ranged Bow; 12 Physical Damage; Passive: Basic Attacks Trigger Twice.</t>
  </si>
  <si>
    <t>Starfall: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</si>
  <si>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Two-handed Ranged Bow; 10 True Damage; Active: (≈) Selfdestruct; Transform Target Legendary or higher Bow in inventory into Reneva's Heirloom.</t>
  </si>
  <si>
    <t>Hell's Inferno: Two-handed Ranged Bow; 24 Dark Damage; Passive: 50% Chance to deal Shadowflame Damage Instead.</t>
  </si>
  <si>
    <t>Reneva's Heirloom: Two-handed Ranged Bow; 14 True Damage; Active: (&gt;) [Requires 1 Turn of Prepare] Blitz; Basic Attack Target with +0.5 Scaling and +0.5 Critical Multiplier. (3/Combat) Passive: If the Active has been used 3 Times this combat then Double this weapons Base Damage until End of Combat.</t>
  </si>
  <si>
    <t>Arturax' Shadowbow: Two-handed Ranged Bow; 25 Chaos Damage; 3 Hex Range; Passive: Doesn't require Quiver, instead when Shooting Lose 10 Health.</t>
  </si>
  <si>
    <t>21. One-handed Crossbows:</t>
  </si>
  <si>
    <t>Wooden Hand Crossbow: One-handed Ranged Crossbow; 10 Physical Damage; 1 Capacity.</t>
  </si>
  <si>
    <t>Short-Range Arbest: One-handed Ranged Crossbow;  10-12 Physical Damage; 1 Ammo Capacity.</t>
  </si>
  <si>
    <t>Toxic Repeater: One-handed Ranged Crossbow; 10-12 Physical Damage; 2 Ammo Capacity; 4 Poison Damage on Hit; On Hit: Slow for 1 Turn.</t>
  </si>
  <si>
    <t>Arcadenuva: One-handed Ranged Crossbow; 12 Physical Damage; 2 Ammo Capacity; Active: (≈)[Requires a Weapon in both Off-Hand and Main-Hand] For the remainder of this Combat your Basic Attacks trigger an additional Attack with your Off-Hand Weapon. (1/Day)</t>
  </si>
  <si>
    <t>22. Two-handed Crossbows:</t>
  </si>
  <si>
    <t>Wooden Crossbow: Two-handed Ranged Crossbow; 12-16 Physical Damage; 1 Capacity.</t>
  </si>
  <si>
    <t>Steady Crossbow: Two-handed Ranged Crossbow; 15-17 Physical Damage; 1 Ammo Capacity; Precise.</t>
  </si>
  <si>
    <t>The Doubletap: Two-handed Ranged Crossbow; 12 Physical Damage; 2 Ammo Capacity; Passive: Basic Attacks Trigger Twice.</t>
  </si>
  <si>
    <t>Day of Decay: Two-handed Ranged Crossbow; 12-16 Physical Damage; 8 Dark Damage On Hit; 1 Ammo Capacity; Passive: Rolling a Nat 20 on your Basic Attack will inflict Rotting in 10 Turns on Target; Subsequent Nat 20 Rolls will reduce the Rotting by 2 Turns.</t>
  </si>
  <si>
    <t>Giros Hand Ballista: Two-handed Ranged Crossbow; 40 Physical Damage; 1 Capacity; Passive: Reloading Requires 1 Turn of Preparation.</t>
  </si>
  <si>
    <t>The Heart Piercer: Two-handed Ranged Crossbow: 10 Physical Damage; 10 Magic Damage; 2 Capacity; Passive: Ignore 50% Defense and Dispersion.</t>
  </si>
  <si>
    <t>23. Pistols:</t>
  </si>
  <si>
    <t>Rusty Hand Cannon: One-handed Ranged Pistol; Set Piece; 7-9 Physical Damage; 1 Ammo Capacity.</t>
  </si>
  <si>
    <t>Crack breakpistol: One-handed Ranged Pistol; 7-8 Physical Damage; 4 Ammo Capacity.</t>
  </si>
  <si>
    <t>Golden Flintlock Pistol: One-handed Ranged Pistol; 8-9 Physical Damage; 2 Ammo Capacity.</t>
  </si>
  <si>
    <t>Pistolinho: One-handed Ranged Pistol; 10 Physical Damage; 3 Ammo Capacity. Active: (&gt;) Ayy Caramba! Fire Remaining Loaded Pellets with 30% Total Damage Penalty.</t>
  </si>
  <si>
    <t>El Capitan: One-handed Ranged Pistol; Set Piece; 22-28 Unscallable Fire Damage; 1 Capacity.</t>
  </si>
  <si>
    <t>Bullet Caster: One-handed Ranged Pistol; 10 Physical Damage; 2 Ammo Capacity; Active: (&gt;) Counter; Reflect Target Ranged Basic Attack back to the Entity that Shot it with a 50% chance to Stun Target for 1 Turn. (1 Bullet; 1/Combat)</t>
  </si>
  <si>
    <t>Brainbuster: One-handed Ranged Pistol; 8-10 Physical Damage; 2 Ammo Capacity; Passive: 50% for Pellets to hit Targets skull on hit. The 7th Pellet Cracks the Skull. Piercing into the brain and Instantly Killing the Target.</t>
  </si>
  <si>
    <t>The Jhin: One-handed Ranged Pistol; 4 Physical Damage; 4 Dark Damage On Hit; 4 Ammo Capacity; Passive: Every 4th bullet fired deals 44 Dark Damage On Hit Instead.</t>
  </si>
  <si>
    <t>Selvion: One-handed Ranged Pistol; 12 Magic Damage; 1 Ammo Capacity; Passive: Basic Attacks will always Fire a clone of the Pellet in its Chamber at the cost of 5 Mana/Health; Active: (&gt;) Fire the Chambered Pellet with +1 Crit Multiplier Consuming it in the process.</t>
  </si>
  <si>
    <t>Belvion: One-handed Ranged Pistol; 12 Physical Damage; 1 Ammo Capacity; Passive: Basic Attacks will always Fire a clone of the Pellet in its Chamber at the cost of 5 Mana/Health; Active: (&gt;) Fire the Chambered Pellet with +1 Crit Multiplier Consuming it in the process.</t>
  </si>
  <si>
    <t>Eclipse: One-handed Ranged Pistol; 15 Physical Damage; 4 Capacity; Passive: Reloading pulls out all your Pellets that hit Entities this Combat back into the gun, each one dealing 15 Bleed Damage to the respective Target.</t>
  </si>
  <si>
    <t>The Felaron: One-handed Pistol; 20 Unscalable Chaos Damage; 2 Ammo Capacity; Passive: Critical Multiplier scales with 1 per 7 Dexterity regardless of Slot.</t>
  </si>
  <si>
    <t>24. Rifles:</t>
  </si>
  <si>
    <t>Rusty Blunderbuss: Two-handed Ranged Rifle; Set Piece; 11 Physical Damage; 1 Capacity.</t>
  </si>
  <si>
    <t>Mechanical Puncturer: Two-handed Ranged Rifle; 13-16 Physical Damage; 1 Capacity.</t>
  </si>
  <si>
    <t>Ferguson Rifle: Two-handed Ranged Rifle; 10 Physical Damage; 1 Ammo Capacity; Passive: Instantly Reloads on basic Attack.</t>
  </si>
  <si>
    <t>Clear-Sight Rifle: Two-handed Ranged Rifle; 14-18 Physical Damage; 1 Ammo Capacity; Active: (&gt;) 1 Hex Range; Basic Attack Target; If it lands Reveal their Equipped Gear. (1/Day)</t>
  </si>
  <si>
    <t>Mana-Tech Reloader: Two-handed Ranged Rifle; 10-14 Magic Damage; 1 Capacity; On Hit: 10 Lightning Damage; Passive: This Weapon does not Consume its Pellet when Shooting. instead it Shoots copies of it which Consume 5 Mana per Shot; Does not need to be Reloaded but Pellets can be swapped.</t>
  </si>
  <si>
    <t>The Bayonet Fixed Flintlock: Two-handed Ranged Rifle; 18 Physical Damage; 1 Ammo Capacity; Passive: Counts as a Sharp Weapon as well and can be used as a melee melee Weapon for 16 Physical Damage scaling with Strength.</t>
  </si>
  <si>
    <t>The Reagle: Two-handed Ranged Rifle; 16 Physical Damage. 2 Ammo Capacity; 50% Defense Penetration; Passive: Your Basic Attack has a 50% Chance to have Blitz.</t>
  </si>
  <si>
    <t>Scoped Burntbuster: Two-handed Ranged Rifle; 18 Fire Damage; 2 Ammo Capacity; Passive: If two Consecutive Basic Attacks hit Target, they explode dealing 20 Blast Damage to Target; Active: 2 Hex Range; Basic Attack Target. (2/Day)</t>
  </si>
  <si>
    <t>Flatliner: Two-handed Ranged Rifle; 10 Physical Damage; 2 Capacity; +2 Crit Multiplier; Passive: Your Hex Ranged Abilities/Attacks have no Damage Fall-off; Active: 1 Hex Range; Basic Attack Target. (1/Day)</t>
  </si>
  <si>
    <t>Heaven's Judgement: Two Handed Ranged Rifle; 20 Light Damage; 1 Capacity; Passive: Your Basic Attacks will always Critically Hit; Your Natural Critical Hits become Vitals.</t>
  </si>
  <si>
    <t>25. Staves:</t>
  </si>
  <si>
    <t>Lightly Bent Staff: Two-handed Melee Staff; 4 Physical Damage; +4 Power; +25 Mana.</t>
  </si>
  <si>
    <t>Blistering Staff: Two-handed Ranged Staff; 6-8 Magic damage; +2 Strength; +20% Fire Resistance.</t>
  </si>
  <si>
    <t>Living Staff: Two-handed Melee Staff; 5 Earth Damage; +5 Power; +50 Mana.</t>
  </si>
  <si>
    <t>Lava Drinker: Two-handed Melee Staff; 15 Unscallable Fire Damage; +4 Power; Active: (≈) Transform Lava Hex in Hex Vision into Scorched Hex and Restore 25 Health. (3/Day)</t>
  </si>
  <si>
    <t>Fractured Sky: Two-handed Ranged Staff; Unscalable 10 Wind Damage; +6 Power; +50 Mana; Active: (&gt;) Launch a powerful torrent at Target dealing 20 Wind Damage and inflicting Chilled for 2 Turns. (1/Combat)</t>
  </si>
  <si>
    <t>Kingdom Reborn: Two-handed Ranged Staff; 15 Magic Damage; +50 Mana; Active: (≈) Become Surged and Enlightened for 2 Turns; Fear all other Entities for 2 Turns. (1/Day)</t>
  </si>
  <si>
    <t>Banner Of the Saint: Two-handed Melee Staff; 15 Physical Damage; On Hit: 10 Light Damage; Active: (+) Powerplay; Flash; Drain 2 Faith from Target Entity.</t>
  </si>
  <si>
    <t>Ragefilter: Two-handed Melee Staff; 20 Physical Damage; +10 Power; +100 Mana; Passive: Scales with Strength &amp; Power; Can't Crit.</t>
  </si>
  <si>
    <t>Shashin: Two-handed Melee Staff; 3 Wind Damage; Non-ultimate Abilities Trigger twice.</t>
  </si>
  <si>
    <t>Binding Demise: Two-handed Ranged Staff; 18-22 Magic Damage; +5 Power; On Hit: Root Target for 1 Turn.</t>
  </si>
  <si>
    <t>Zen: Two-handed Melee Staff: 30 Physical Damage; Passive: Scales with Strength, Dexterity &amp; Power.</t>
  </si>
  <si>
    <t>26. Scepters:</t>
  </si>
  <si>
    <t>Elderwood Scepter: Two-handed Ranged Scepter; 5-8 Magic Damage; +2 Power.</t>
  </si>
  <si>
    <t>Dustgrain Scepter: Two-handed Ranged Scepter; 9 Magic Damage.</t>
  </si>
  <si>
    <t>Crooked Scepter: Two-handed Ranged Scepter; 8-10 Magic Damage; +50 Mana.</t>
  </si>
  <si>
    <t>Frostform Scepter: Two-handed Ranged Scepter; Set Piece; 9 Frost Damage; On Hit: 20% chance to Frostbite Target for 5 Damage Per Tick over 4 Turns.</t>
  </si>
  <si>
    <t>Mana Wood Scepter: Two-handed Ranged Scepter; 1 Magic Damage; 150 Mana; Active: (≈) Your Next 3 Basic Attacks this Combat Regenerate 20 Mana on Hit. (1/Day)</t>
  </si>
  <si>
    <t>Draining Scepter: Two-handed Ranged Scepter; 7-10 Bleed Damage; Passive: 50% Lifedrain on Basic Attacks.</t>
  </si>
  <si>
    <t>Scepto Mundo: Two-handed Ranged Scepter; 14-20 Magic Damage; +4 Power; Active: (≈) Randomly reveals 7 Hexes in a circle on the Map for 1 Day. (1/Day)</t>
  </si>
  <si>
    <t>The Lightning Rod: Two-handed Ranged Scepter; 20 Unscallable Lightning Damage; +8 Power; +80% Lightning Resistance; Passive: Basic Attacks have Blitz; Switching to this Weapon during Combat has Counter and Flash.</t>
  </si>
  <si>
    <t>Gods' Fury: Two-Handed Ranged Scepter; 16-20 Light Damage; Active: (o) All other Entities on your Hex gain -1 Faith. (1/Day)</t>
  </si>
  <si>
    <t>Sea of Flowers: Two-handed Ranged Scepter; 15 Earth Damage; Active: (o) Powerplay; Remove all Negative Status Effects from all Entities on Hex and Turn Current Hex into a Sacred Sakura Grove; Entities on it have Regeneration Condition and +50% Elemental Resistance.</t>
  </si>
  <si>
    <t>Kingsley: Two-handed Ranged Scepter; 10-15 Magic Damage; +5 Power; Active: (&gt;) Basic Attack; If it lands and the Target is left below 20% Max Health. Kill Target. (1/Day)</t>
  </si>
  <si>
    <t>Azurefall: Two-handed Ranged Scepter; 10 Arcane Damage; +200 Mana; Active: (o) Cause an azure meteor to fall on Target Tile for 10(+10% Max Mana) Arcane Damage. (1/Day)</t>
  </si>
  <si>
    <t>27. Wands:</t>
  </si>
  <si>
    <t>Flingspark: One-handed Ranged Wand; 5 Magic Damage; +1 Power.</t>
  </si>
  <si>
    <t>Manaspark: One-handed Ranged Wand; 5 Magic Damage; Passive: You may consume 10 Mana to Basic Attack at double Base Damage.</t>
  </si>
  <si>
    <t>Moonwand: One-handed Ranged Wand; 4-7 Magic Damage; +2 Power; +20 Mana.</t>
  </si>
  <si>
    <t>Lightwand: One-handed Ranged Wand; 4-8 Light Damage; +2 Power.</t>
  </si>
  <si>
    <t>Flavored Magic Cane: One-handed Ranged Wand; 8-16 Magic Damage; Active: (≈) Lick Wand. 50% chance to restore 50 Mana or otherwise Lose 25 health (1/Day)</t>
  </si>
  <si>
    <t>Branched Ark: One-handed Ranged Wand; 5 Magic Damage; Passive: Shoots 3 Projectiles with each Basic Attack.</t>
  </si>
  <si>
    <t>Shadownull: One-handed Ranged Wand; 20 Dark Damage; +10% Deflection.</t>
  </si>
  <si>
    <t>The Welion Stick: One-handed Melee Wand; 30 Physical Damage; Can not Crit.</t>
  </si>
  <si>
    <t>Kardalion: One-handed Ranged Wand; 12 Magic Damage; +5 Power; +50 Mana; +5 Dispersion.</t>
  </si>
  <si>
    <t>Purity of Soul: One-handed Ranged Wand; 1 Holy Damage; Passive: You are Immune to all Status Effects.</t>
  </si>
  <si>
    <t>28. Orbs:</t>
  </si>
  <si>
    <t>Apprentices Orb: One-handed Ranged Orb; 6 Magic Damage.</t>
  </si>
  <si>
    <t>Forfrian Orb: One-handed Ranged Orb; 8 Frost Damage.</t>
  </si>
  <si>
    <t>Kablom: One-handed Ranged Orb; 8 Magic Damage; Active: (&gt;) Selfdestruct; Throw the Orb at Target causing it to explode 25 Arcane Damage.</t>
  </si>
  <si>
    <t>Hellblazer: One-handed Ranged Orb; 12 Fire Damage; Passive: If Off-handed it transfers 100% of its Base Damage to Main-Hand as On Hit instead of 50%.</t>
  </si>
  <si>
    <t>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</si>
  <si>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Karakri Crystalball: One-handed Ranged Orb; 0 Unscallable Magic Damage; +10 Power; Passive: While you are below 25% Health you gain an additional 10 Power; Active: (≈) Gain the 1 Hex Vision Map of the nearest chosen Landmark Until End of Day. (1/Day)</t>
  </si>
  <si>
    <t>Stable Archorb: One-handed Ranged Orb; 18 Magic Damage; Active: (≈) Toggle; Convert this weapons Base Damage to Power. (50 Mana/Health)</t>
  </si>
  <si>
    <t>Skull of Muigi: One-handed ranged Orb; 10 Unscalable Dark Damage; Passive: [Requires to be Wielded in Main Hand] Knives you equip in your Off-Hand become Ranged Projectile Impact Weapons.</t>
  </si>
  <si>
    <t>Armor Section:</t>
  </si>
  <si>
    <t>29: Tomes</t>
  </si>
  <si>
    <t>Cloth Type</t>
  </si>
  <si>
    <t>Tome of Intelligence: Off Hand Tome; Passive: Your Spells Cost 20% Less Mana.</t>
  </si>
  <si>
    <t>Book of Secrets: Off Hand Tome; Passive: Your Abilities now have the Hidden Keyword.</t>
  </si>
  <si>
    <t>Explorers Guidebook: Off Hand Tome; Active: (≈) Explore rolling a d5 instead at no Stamina Cost (1/Vendal) Passive: The Active Ability Refreshes after a Victorious Combat. (1/Day)</t>
  </si>
  <si>
    <t>Tome of Dread: Off Hand Tome; +8 Power; Passive: Your Damaging Abilities will inflict Fear for 2 Turns.</t>
  </si>
  <si>
    <t>Vampiric Codex: Off Hand Tome; Passive: Your Damaging Projectile Abilities have 30% Lifedrain.</t>
  </si>
  <si>
    <t>Ancient Scroll Emporium: Off handed Tome; Passive: Non-Legendary or higher Rarity Scrolls now have 1 Day Cooldown instead of being Consumed on use; Active: Powerplay; Destroy Target Legendary Scroll and Absorb it in this Tome, You may now cast the Scrolls Active Ability 1/Day.</t>
  </si>
  <si>
    <t>Tome of Everlasting Spite: Active: (+) Flash; If Target Hostile Entity's next roll is higher than your previous roll, add the difference to your next roll.</t>
  </si>
  <si>
    <t>The Chronicles of Ashtonkat: Off Hand Tome; Active: (&gt;) Powerplay; Razorfen: Deal 50 Arcane Damage. (50 Mana); Active: Hyperblade: (&gt;) [Channel for 1 Turn] Powerplay; Unleash a Sharp Edge Arcane Blade That Slices for 50 Arcane Damage; 50% Chance to Dismember.</t>
  </si>
  <si>
    <t>Librarian Manifesto: Off Hand Tome; Active: (+) Choose Target, If Target was the first to deal Damage to you in Combat, Mind Control them for 2 Turns.</t>
  </si>
  <si>
    <t>Velsek Grimoire: Off Hand Tome; Active: (≈) Your next Ability will cast 1 Rank higher. (1/Day)</t>
  </si>
  <si>
    <t>30. Sigils:</t>
  </si>
  <si>
    <t>Basic Sigil: Off Hand Sigil; +3 Attributes of your Choice.</t>
  </si>
  <si>
    <t>Advanced Sigil: Off Hand Sigil; +8 Attributes of your Choice.</t>
  </si>
  <si>
    <t>Cursed Bane of Curses: Off Hand Sigil; +0(+50 per unique Curse) Health; Passive: Upon equipping become Cursed; Curse: You no longer Regenerate Health at the Start of Day; Active: (≈) Selfdestruct and remove Target Curse.</t>
  </si>
  <si>
    <t>Seal of the High Order: Off Hand Sigil; +3 Faith; Passive: Killing a Boss grants you +1 Faith; Active: (+) Powerplay; Deal 50 Holy Damage.</t>
  </si>
  <si>
    <t>Rasonian Imbuement Badge: Off Hand Sigil; +5 Strength; +5 Dexterity; Passive: Melee Weapon equipped in your Main Hand gain +10 Base Damage, Allows you to equip Two-Handed Melee Weapons in your Main Hand.</t>
  </si>
  <si>
    <t>Invigroths Pentagram: Off Hand Sigil; +10 Attributes of your Choice; -100% Fire Resistance; Passive: At the Start of Combat you gain a 200 Health Demon Minion with 20 Physical Damage Ranged Basic Attack, It's Health and Attack increase by 50 and 5 for every Victorious Combat you had with this Sigil Equipped.</t>
  </si>
  <si>
    <t>31. Bucklers: </t>
  </si>
  <si>
    <t>A Piece of Plank: Off Hand Buckler; Blocks 10% of incoming Physical Damage; +20 Health.</t>
  </si>
  <si>
    <t>Hardened Buckler: Off Hand Buckler; 20% Chance to Parry incoming Basic Attack.</t>
  </si>
  <si>
    <t>All Round Buckler: Off Hand Buckler; Blocks 20% of incoming Physical Damage; +50 Health.</t>
  </si>
  <si>
    <t>Parrying Buckler: Off Hand Buckler; +30 Health; Active: (≈) Counter; Parry Target Basic Attack. (3 Turn Cooldown)</t>
  </si>
  <si>
    <t>Ice Buckler: Off Hand Buckler; Blocks 10% of all Damage; +60% Frost Resistance; +50 Health.</t>
  </si>
  <si>
    <t>Hearthbone: Off Hand Buckler; Blocks 20% of all Damage; +20% Fortitude.</t>
  </si>
  <si>
    <t>Aegis of The Sun: Off Hand Buckler; +2 Dispersion; +40% Light Resistance; +40% Fire Resistance; Passive: Being hit by a Basic Attack will Blind the Target for 1 Turn.</t>
  </si>
  <si>
    <t>Spiked Buckler: Off Hand Buckler; Reflects 20% of Physical Damage taken back to the original attacker; +200 Health.</t>
  </si>
  <si>
    <t>Holy Defender: Off Hand Buckler; Blocks 25% of all Damage from Faeries, Undead, Constructs, Demons and Divine; 50% Chance to Block incoming Basic Attack from a Living or Construct.</t>
  </si>
  <si>
    <t>32. Shields: </t>
  </si>
  <si>
    <t>Poor Mans Shield: Off Hand Shield; Blocks 10% of incoming Physical Damage; +2 Defense.</t>
  </si>
  <si>
    <t>Imaginary Shield: Off Hand Shield; +2 Dispersion; +10% Fortitude.</t>
  </si>
  <si>
    <t>The Silver Barricade: Off Hand Shield; 20% Elemental Resistance; +6 Defense.</t>
  </si>
  <si>
    <t>Tower Shield: Off Hand Shield; Blocks 20% of all Physical Damage; 10% Deflection; +3 Defense.</t>
  </si>
  <si>
    <t>Hoplite Shield: Off Hand Shield; +5 Defense. +5 Dispersion; Active: (≈) Counter; Raise Shield; If raised the Stats are raised to 10 Defense and 10 Dispersion and you get -5 Str; -5 Dex; -5 Power; You become unable to move or do any Movement Actions.</t>
  </si>
  <si>
    <t>Mana-Tech Guard; +8 Dispersion; +100 Mana; -5 Defense; -5 Basic Attack Damage; Passive: Absorbs 20% of Damage from Projectiles and converts it in to Mana.</t>
  </si>
  <si>
    <t>The High Guard: Off Hand Shield; +1 Might; Blocks 30% of all Physical Damage; +5 Defense; +5 Dispersion; -5 Basic Attack Damage; -5 Power.</t>
  </si>
  <si>
    <t>Forts Door: Off Hand Shield; Blocks 30% of all Physical Damage and 30% of all Magic Damage.</t>
  </si>
  <si>
    <t>Split-Screen: Off Hand Shield; Is considered a Blunt Melee Weapon; 11-15(+100% Strength) Physical Damage; On Hit: 30% Chance to Stun Target for 1 Turns; Blocks 30% of all Damage; Passive: Locks your Main Hand, instead you Wield 2 halves of an enormous Shield.</t>
  </si>
  <si>
    <t>The Barrier: Off Hand Shield; Blocks 30% of all Damage; +8 Defense; + 8 Dispersion; -12 Strength; -12 Power. 20% Deflection.</t>
  </si>
  <si>
    <t>Solar Zenith: Off-Hand Shield; Blocks 20% of all Damage; -6 Strength; -6 Dexterity; Passive: Entities that Strike you are Dealt 10 Solar Damage; Active: (≈) Counter; Block Target Non-Ultimate Attack. (1/Day)</t>
  </si>
  <si>
    <t>The Hero's Story: Off-Hand Shield; Passive: Heal 10% of Total Damage Taken, Record all Damage taken;  Active: (≈) Selfdestruct; Gain Barrier equal to Double the Recorded amount.</t>
  </si>
  <si>
    <t>The Immoral Bulwark: Two-handed Shield; +2 Defense; -5 Mobility; +1 Might; Passive: In Combat you occupy 2x2 Tiles, Your Elemental Resistance is converted to Defense at 10 to 1 Ratio(Positive and Negative) and all Elemental Damage is Reduced by Defense.</t>
  </si>
  <si>
    <t>Glass Mirror: Off Hand Shield; 5 Dispersion; -5 Power; -5 Strength; -5 Dexterity; +50% Deflection.</t>
  </si>
  <si>
    <t>33. Quivers: (1)</t>
  </si>
  <si>
    <t>Leather Quiver: Ammunition Slot Quiver; Provides Arrows for the use of Bows and Crossbows.</t>
  </si>
  <si>
    <t>Ice Quiver: Ammunition Slot Quiver; Provides Arrows for the use of Bows and Crossbows; Passive: Fired Arrows Deal 5 Frost Damage on Hit.</t>
  </si>
  <si>
    <t>Fire Quiver: Ammunition Slot Quiver; Provides Arrows for the use of Bows and Crossbows; Passive: Fired Arrows Deal 5 Fire Damage on Hit.</t>
  </si>
  <si>
    <t>The Quiver of Darkness : Ammunition Slot Quiver; Provides Arrows for the use of Bows and Crossbows; Passive: Fired Arrows Deal 10 Dark Damage on Hit.</t>
  </si>
  <si>
    <t>Magic Quiver: Ammunition Slot Quiver; Provides Arrows for the use of Bows and Crossbows; Passive: Your Bows and Crossbows have their Total Damage converted to Magic; If it was already Magic it becomes Arcane Instead.</t>
  </si>
  <si>
    <t>Corrosive Quiver: Ammunition Slot Quiver; Provides Arrows for the use of Bows and Crossbows; Passive: Your First, Third and Fifth Arrow Fired deals 30 Corrossive Damage On Hit.</t>
  </si>
  <si>
    <t>Elemental Quiver: Ammunition Slot Quiver; Provides Arrows for the use of Bows and Crossbows; Passive: Converts Basic Attack Damage to Chosen Element with Each Arrow Fired.</t>
  </si>
  <si>
    <t>Spooky Haunted Quiver: Ammunition Slot Quiver; Provides Arrows for the use of Bows and Crossbows; Passive: Killing Entities will Collect their Souls [weakling: 1 Soul; Elite 2 Souls; Boss 4 Souls; Guardian/Hero: 8 Souls]; Active: Consume a Soul to Basic Attack with a  ghostly Arrow which inflicts Fear for 2 Turns On Hit.</t>
  </si>
  <si>
    <t>The Black Hole: Ammunition Slot Quiver; Provides Arrows for the use of Bows and Crossbows; Passive: Fired Arrows Deal 10 True Damage On Hit; You may Store any amount of throwables into this Quiver; Active: Throw all Stored Throwables at Target Entity. </t>
  </si>
  <si>
    <t>34. Ammo Pouch: (2)</t>
  </si>
  <si>
    <t>Poor man's Ammo Sack: Ammunition Slot Pouch; Provides Pellets for the use of Guns and Rifles.</t>
  </si>
  <si>
    <t>Sharp Nailbox: Ammunition Slot Pouch; Provides Pellets for the use of Guns and Rifles; Passive: Fired Pellets Deal 5 Bleed Damage on Hit.</t>
  </si>
  <si>
    <t>Poison-Filled Sack: Ammunition Slot Pouch; Provides Pellets for the use of Guns and Rifles; Passive: Fired Pellets Deal 5 Poison Damage on Hit.</t>
  </si>
  <si>
    <t>Blackpowder Box: Ammunition Slot Pouch; Provides Pellets for the use of Guns and Rifles; Passive: Fired Pellets Deal 10 Wind Damage on Hit.</t>
  </si>
  <si>
    <t>Charged Pouch: Ammunition Slot Pouch; Provides Pellets for the use of Guns and Rifles; Passive: Fired Pellets Deal 10 Lightning Damage on Hit.</t>
  </si>
  <si>
    <t>Organ Remover: Ammunition Slot Pouch; Provides Pellets for the use of Guns and Rifles; Your Pellets will always strike Vitals on Crit.</t>
  </si>
  <si>
    <t>Belt Stripe of the Gun God: Ammunition Slot Pouch; Provides Pellets for the use of Guns and Rifles; Passive: [Requires Pistol/Rifle] Basic Attacks have Precise.</t>
  </si>
  <si>
    <t>The Solarite Ammo Box: Ammunition Slot Pouch; Provides Pellets for the use of Guns and Rifles; Passive:  Fired Pellets Deal 20 Solar Damage on Hit.</t>
  </si>
  <si>
    <t>35. Helmets: (3)    </t>
  </si>
  <si>
    <t>Rusty Helmet: Head Piece; +2 Defense; +1 Strength</t>
  </si>
  <si>
    <t>Copper Helm: Head Set Piece; +2 Defense; +10% Lightning Resistance.</t>
  </si>
  <si>
    <t>Steel Helm: Head Set Piece; +3 Defense; +1 Strength; +20% Bleed Resistance.</t>
  </si>
  <si>
    <t>Silver Armet: Head Piece; +1 Defense; +10% Elemental Resistance.</t>
  </si>
  <si>
    <t>Golden Barbute: Head Piece; + 2 Defense; + 3 Strength; +10% Poison Resistance; +10% Light Resistance.</t>
  </si>
  <si>
    <t>Legionaires Galea: Head Set Piece; +3 Defense; +3 Dispersion; +3 Strength; +30% Wind Resistance.</t>
  </si>
  <si>
    <t>Deflectorium Sallet: Head Piece; +50 Health; +20% Deflection.</t>
  </si>
  <si>
    <t>Impenetrable Bucket: Head Piece; +5 Defense; Passive: Halves the damage of incoming Critical Attacks.</t>
  </si>
  <si>
    <t>Sutton Hoo Helmet: Head Piece; +1 Might; +2 Defense; +3 Dispersion; +50 Health; Active: (+) Fear Target for 2 turns. (1/Day)</t>
  </si>
  <si>
    <t>Medusa's Head: Head Piece; +3 Defense; +3 Dispersion; +30% Dark Resistance; +30% Posion Resistance; Active: (+) Gaze at Target. Stunning them for 1 Turn and Dealing 20 Earth Damage. (1/Day)</t>
  </si>
  <si>
    <t>Mind Over Matter: Head Piece; +50% Fortitude.</t>
  </si>
  <si>
    <t>Helm of the Elemental Divine: Head Set Piece; +5 Defense; +5 Dispersion; +1 Hex Vision; +50% Wind Resistance; Active: (+) Deal 40 Wind Damage to Target Entity. (1/Combat)</t>
  </si>
  <si>
    <t>36. Headgear: (4)</t>
  </si>
  <si>
    <t>Shortsight Monocle: Headpiece; Passive: You have access to the Inspect Skill.</t>
  </si>
  <si>
    <t>Hell Circlet: Head Piece; +1 Defense; Active: (≈) [Requires you to be in Volcanica Biome] Restore 25 Health. (1/Day)</t>
  </si>
  <si>
    <t>Runic Headband: Head Piece; +4 Dispersion; +2 Power.</t>
  </si>
  <si>
    <t>Falcons Feathers; Head Piece; +1 Mobility; +30% Wind Resistance; Passive: Successfully Dodging an Attack will empower your next Basic Attack to be a Critical Hit.</t>
  </si>
  <si>
    <t>Hoarder's Crown: Head Set Piece; Passive: Gold Looted while wearing this Crown is Doubled; Passive: Selfdestruct upon Unequipping it.</t>
  </si>
  <si>
    <t>Farsight Monocle: Head Piece; +1 Hex Vision.</t>
  </si>
  <si>
    <t>Circlet of Thunder: Head Pieve; +20% Lightning Resistance; +20% Fortitude; +2 Dispersion.</t>
  </si>
  <si>
    <t>Keen Visor: Head Piece; +1 Hex Vision; +30% Dark Resistance; +30% Light Resistance; Passive: Gain the Vigilant Condition.</t>
  </si>
  <si>
    <t>Shadow Mask: Head Piece; +1 Wisdom; +20% Dark Resist; +4 Power; +4 Dexterity; Passive: Entities can no longer Flee from you.</t>
  </si>
  <si>
    <t>Tiara Of Helena: Head Piece; +75 Mana; +5 Power; +30% Poison Resistance; +30% Dark Resistance; +30% Lightning Resistance; Passive: At the start of the day roll d10 to determine amount of extra Power the tiara will give.</t>
  </si>
  <si>
    <t>Druglords Fake Beard: Head Piece; Passive: You may consume multiple Drugs of the same Type but this Gear Selfdestructs upon being unequipped; Active: (≈) Gain a Random Drug. (1/Vendal)</t>
  </si>
  <si>
    <t>The Third Eye: Head Piece; +1 Might; +1 Mobility; +1 Wisdom; +3 Power; +3 Dexterity; +3 Dispersion; +1 Hex Vision; Passive: Selfdestruct after 3 Days.</t>
  </si>
  <si>
    <t>Corona Contiua: Head Piece; +8 Power; +80 Mana; +8 Dispersion; Passive: Toggle and Stance Abilities have their costs halved.</t>
  </si>
  <si>
    <t>The Planes Crown: Head Piece; Passive: You are revealed on the Planes and can no longer unequip this Gear; Active: (+) Destroy Target Hex. (1/Day)</t>
  </si>
  <si>
    <t>37. Caps: (5) </t>
  </si>
  <si>
    <t>Rangers Hood: Head Piece; +25 Health.</t>
  </si>
  <si>
    <t>Leather Cap: Head Set Piece; +1 Defense; +2 Dexterity; </t>
  </si>
  <si>
    <t>Demonskin Cap: Head Set Piece; +25 Health; +20% Fire Resistance; Active: (≈) Traverse Lava Hex. (2/Day)</t>
  </si>
  <si>
    <t>Silk Cap: Head Set Piece; +50 Health.</t>
  </si>
  <si>
    <t>Wolf Head: Head Set Piece; +25 Health; Passive: Reduce all Damage you are about to take by 1.</t>
  </si>
  <si>
    <t>Crystal Cone: Head Set Piece; +50 Mana; +2 Power; +2 Dispersion; 10% Deflection.</t>
  </si>
  <si>
    <t>Dragonskin Regalia: Head Piece; +2 Defense; +70 Health; +2 Power.</t>
  </si>
  <si>
    <t>Curing Bandana: Head Piece; +75 Health; +50% Poison Resistance; Active: (≈) Counter; Reflex; Cures one Status Effect. (1/Day)</t>
  </si>
  <si>
    <t>Bride's Veil: Head Piece; +6 Dispersion; +6 Dexterity; +20% Light Resistance; +20% Wind Resistance; Active: (o) Reveal your face Charming all Entities on Hex for 2 Turns. (1/Day)</t>
  </si>
  <si>
    <t>Abyssal Hood: Head Set Piece; +75 Mana; +4 Dexterity; Passive: Hide your True Identity; Entities can no longer Gain any kind of Information when Inspecting you or when entering Combat with you, including Stats.</t>
  </si>
  <si>
    <t>38. Hat: (6) </t>
  </si>
  <si>
    <t>Wizard Hat: Head Piece; +2 Power; +1 Dispersion.</t>
  </si>
  <si>
    <t>Cool Hat: Head Piece; +20% Frost Resistance; +2 Power.</t>
  </si>
  <si>
    <t>Straw Hat: Head Set Piece; +50% Light Resistance; Immune to Blind.</t>
  </si>
  <si>
    <t>Missing Hat: Head Piece; Passive: You lost your Hat. you are permanently Enraged.</t>
  </si>
  <si>
    <t>Captains Hat: Head Set Piece; +50% Wind Resistance; +2 Dispersion; +2 Defense; +4 Power.</t>
  </si>
  <si>
    <t>Sun Hat: Head Piece; +3 Dispersion; +3 Power; +25 Mana; +30% Fire Resistance; Active: (&gt;) Blind Target for 2 Turns. (1/Combat)</t>
  </si>
  <si>
    <t>Stalkers Hat: Head Set Piece; +2 Dexterity; +2 Power; +2 Dispersion; +50 Mana. Active: (≈) Gain Invisibility for 2 Turns. (1/Day)</t>
  </si>
  <si>
    <t>The Tophat: Head Piece; +1 Wisdom; +5 Power; +50 Mana; Passive: You have 20% Chance to Trigger a Non-Ultimate Spell Twice.</t>
  </si>
  <si>
    <t>Buzzsaw Hat: Head Piece; +4 Defense; +4 Dexterity; +40% Wind Resistance; Active: (&gt;) [1 Preparation Stack] Activate the Saw and throw your Hat at Target for 40 Bleed Damage; 20% Chance to Dismember. (1/Day)</t>
  </si>
  <si>
    <t>Etherconnectria: Head Piece; +75 Mana; +3 Power; Passive: Increase the Scaling percentage by 25%(of itself rounded up) of all your Base Abilities that are able to Scale with Power. (E.g. +100% Power becomes +125% Power; +50% Power becomes +63% etc.)</t>
  </si>
  <si>
    <t>Alchemist's Hat; Head Piece; +100 Mana; +5 Dispersion; Active: (≈) Gain 1 Random Epic Potion. (1/Day)</t>
  </si>
  <si>
    <t>39. Pauldrons: (7)</t>
  </si>
  <si>
    <t>Commoner's Pauldron: Shoulder Piece; +2 Defense; +1 Strength.</t>
  </si>
  <si>
    <t>Knight's Pauldron: Shoulder Piece; +3 Defense; +1 Dispersion; +2 Strength.</t>
  </si>
  <si>
    <t>Mighty Shoulders: Shoulder Piece; +2 Might; -1 Mobility; +1 Strength.</t>
  </si>
  <si>
    <t>Lord's Pauldron: Shoulder Piece; +5 Defense; +20% Frost Resistance; +20% Lightning Resistance; Active: (+) 2 Hex Range; Move Target Weakling 1 Hex or 1 Tile; At Level 8 it can be used on Elites.</t>
  </si>
  <si>
    <t>Sturdy Shoulder Pads: Shoulder Piece; +2 Defense; +20% Elemental Resistance.</t>
  </si>
  <si>
    <t>Second Proof Altions: Shoulder Piece; +25 Health; +30% Fortitude; Passive: The first Non-Interrupting Status that is inflicted upon you in Combat is Nullified.</t>
  </si>
  <si>
    <t>Champion's Insignia: Shoulder Piece; +50 Health; +4 Defense; +4 Dispersion; Passive: Immune to Charm and Fear.</t>
  </si>
  <si>
    <t>Imperial Authority: Shoulder Piece; +9 Dispersion; Passive: Weaklings, Elites and Bosses are no longer Hostile towards you unless Provoked.</t>
  </si>
  <si>
    <t>Pauldrons of the Elemental Divine: Shoulder Set Piece; +20 Health; +6 Defense; +6 Dispersion; +50% Lightning Resistance; +20% Deflection; Active: (+) Deal 40 Lightning Damage to Target. (1/Combat)</t>
  </si>
  <si>
    <t>Quartzel Spikes: Shoulder Piece; +3 Defense; +5 Dispersion; +25 Mana; +75 Health; Passive: Entities Striking you take 20 Magic Damage and are Sealed for 1 Turn even on Miss.</t>
  </si>
  <si>
    <t>40. Spaulders: (8)</t>
  </si>
  <si>
    <t>Tin Spaulders: Shoulder Piece; +2 Defense; +5 Health.</t>
  </si>
  <si>
    <t>Hardened Spaulders: Shoulder Piece; +3 Defense; +3 Dispersion; +20% Poison Resistance; -1 Mobility.</t>
  </si>
  <si>
    <t>Overguardians: Shoulder Piece; +20% Fortitude; +1 Defense; +1 Dispersion.</t>
  </si>
  <si>
    <t>Mir Watchers Spaulders: Shoulder Piece; +8 Defense; +40 Health; -1 Mobility.</t>
  </si>
  <si>
    <t>Tough Deflectors: Shoulder Piece; +2 Defense; +20% Deflection; Passive: For every Deflection trigger gain 2 Defense until End of Combat.</t>
  </si>
  <si>
    <t>Titanic Spaulders: Shoulder Piece; +10 Defense; +2 Dispersion; +10% Elemental Resistance; -2 Mobility; Passive: Your Defense can not be lower than 10, Immune to Corrosion Status; Active: (≈) Block Target Non-Ultimate Strike. (1/Day) </t>
  </si>
  <si>
    <t>The Imperyans: Shoulder Piece; Locks Shoulder Slot upon equipping; +10% Deflection; +10% Fortitude; +1 Wisdom; Passive: Gain Winged Condition; Active: Take flight and become Untargetable by Strikes and Alterations for 3 Turns. (1/Combat)</t>
  </si>
  <si>
    <t>Mushroom Landers: Shoulder Piece; +20% Poison Resistance; +20% Bleed Resistance; +20% Dark Resistance; +20% Fortitude; Active: (o) Poison all other Entities on Hex for 20 Poison Damage per Turn over 5 Turns. (1/Day)</t>
  </si>
  <si>
    <t>41. Capes: (9)</t>
  </si>
  <si>
    <t>Hidden Cloak: Shoulder Piece; Passive: Ending your Turn without using any actions causes you to gain Invisibility for 1 Turn. (1/Combat)</t>
  </si>
  <si>
    <t>Hunters Cape: Shoulder Piece; +2 Dexterity; Passive: Weapons which require an Ammo Slot have +5 Base Damage.</t>
  </si>
  <si>
    <t>Heroes Cape: Shoulder Piece; +2 Chosen Attribute; +20 Health; +20 Mana; +2 Dispersion; +2 Defense.</t>
  </si>
  <si>
    <t>Overcoat: Shoulder Piece; Passive: In Combat your Weapon is Hidden until you Basic Attack; For Each turn you don't Basic Attack gain +1 Roll Modifier to your next Basic Attack until End of Combat.</t>
  </si>
  <si>
    <t>Cowards Cape: Shoulder Piece; +5 Mobility; Passive: The moment you Equip this Gear you Permanently Gain the Coward Condition.</t>
  </si>
  <si>
    <t>Factionless Cloak: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</si>
  <si>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Shoulder Piece; +4 Dexterity; +1 Mobility; Active: Powerplay; Teleport to closest Zone.</t>
  </si>
  <si>
    <t>Mantle of Sacrifice: Shoulder Set Piece; +300 Mana; +10 Dispersion; +10 Power; Passive: Lose 10 Health with each Traversed Hex; Selfdestructs after 3 days.</t>
  </si>
  <si>
    <t>Dragonslayer Coat: Shoulder Piece; +2 Mobility; +10 Dexterity; Active: (≈) Strike Target Dealing Physical Damage equal to the Difference between your Max Healths. (1/Day)</t>
  </si>
  <si>
    <t>42. Shawls: (10)</t>
  </si>
  <si>
    <t>Tainted Scarf: Shoulder Piece; +2 Power; +10 Health.</t>
  </si>
  <si>
    <t>Silk Scarf: Shoulder Set Piece; +50 Health.</t>
  </si>
  <si>
    <t>Thick Fur: Shoulder Set Piece; Passive: Reduce all Damage you are about to take by 2.</t>
  </si>
  <si>
    <t>Librarian Ornatium: Shoulder Piece; +20 Mana; +2 Wisdom.</t>
  </si>
  <si>
    <t>Waterfall Collar: Shoulder Piece; +4 Power; +3 Dispersion; +20% Frost Resistance; Passive: You may Rest(not swim) in a Water Hex.</t>
  </si>
  <si>
    <t>Nameless Shawl: Shoulder Piece; +30% Deflection; At the Start of your Turn 10% Chance to become Invisible for 2 Turns.</t>
  </si>
  <si>
    <t>The Unknown Shawl: Shoulder Piece; +0-20 Dexterity/Power/Strength[D20]; +0-200 Health/Mana[D20]; +0/3 Mobility[D3]; +0%/30% Fortitude[D3]; Passive: It has Random Stats that are rolled upon equipping; Upon equipping it becomes Locked in your Shoulder Slot.</t>
  </si>
  <si>
    <t>Vivrian Flames' Delquista: Shoulder Piece; +50 Health; +40% Fire Resistance; +8 Power; Passive: All Entities Damaged by your Projectile or Flux Abilities are dealt an additional 20(+100% Power) Fire Damage. (1/Ability)</t>
  </si>
  <si>
    <t>43. Chainmail: (11)</t>
  </si>
  <si>
    <t>Rusty Chainmail: Body Set Piece; +2 Defense; 10% Bleed Resistance.</t>
  </si>
  <si>
    <t>Silver Chainmail: Body Set Piece; +1 Defense; +10% Elemental Resistance.</t>
  </si>
  <si>
    <t>Golden Ringmail: Body Piece; +2 Defense; +2 Dispersion; +30% Bleed Resistance.</t>
  </si>
  <si>
    <t>Sturdy Chainlink: Body Piece; +2 Defense; +40 Health; Passive: Arrows and Pellets Targeting you deal 50% less Damage.</t>
  </si>
  <si>
    <t>Titanium Chainmail: Body Piece; +2 Defense; +2 Dispersion; Passive: You take 30% Less Damage from Basic Attacks.</t>
  </si>
  <si>
    <t>Prisoner's Chains: Body Piece; +7 Defense; +70 Health; Active: (&gt;) Throw a cluster of Chains at Target. Rooting them for 3 Turns. (1/Combat)</t>
  </si>
  <si>
    <t>Crystalmail: Body Set Piece; +30 Mana; +3 Defense; +3 Dispersion; 30% Deflection.</t>
  </si>
  <si>
    <t>Zephyr of the Solaris: Body Piece; +5 Defense; +5 Dispersion; +30% Light Resistance; +30% Fire Resistance; Passive: Blocked, Parried, Dodged, Deflected or Reflected Attacks grant you 5% Physical and Magic Damage Reduction until End of Combat.</t>
  </si>
  <si>
    <t>Unbreakable Chainlink: Body Piece; +100 Health; +10 Defense; Passive: Ranged Non-Ultimate Attacks deal no Physical Damage to you.</t>
  </si>
  <si>
    <t>44. Breastplate: (12)</t>
  </si>
  <si>
    <t>Copper Breastplate: Body Set Piece; +2 Defense +10% Lightning Resistance.</t>
  </si>
  <si>
    <t>Tin Plate: Body Piece; +1 Defense; +2 Strength.</t>
  </si>
  <si>
    <t>Steel Plate: Body Set Piece; +5 Defense; 20% Bleed Resistance; -20% Lightning Resistance; +2 Strength; -2 Dexterity.</t>
  </si>
  <si>
    <t>Battle Armor: Body Piece; +5 Defense; +50 Health; 30% Bleed Resistance; -20% Lightning Resistance; -3 Dexterity; -2 Mobility.</t>
  </si>
  <si>
    <t>Legionares Lorica Segmentata: Body Set Piece +40 Health; +3 Defense; +1 Dispersion; +20% Bleed Resistance; +10% Deflection.</t>
  </si>
  <si>
    <t>War Knight Plate: Body Piece; +4 Defense; +40 Health; +2 Strength; -1 Mobility; Passive: 30% chance to half incoming Physical Damage.</t>
  </si>
  <si>
    <t>Windmakers Metal: Body Piece; +2 Might; +2 Defense; +20 Health; -1 Mobility; +20% Wind Resistance.</t>
  </si>
  <si>
    <t>Dragonscale Plate: Body Set Piece; +4 Defense; +4 Dispersion; +40 health; Passive: 10% Chance to nulify all incoming Damage.</t>
  </si>
  <si>
    <t>Mordred's Rebellion: Body Set Piece: +5 Defense; Passive: Whenever your Barrier breaks deal 30 True Damage to all Entities in Melee Range; Active: (≈) Gain a 100 Barrier until End of Combat. (1/Day)</t>
  </si>
  <si>
    <t>Giants Breastplate: Body Piece; +5 Defense; +5 Strength; +150 Health -2 Mobility.</t>
  </si>
  <si>
    <t>Karna's Body Crystal: Body Set Piece: +4 Defense; +8 Dispersion ; +10% Elemental Resistance; 10% Deflection; Active: (≈) Selfdestruct; Your Basic Attacks are converted to Scorch Damage and your Attacks Deal 20 Fire Damage on Hit; Lasts Until End of Day.</t>
  </si>
  <si>
    <t>Plate of the Elemental Divine: Body Set Piece: +100 Health; +5 Defense; +5 Dispersion; ; +50% Light Resistance; Active: (+) Deal 40 Light Damage to Target. (1/Combat)</t>
  </si>
  <si>
    <t>Mirrormorph Armor: Body Piece; Active: (≈) Destroy Target Armor in your inventory and gain its Passive.</t>
  </si>
  <si>
    <t>The Core: +200 Health; +10 Defense; +50% Fire Resistance; +1 Critical Multiplier; On Hit: +20 Fire Damage; Passive: Regenerate 50 Health and Resource at the Start of Day instead of 10.</t>
  </si>
  <si>
    <t>45. Gambesons: (13)</t>
  </si>
  <si>
    <t>Boar Belt: Body Piece; Unlocks 3 Inventory Slots.</t>
  </si>
  <si>
    <t>Peasant's Cloth: Body Piece; +1 Defense; +2 Dexterity.</t>
  </si>
  <si>
    <t>Demonskin Coat: Body Set Piece; +50 Health; +10% Fire resistance.</t>
  </si>
  <si>
    <t>Leather Tunic: Body Set Piece; +2 Defense; +15 Health; +2 Dexterity.</t>
  </si>
  <si>
    <t>Hunters Vest: Body Piece; +3 Defense; +3 Dexterity.</t>
  </si>
  <si>
    <t>Captain's Coat: Chest Set Piece; +4 Defense; +4 Dexterity; Passive: Your first two Basic Attacks in Combat scales with an extra 1 Dexterity.</t>
  </si>
  <si>
    <t>Bloodcraft Gambeson: Body Piece; +4 Defense; +4 Dexterity; Passive: [Requires Weapon in Off-Hand] 10% chance to Strike/Shoot again with your Off-Hand on Basic Attack.</t>
  </si>
  <si>
    <t>The Elaborate Lie: Body Piece; +2 Defense; +30% Dark Resistance; +6 Power; Passive: You will appear to have an extra 200 Health to other Entities.</t>
  </si>
  <si>
    <t>Stalkers Coat: Body Set Piece; +8 Dexterity; +4 Power; +2 Mobility; Active: (&gt;) Throw a Knife that deals 15 Physical Damage and has On Hit: 5 Poison Per Tick Over 2 Turns.</t>
  </si>
  <si>
    <t>Trixy’s Flashrug: Body Piece; +6 Defense; +6 Dexterity; Active: (+) 1 Hex Range; Teleport in Melee Range of Target. (1/Day)</t>
  </si>
  <si>
    <t>Pearl Friggata: Body Piece; +3 Dexterity; + 1 Defense; +2 Dispersion; +10% Fortitude; Passive: Increase your Basic Attacks' Base Damage by 5.</t>
  </si>
  <si>
    <t>Abyssal Armor: Body Set Piece; +5 Defense; +5 Dispersion; +50% Dark Resistance; Passive: Become Ethereal.</t>
  </si>
  <si>
    <t>Voidcoat: Body Piece; +20 of Chosen Attribute; +20% Deflection; +2 Mobility; +200 Mana; Active: Voidfear; Force all other Entities to roll a d10, if it lands between 1 and 5 they Lose 100 Health, If they are Non-Hero they are Destroyed instead. (1/Day)</t>
  </si>
  <si>
    <t>46. Robes: (14)</t>
  </si>
  <si>
    <t>Magic tainted Clothes: Body Piece; +1 Dispersion; +2 Power.</t>
  </si>
  <si>
    <t>Ragged Gown: Body Piece; +2 Dispersion; +1 Power.</t>
  </si>
  <si>
    <t>Cowards Robe: Body Piece; +2 Mobility; +10% Wind Resistance.</t>
  </si>
  <si>
    <t>Mana Infused Robes: Body Piece; +50 Mana.</t>
  </si>
  <si>
    <t>Morphic Kimono: Body Piece; Passive: Upon Killing a Boss or Higher Transform this into a Random Legendary Body Piece.</t>
  </si>
  <si>
    <t>Hoarder's Rags: Body Set Piece; Passive: Whenever you Loot Gear, Gain 1 Ore or Fabric at Random of Rarity equal to the Highest Looted Gear. (2/Day); Selfdestructs upon Unequipping it.</t>
  </si>
  <si>
    <t>Insanity Vestment: Body Piece; +50 Mana; Passive: Your Damaging Non-Ultimate Spells have 50% Chance to deal Double Damage.</t>
  </si>
  <si>
    <t>Oldmaesters Duds: Body Piece; +2 Wisdom; +4 Power; -2 Strength; -2 Dexterity.</t>
  </si>
  <si>
    <t>The Judgement: Body Piece: Passive: Whenever you Gain Faith, this Gear will gain 10% Elemental Resistance and 50 Health. (1/Day)</t>
  </si>
  <si>
    <t>Mantle of the Magi: Body Piece; +1 Wisdom; +3 Dispersion; +3 Power; 10% Elemental Resistance; Active: (≈) Your next Non-Ultimate spell casts 1 Rank higher. (1 Turn cooldown) </t>
  </si>
  <si>
    <t>Magus Aeternus: Body Piece; +6 Dispersion; +6 Power; Passive: All your Abilities cost 10 less Mana to Cast.</t>
  </si>
  <si>
    <t>Sorcerers Secrets: Body Piece; +4 Power; +2 Dispersion; +20% Fortitude; Active: (≈) Flash; Hidden; Cause your next Ability to be Hidden. (1/Combat)</t>
  </si>
  <si>
    <t>Cursebearer's Robes: Body Set Piece; +20 Power; +200 Mana; +30% Elemental Resistance; Passive: You become Cursed, you can no longer Loot anything; Selfdestructs after 3 Days.</t>
  </si>
  <si>
    <t>47. Armguards: (15)</t>
  </si>
  <si>
    <t>Copper Armguard: Arms Set Piece; +2 Defense; +10% Lightning Resistance.</t>
  </si>
  <si>
    <t>Resistant Ketoh: Arms Piece; +2 Defense; +20% Fire Resistance; +20% Frost Resistance; +20% Lightning Resistance.</t>
  </si>
  <si>
    <t>Legionaires Manica: Arms Set Piece; +3 Defense; +3 Dispersion; Active: (≈) Selfdestruct; Counter; Block Target Strike Completely.</t>
  </si>
  <si>
    <t>Stone Wristguard: Arms Piece; +5 Defense; +2 Strength; +20% Fire Resistance; +20% Earth Resistance; +20% Wind Resistance; +20% Bleed Resistance.</t>
  </si>
  <si>
    <t>Dragonscale Armguard: Arms Set Piece; +4 Defense; +4 Dispersion; +20% Fire Resistance; Passive: [Requires Empty Main hand and Off Hand Slots] Grow Fiery Dragon Claws (Counts as a Sharp Weapon, 1-5 Miss Range, 2 Crit Multiplier) that deal 25 Unscallable Physical Damage and 10 Fire Damage on Hit.</t>
  </si>
  <si>
    <t>Venomous Armguard: Arms Piece; +7 Defense; +40% Poison Resistance; On Hit: 20% chance to inflict Poison for 20 Damage Per Tick over 3 Turns.</t>
  </si>
  <si>
    <t>Balast Forgers: Arms Piece; +8 Defense; Active: Double your Defense until End of Combat. (1/Day)</t>
  </si>
  <si>
    <t>Protectorates Sealed Armguards: Arms Piece; +5 Defense; +5 Dispersion; +20% Elemental Resistance; Active: (≈) 50% Chance to Double this Gears Base Stats or Selfdestruct. (1/Day)</t>
  </si>
  <si>
    <t>48. Bracer: (16)</t>
  </si>
  <si>
    <t>Rusty Bracer: Arms Set Piece; +3 Defense; +10% Fire Resistance; -20% Lightning Resistance. </t>
  </si>
  <si>
    <t>Fortitudes Embracers: Arms Piece; +20% Fortitude.</t>
  </si>
  <si>
    <t>Chained Lightsteel Bracelets: Arms Piece; +2 Defense; +4 Strength.</t>
  </si>
  <si>
    <t>Bracers of Muscle: Arms Piece; +3 Might; -70% Bleed Resistance.</t>
  </si>
  <si>
    <t>Pair of Gems: Arms Piece; +5 Dispersion; +2 Power; Active: (≈) Gain 8 Power Until End of Combat. (1/Day)</t>
  </si>
  <si>
    <t>Golden Flexers: Arms Piece; +1 Might; -1 Wisdom; +3 Defense; +5 Strength; Active: (≈) Spend a Turn Flexing your Muscles to your Oponent and Gain 7 Strength until End of Combat; Passive: If your Opponent has more Current Health this Gears Active Gains Flash.</t>
  </si>
  <si>
    <t>Tectonicause: Arms Piece; +4 Defense; +4 Dispersion; Active: (o) Deal 40 Earth Damage in a 3x3 Tile Range; If any Entity Dies from this Ability then Retrigger. (1/Combat)</t>
  </si>
  <si>
    <t>Bracers of Hope: Arms Piece; +50 Health; +20% Fortitude; Passive: You Gain the Hope Condition; When Hope is Consumed Remove this Passive; If you already have Hope Selfdestruct upon Equipping and Gain a Random Astral Gear.</t>
  </si>
  <si>
    <t>Abyssal Bracers: Arms Set Piece; +6 Defense; +6 Dexterity; +6 Strength; +20% Dark Resistance; Passive: Gain the Brawn Condition.</t>
  </si>
  <si>
    <t>49. Sleeves: (17)</t>
  </si>
  <si>
    <t>Ragged Sleeves: Arms Piece; +2 Dispersion; +1 Power.</t>
  </si>
  <si>
    <t>Insulators: Arms Piece; +3 Dispersion; +2 Power; +20% Lightning Resistance.</t>
  </si>
  <si>
    <t>Mystic Sleeves: Arms Piece; +1 Wisdom; +20 Mana.</t>
  </si>
  <si>
    <t>Shadow Wraps: Duality Arms/Hands Piece; +1 Defense; +30% Dark Resistance; +3 Power; +3 Dexterity; Active: (+) Fear Target for 1 Turn. (1/Day)</t>
  </si>
  <si>
    <t>Inked Paper Sleeves: Arms Piece; +3 Wisdom.</t>
  </si>
  <si>
    <t>Agamanthic Silk Sleeves: Arms Piece; +4 Power; Active: (≈) Your next Non-Ultimate Spell Casts Twice. (1/Day)</t>
  </si>
  <si>
    <t>Voelitic Sleeves: Arms Piece; +5 Power; +5 Dexterity; Passive: Your Basic Attacks have a 50% Chance to have their Total Damage converted to Chaos Damage.</t>
  </si>
  <si>
    <t>Heavenfly: Arms Piece; -10 Defenses; -10 Dispersion; +20% Fortitude; +20% Deflection; Passive: Your Fortitude and Deflection Trigger once more.</t>
  </si>
  <si>
    <t>50. Armbands: (18)</t>
  </si>
  <si>
    <t>Stolen Leatherband: Arms Piece; +1 Defense; +2 Dexterity.</t>
  </si>
  <si>
    <t>Sharp Armbands: Arms Piece; +2 Defense; +4 Dexterity.</t>
  </si>
  <si>
    <t>Runners Armbands: Arms Piece; +1 Mobility; Passive: If you Flee Combat you gain +1 Mobility until End of Day.</t>
  </si>
  <si>
    <t>Octoband: Arms Piece; +8 Dexterity/Power.</t>
  </si>
  <si>
    <t>Rangers Straps: Arms Piece; +20 Health; +6 Dexterity; +30% Poison Resistance; +30% Wind Resistance; Passive: +0.5 Crit Multiplier on Impact Weapons; You may target Tiles with your Projectile Attacks; They hit as usual if Invisible Entities or Objects are on the respective Tile.</t>
  </si>
  <si>
    <t>Vampiric Straps: Arms Set Piece; Passive: Your Strikes have 30% Lifedrain.</t>
  </si>
  <si>
    <t>Chaos Binders: Arms Piece; Passive: You take 100% more total Damage; You deal 100% more Total Damage.</t>
  </si>
  <si>
    <t>51. Gauntlets: (19)</t>
  </si>
  <si>
    <t>Rusty Gauntlet: Hand Set Piece; +1 Defense; +2 Strength.</t>
  </si>
  <si>
    <t>Steel Gauntlet: Hand Set Piece; +4 Defense; +1 Strength; +10 Bleed Resistance; -10% Lightning Resistance.</t>
  </si>
  <si>
    <t>Silver Gauntlet: Hand Set Piece; +1 Defense; +10% Elemental Resistance.</t>
  </si>
  <si>
    <t>Raging Gauntlet: Hand Piece; +1 Defense; +1 Dispersion; Active: (≈) [Requires Combat] Empowers your next Non-Crit Basic Attack that lands to be a Critical hit. (1/Combat)</t>
  </si>
  <si>
    <t>Knuckle Breakers: Hand Piece; +1 Might; +1 Defense; +1 Strength; Passive: Unarmed Basic Attacks Gain +0.5 Strength Scaling.</t>
  </si>
  <si>
    <t>Karna's Gauntlets: Hand Set Piece; +4 Defense; +6 Dispersion; +10% Elemental Resistance; On Hit: 10 Fire Damage; Active: (≈) Selfdestruct; Your Equipped Weapon has +2 Scaling until end of day.</t>
  </si>
  <si>
    <t>Earth Gauntlet: Hand Piece; +5 Defense; +2 Dispersion; +3 Strength; +3 Power; +50% Earth Resistance; +20% Deflection.</t>
  </si>
  <si>
    <t>Doomscaled Knuckles: Hand Piece; +40 Health; +20% Dark Resistance; +4 of Chosen Attribute; Passive: Your Unarmed Basic Attacks Gain +20 Base Damage and 20 Dark Damage on Hit.</t>
  </si>
  <si>
    <t>Gauntlets of the Elemental Divine: Hand Set Piece; +5 Defense; +5 Dispersion; +12 Strength; +50% Fire Resistance; Active: (+) Deal 40 Fire Damage to Target. (1/Combat)</t>
  </si>
  <si>
    <t>Straus' Burden: Hand Piece; -5 Mobility; +10 Strength; +10 Defense; +60% Light Resistance; Passive: For Every 20 Points of Defense gain +1 Critical Multiplier on your Strikes. Active: Lose 1 Max Stamina and Gain 10 Defense.</t>
  </si>
  <si>
    <t>52. Handguards: (20)</t>
  </si>
  <si>
    <t>Damaged Handguards: Hand Piece; +1 Defense; +15 Health.</t>
  </si>
  <si>
    <t>Standard Issued Handguards: Hand Piece; +3 Defense; +2 Dispersion.</t>
  </si>
  <si>
    <t>Captains Hook: Hand Set Piece; Requires Amputated Hand Slot; +4 Defense; +20% Bleed Resistance; Active: (&gt;) Flash; Deal 15 Physical Damage and Hook Target 1 Tile closer to you. (2/Combat)</t>
  </si>
  <si>
    <t>Protoeruptors: Hand Piece; +3 Defense; +3 Dispersion; +30% Fire Resistance; Passive: You may Consume a Legendary or higher Ore to immediately transform this Gear into Eruptors; Active: (≈) Cast a Non-Ultimate Fire Wavelength Ability at no Cost. (1/Day)</t>
  </si>
  <si>
    <t>Handaal Crossguarded Hands: +4 Defense; +4 Dispersion; +4 Strength; Passive: 50% Chance to Parry Sharp Weapon Strikes.</t>
  </si>
  <si>
    <t>Eruptors: Hand Piece; +6 Defense; +6 Dispersion; +60% Fire Resistance; Active: (≈) Flash; Cast a Non-Ultimate Fire Wavelength Ability at no Cost. (2/Day)</t>
  </si>
  <si>
    <t>53. Gloves: (21)</t>
  </si>
  <si>
    <t>Leather Gloves: Hand Set Piece; 1 Defense; +2 Dexterity. </t>
  </si>
  <si>
    <t>Second-Hand: Hand Piece; +15 Health; +1 Dexterity.</t>
  </si>
  <si>
    <t>Silk Gloves: Hand Set Piece; +50 Health.</t>
  </si>
  <si>
    <t>Demonskin Gloves: Hand Set Piece; +15 Health; On Hit: 5 Fire Damage.</t>
  </si>
  <si>
    <t>Frost Gloves: Hand Set Piece; +2 Defense; +40% Frost Resistance; +2 Power.</t>
  </si>
  <si>
    <t>Crystal Gloves: Hand Set Piece; +50 Mana; +2 Dispersion; +3 Power; +20% Frost Resistance.</t>
  </si>
  <si>
    <t>Hoarder's Gloves: Hand Set Piece; Passive: Double the amount of Loot you recieve from Exploring Hexes (2/Day);  Passive: Selfdestruct upon Unequipping it.</t>
  </si>
  <si>
    <t>High Priests Healers: Hand Piece; +2 Defense; +2 Dispersion; +20% Light Resistance; Active: (+) Heal Target Entity for 30 Health. (1/Day)</t>
  </si>
  <si>
    <t>Botanist's Gloves: Hand Piece; +3 Dispersion; +20% Earth Resistance; Passive: Exploring a Hex Grants you an Extra Rare or lower Rarity Ingredient of your choice found on this Hex.</t>
  </si>
  <si>
    <t>Explorer's Gloves: Hand Piece; +3 Defense; +3 Dispersion; Passive: All Chests will now also contain 1 Ore or Fabric; The Rarity depends on the Roll for the Chest. (1-Nothing; 2-5-Common; 6-10-Rare; 11-15-Epic; 16-19-Legendary; 20 Mythic)</t>
  </si>
  <si>
    <t>Archmages' Enablers: Hand Piece; +1 Wisdom; +5 Power; +2 Dispersion; +50 Mana; Active: [1 Channel Stack] Your next Overcast may be used on any Ability Type and has +3 to its Roll.</t>
  </si>
  <si>
    <t>Abyssal Gloves: Hand Set Piece; +10 Dexterity; Passive: Gain Disciplined Condition; Active: (≈) Toggle; Your Basic Attacks deal an Extra 20 Dark Damage On Hit.</t>
  </si>
  <si>
    <t>Neverwinter: Hand Piece; + 10 Defense; +80% Frost Resistance; Active: (+) Counter; Negate Targets Action and become Resilient for 3 Turns. (1/Day)</t>
  </si>
  <si>
    <t>54. Wraps: (22)</t>
  </si>
  <si>
    <t>Ragged Bandages: Hand Piece; +25 Health.</t>
  </si>
  <si>
    <t>Magic Tainted Wraps: Hand Piece; +2 Power; +10 Health.</t>
  </si>
  <si>
    <t>Gland Twisters: Hand Piece; +1 Defense; +1 Dispersion; +1 Power; +1 Dexterity; +20% Bleed Resistance; +20% Wind Resistance.</t>
  </si>
  <si>
    <t>Pair of Manakillers: Hand Piece: +20 Mana; Passive: Strikes Drain 10 Mana on Hit.</t>
  </si>
  <si>
    <t>Raw Dragonskin: Hand Piece; +100 Health; +4 Power; +2 Dexterity; Active: (≈) Powerplay; Restore 100 Health.</t>
  </si>
  <si>
    <t>Idilic Pathers: Hand Piece; +2 Defense; +2 Dispersion; +2 Dexterity; +2 Strength; +10% Fortitude; +1 Might; Active: (≈) Gain a Medium Quest, instead of its Reward double this Gears Stats. (1/Day)</t>
  </si>
  <si>
    <t>Delicious Wraps: Hand Piece; +3 Defense; +3 Dispersion; +50% Bleed Resistance; Active: (≈) Selfdestruct; Restore yourself to 100% Max Health. (3 Stamina)</t>
  </si>
  <si>
    <t>Dupliamoris: Hand Piece; +2 Dispersion; +2 Power; Passive: The first 2 Non-Ultimate Projectile Abilities you Cast per Combat Trigger once more.</t>
  </si>
  <si>
    <t>Serpents of Decisions: Hand Piece; +10 Dexterity; +100 Health; +100 Mana; +10% Fortitude; +1 Wisdom; Passive: At the Start of Day, Destroy a different Random equipped Armor; All Gear become Locked; Gain 1 Dexterity, 10 Health and 10 Mana for every Armor Destroyed.</t>
  </si>
  <si>
    <t>55. Cuisses: (23)</t>
  </si>
  <si>
    <t>Tarnished Cuisses: Leg Piece; +2 Defense; +1 Strength.</t>
  </si>
  <si>
    <t>Northern Cuisses: Leg Piece; +3 Defense; +2 Strength.</t>
  </si>
  <si>
    <t>Metal Shin: Leg Piece; +5 Defense; +3 Strength; Passive: Your Legs can not be Dismembered, Instead you will take 25 Bleed Damage(Instead of the 50) upon the effect Triggering on your Leg.</t>
  </si>
  <si>
    <t>Stone Trousers of the Fool: Leg Piece; -40 Mana; -2 Dexterity; -2 Power; -2 Wisdom; -2 Mobility; +4 Strength; +4 Defense; +40 Health; +4 Might.</t>
  </si>
  <si>
    <t>Dragonscale Cuisses: Leg Set Piece; +4 Defense; +4 Dispersion; +40 Health; +20% Elemental Resistance.</t>
  </si>
  <si>
    <t>Karna's Cuisses: Leg Set Piece; +2 Defense; +4 Dispersion; +10% Elemental Resistance; +10% Deflection; Active: (≈) Selfdestruct; Gain 3 Might for every Gear you Selfdestruct this Day; Lasts until End of Day.</t>
  </si>
  <si>
    <t>Trifectas Miracle: Leg Piece; Active: (≈) Flash; Switch Stance; Protection: +30% Fortitude; Empowerment: +7 Strength, +7 Dexterity, +7 Power; Destruction: +1 To Basic Attack Roll.</t>
  </si>
  <si>
    <t>Legplates of the Sunburial: Leg Piece; +4 Defense; +4 Dispersion; +20% Wind Resistance; +20% Light Resistance; Active: (+) Engulf Target in Sundunic Sand causing them to take 10 Wind Damage, 10 Light Damage and 10 Earth Damage and to be Rooted, Staggered or Sealed at random for 2 Turns. (3 Turn Cooldown)</t>
  </si>
  <si>
    <t>56. Faulds: (24)</t>
  </si>
  <si>
    <t>Copper Faulds: Leg Set Piece; +2 Defense; +10% Lightning Resistance.</t>
  </si>
  <si>
    <t>Steel Faulds: Leg Set Piece; +4 Defense; +1 Strength; +10% Bleed Resistance; -10% Lightning Resistance.</t>
  </si>
  <si>
    <t>Silver Faulds: Leg Set Piece; +1 Defense; +10% Elemental Resistance.</t>
  </si>
  <si>
    <t>Guardians Breeches: Leg Piece; +4 Defense; +30 Health; Active: (≈) Counter; Reflex: Block 25 Damage. (1/Day)</t>
  </si>
  <si>
    <t>Crystal Protectors: Leg Set Piece; +50 Mana; +3 Dispersion; +10% Deflection.</t>
  </si>
  <si>
    <t>Mordred's Perseverance: Leg Set Piece; +1 Defense. +1 Dispersion +10 Health; Passive: At the end of a victorious combat, restore 50% of Health lost during the Combat.</t>
  </si>
  <si>
    <t>False Promises: Leg Piece; -4 Defense; -4 Dispersion; -40 Health; -40 Mana; -2 Mobility; Passive: Locks Slot upon Equipping; Active: (+) [Requires 3 Rests with this Gear Equipped] Switch your Leg Slot with Target Entity; Overrides Locked.</t>
  </si>
  <si>
    <t>Faulds of the Elemental Divine: Leg Set Piece; +7 Defense; +7 Dispersion; +2 Mobility; +50% Frost Resistance; Active: Toggle; Active: (+) Deal 40 Frost Damage to Target. (1/Combat)</t>
  </si>
  <si>
    <t>Pristine Beetlers: Leg Piece; +4 Defense; +4 Dispersion; +6 Strength; +10% Elemental Resistance; Active: (o) Flash; Blind all other Entities on Hex for 3 Turns. (1/Day)</t>
  </si>
  <si>
    <t>57. Pants: (25)</t>
  </si>
  <si>
    <t>Leather Pants: Leg Set Piece; +15 Health; +1 Dexterity.</t>
  </si>
  <si>
    <t>Loincloth: Leg Set Piece; -1 Wisdom; Passive: Reduce all Damage you are about to take by 1.</t>
  </si>
  <si>
    <t>Demonskin Pants: Leg Set Piece; +25 Health; Passive: Successfully Dodging a Melee Attack Enchances your next Basic Attack with 20 Fire Damage On Hit.</t>
  </si>
  <si>
    <t>Silk Shorts: Leg Set Piece; + 50 Health. </t>
  </si>
  <si>
    <t>Weavers Straw Pants: Leg piece; +10 Defense; Passive: At start of each Day this Gear will lose 1 defense but give you 100 Gold; Selfdestruct upon unequipping.</t>
  </si>
  <si>
    <t>Captains Pantaloons: Leg Set Piece; +25 Health; +1 Defense; +2 Dexterity; Passive: Your Main Hand Gun/Rifle/Crossbow has 50% chance to Reload after Basic Attack.</t>
  </si>
  <si>
    <t>Slippery Skirt: Leg Piece; +3 Power; +1 Dispersion; +1 Mobility; +20% Deflection.</t>
  </si>
  <si>
    <t>Fatale's Skirt: Leg Piece; +2 Dispersion; +2 Mobility; Active: (≈) [Requires your prior Action to be a Strike] Flash; Strike target for 10 Physical Damage, If this deals more than 1 Damage then the target becomes Poisoned for 10 Poison Damage per Tick Over 2 turns.</t>
  </si>
  <si>
    <t>Stalkers Legwraps: Leg Set Piece; +2 Dexterity; +2 Power; +2 Mobility; Passive: As long as you are the only Entity under your Banner you gain 2 extra Mobility.</t>
  </si>
  <si>
    <t>Corduroys of Adrenaline Rush: Leg Piece; Passive: Question Mark Outcomes are doubled on rolls between 2-19; Active: (≈) Selfdestruct; Select 3 out of the 6 Skill Tree Keystones and roll a d3 to get one of them.</t>
  </si>
  <si>
    <t>Abyssal Strides: Leg Set Piece; +4 Dexterity; +4 Mobility; +50% Dark Resistance; Passive: Gain Fearless; Active: Toggle; Convert your Mobility into Dexterity where 1 Mobility is 4 Dexterity.</t>
  </si>
  <si>
    <t>58. Leggings: (26)</t>
  </si>
  <si>
    <t>Magic Tainted Leggings; Leg Piecce; +2 Dispersion; +1 Power.</t>
  </si>
  <si>
    <t>Leatherworked Leggings: Leg Piece; +20% Poison Resistance; +2 Defense; +2 Dexterity.</t>
  </si>
  <si>
    <t>Spidersilk Stockings: Leg Piece; +10% Poison Resistance, +10% Chance to inflict Poison On Hit for 5 Poison Damage per Tick Over 2 Turn; Active: (o) Spin a Web; Slow all other Entities on Hex for 3 Turns. (1/Day)</t>
  </si>
  <si>
    <t>Lady's Leggings: Leg Piece; +2 Defense; +2 Power; +25 Health; +1 Mobility; +1 Wisdom.</t>
  </si>
  <si>
    <t>Kickback Slacks: Leg Piece; +2 Dexterity; Passive: When hit by a Melee Attack there is a 30% chance to kick the attacker for 18(+100% Dexterity) Physical Damage.</t>
  </si>
  <si>
    <t>Speedio's: Leg Piece; Passive: Gain +2 Stamina, Selfdestruct in 3 Days or when Unequipped.</t>
  </si>
  <si>
    <t>Leggings of Perfect Fitting: Leg Piece; +8 Attributes of your Choice; Passive: Choose to Gain 80 Health or Mana.</t>
  </si>
  <si>
    <t>Bladed Slains: Leg Piece; +5 Dispersion; +5 Dexterity; Passive: Your Melee Basic Attacks Trigger a Leg Strike that deals 20 Physical Damage and 20 Bleed Damage.</t>
  </si>
  <si>
    <t>59. Sabatons: (27)</t>
  </si>
  <si>
    <t>Rusted Sabatons: Feet Piece; +2 Defense; +10% Fire Resistance; +10% Earth Resistance; -10% Lightning Resistance.</t>
  </si>
  <si>
    <t>Steel Treads: Feet Set Piece; +4 Defense; +1 Strength; +10% Bleed Resistance; -10% Lightning Resistance.</t>
  </si>
  <si>
    <t>Silver Treads: Feet Set Piece; +1 Defense; +10% Elemental Resistance.</t>
  </si>
  <si>
    <t>Armored Tabis: Feet Piece; +4 Defense; +10% Fire Resistance; +10% Frost Resistance.</t>
  </si>
  <si>
    <t>Damascan Sabatons: Feet Piece; +5 Defense; +5 Strength; Passive: Player no longer takes Damage while Traversing or Resting on Permafrost or Scorch Hexes.</t>
  </si>
  <si>
    <t>Midnight Treads: Feet Piece; +4 Defense; 2 Dispersion; +20% Fire Resistance; +20% Frost Resistance; +20% Poison Resistance; Passive: Costs 1 less stamina to cross Desert Hexes.</t>
  </si>
  <si>
    <t>Mordred's Will: Feet Set Piece; + 7 Defense; +7 Dispersion; Passive: Walking onto a Hex with an Entity on it will no longer cost stamina, but you will be forced to kill that Entity or Die.</t>
  </si>
  <si>
    <t>Primo Victoria: Feet Piece; +1 Might; +3 Defense; +30% Fire Resistance; +30% Earth Resistance; +1 Stamina; Passive: All Traversable Hexes will Cost no more than 1 Stamina and will not have a Negative Effect.</t>
  </si>
  <si>
    <t>Naga Scaled Flippers: +3 Defense; +3 Dispersion; +1 Mobility; +20% Deflection; +30% Frost Resistance; Passive: You may Traverse Water Hexes; Immune to Hydro Damage.</t>
  </si>
  <si>
    <t>Dragonscale Treads: Feet Set Piece; +4 Defense; +4 Dispersion; +4 Strength; +4 Power; +1 Stamina.</t>
  </si>
  <si>
    <t>Lolly’s Sneaky Sabatons: Feet Piece; +5 Dispersion; +5 Dexterity; Passive: You gain 1 Extra Action on your first turn in Combat.</t>
  </si>
  <si>
    <t>Sabatons of the Elemental Divine: Feet Set Piece; +4 Defense; +4 Dispersion; +2 Stamina; +50% Earth Resistance;  Active: (+) Deal 40 Earth Damage to Target. (1/Combat)</t>
  </si>
  <si>
    <t>60. Greaves: (28)</t>
  </si>
  <si>
    <t>Damaged Greaves: Feet Piece; +2 Defense; +1 Strength.</t>
  </si>
  <si>
    <t>Footsoldiers Greaves: Feet Piece; +3 Defense; +2 Dispersion.</t>
  </si>
  <si>
    <t>Heavy Greaves: Feet Piece; +5 Defense; +5 Dispersion; +5 Strength; -2 Mobility.</t>
  </si>
  <si>
    <t>State of the Art Verluxian Greaves: Feet Piece; +5 Defense; +5 Dispersion; +1 Stamina; +1 Mobility; +10% Elemental Resistance.</t>
  </si>
  <si>
    <t>Standfast Greaves: Feet Piece; -2 Mobility; +6 Defense; Passive: [Requires Combat] If you haven't moved for 3 turns in row double your Defense, Movement Actions cancel the Effect; Does not Stack.</t>
  </si>
  <si>
    <t>Mana-Tech Platformers: +2 Mobility, +2 Power, +4 Defense, +1 Dispersion; Active: Jump over one Hex avoiding it completely to land on the next one in the same cardinal direction. (1 Stamina; 1/Day)</t>
  </si>
  <si>
    <t>Shin Kickers: Leg Piece; +5 Strength; Active: (≈) Kick Target in his Shins Dealing 20(+200% Strength) Physical Damage; If the Damage dealt with this Ability is 80 or higher Dismember Targets Leg; If Target already has his Leg Amputated Kill him instead. (1/Day)</t>
  </si>
  <si>
    <t>Planic Walkers: Feet Piece; +40 Health; +8 Defense; +8 Strength; +1 Stamina; Passive: Every Hex you Traverse counts as and Transforms into a Plains Hex.</t>
  </si>
  <si>
    <t>61. Boots: (29)</t>
  </si>
  <si>
    <t>Leather Boots: Feet Set Piece; +1 Defense; +30% Earth Resistance.</t>
  </si>
  <si>
    <t>Demonskin Boots: Feet Set Piece; +40 Health; +20% Fire Resistance. </t>
  </si>
  <si>
    <t>Flash Footwear: Feet Piece; +2 Defense; +30% Lightning Resistance; +2 Dexterity.</t>
  </si>
  <si>
    <t>Lavawear: Feet Piece; +1 Defense; +40% Fire Resistance; Passive: Can Traverse Lava Hexes.</t>
  </si>
  <si>
    <t>Captains Pegleg: Feet Set Piece; [Requires an Amputated Leg Slot]; +1 Stamina; +5 Defense; -1 Mobilty; Active: (&gt;) Fire a pellet out of your Amputated Leg dealing 40 Blast damage. (1/Combat)</t>
  </si>
  <si>
    <t>Crystal Boots: Feet Set Piece: +50 Mana; +4 Dispersion; +20% Frost Resistance; Passive: While on Crystal Hexes you have Regeneration Condition.</t>
  </si>
  <si>
    <t>Hoarder's Boots: Feet Set Piece; Passive: Selfdestruct upon Unequipping it; Active: (≈) Restore 1 Stamina for every 1000 Gold you own. (1/Day)</t>
  </si>
  <si>
    <t>Glacialwear: Feet Piece; +2 Defense; +20% Frost Resistance; +1 Stamina; Passive: Can Traverse Water Hexes.</t>
  </si>
  <si>
    <t>Stalkers Trackers: Feet Set Piece; +4 Dexterity; +2 Power; +1 Stamina; Passive: Gain the Stealth Condition.</t>
  </si>
  <si>
    <t>The Fleezees: Feet Set Piece; +2 Defense; +20% Fire Resistance; +20% Frost Resistance; +20% Poison Resistance; +1 Stamina; Passive: Can Flee at no Stamina Cost.</t>
  </si>
  <si>
    <t>Karna's Boots: Feet Set Piece; +2 Defense; +4 Dispersion +10% Elemental Resistance; +6 Strength; +1 Stamina; Active: (≈) Selfdestruct; All your Attacks have Blitz and Precise until End of Day.</t>
  </si>
  <si>
    <t>Olympian Winged Boots: Feet Piece; +4 Defense; +4 Dexterity; +40% Wind Resistance; Passive: 20% Chance that Traversing Hexes will not Cost Stamina.</t>
  </si>
  <si>
    <t>Abyssal Kicks: Feet Set Piece; +8 Dexterity; +2 Stamina; +20% Dark Resistance; Passive: Become Agile.</t>
  </si>
  <si>
    <t>62. Sandals: (30)</t>
  </si>
  <si>
    <t>Basic Sandals: Feet Piece; +1 Mobility</t>
  </si>
  <si>
    <t>Bambus Sandals: Feet Piece; +1 Defense; +2 Dispersion; +2 Power.</t>
  </si>
  <si>
    <t>Tallers: Feet Piece; -1 Mobility; Passive: +1 to Basic Attack Rolls.</t>
  </si>
  <si>
    <t>White Obisidian Risers: Feet Piece; +4 Defense; +4 Power; +1 Wisdom; +20% Light Resistance.</t>
  </si>
  <si>
    <t>Firey Sandals: Feet Piece; +3 Defense; +60% Fire Resistance; +1 Stamina; Passive: Immune to Frostbite; Active: (≈) Cover yourself in Fire for 3 Turns Burning Entities in Melee for 30 Fire Damage at the Start of your Turn. (1/Day)</t>
  </si>
  <si>
    <t>Spectators Sandals: Feet Piece; Passive: You cannot interact with any Landmark or Entity and you may not unequip this Gear normally; Active: (≈) Unequip this Gear. (3 Stamina)</t>
  </si>
  <si>
    <t>Archaicandreans: Feet Piece; +10 Strength or Power; +100 Health or Mana; Active: (≈) Renounce your Faction and Banner and instead of choosing you gain both Stats from this Gear.</t>
  </si>
  <si>
    <t>Jewlery Section</t>
  </si>
  <si>
    <t>63. Rings: (1)</t>
  </si>
  <si>
    <t>Common: </t>
  </si>
  <si>
    <t>Ring of Fire: Ring Piece; +40% Fire Resistance.</t>
  </si>
  <si>
    <t>Ring of Frost: Ring Set Piece; +40% Frost Resistance. </t>
  </si>
  <si>
    <t>Ring of Dark: Ring Piece; +40% Dark Resistance.</t>
  </si>
  <si>
    <t>Ring of Light: Ring Piece; +40% Light Resistance.</t>
  </si>
  <si>
    <t>Ring of Wind: Ring Piece; +40% Wind Resistance.</t>
  </si>
  <si>
    <t>Ring of Earth: Ring Piece; +40% Earth Resistance.</t>
  </si>
  <si>
    <t>Ring of Bleed: Ring Piece; +40% Bleed Resistance.</t>
  </si>
  <si>
    <t>Ring of Poison: Ring Piece; +40% Poison Resistance.</t>
  </si>
  <si>
    <t>Ring of Lightning: Ring Piece; +40% Lightning Resistance.</t>
  </si>
  <si>
    <t>Ring of Dexterity: Ring Piece; +6 Dexterity.</t>
  </si>
  <si>
    <t>Ring of Power: Ring Piece; +6 Power.</t>
  </si>
  <si>
    <t>Ring of Strength: Ring Piece; +6 Strength.</t>
  </si>
  <si>
    <t>Blue Tear Ring: Ring Piece; Gain Resilient when below 25% Max Health.</t>
  </si>
  <si>
    <t>Red Tear Ring: Ring Piece; Gain Surged when below 25% Max Health.</t>
  </si>
  <si>
    <t>Dragonscale Ring: Ring Piece; Active: (≈) Gain 8 Defense until End of Combat. (1/Combat)</t>
  </si>
  <si>
    <t>Mountain Ring: Ring Piece; +50 Health.</t>
  </si>
  <si>
    <t>Ring of Pure Balance: Ring Piece; +1 Attribute of your Choice; Active: (≈) Average out your Max Health and Max Mana which becomes your new Max Health and Max Mana. (E.g. 100 Hp and 50 Mana -&gt; 75 HP and 75 mana)</t>
  </si>
  <si>
    <t>Ring of Solomon's Mines: Ring Piece; Active: (≈) Roll d2, if 1 Gain 500 Gold, if 2 Lose 25 Health. (1/Day)</t>
  </si>
  <si>
    <t>Cowards Ring: Ring Set Piece; +3 Mobility.</t>
  </si>
  <si>
    <t>Hornet Ring: Ring Piece; +1 Critical Multiplier.</t>
  </si>
  <si>
    <t>Skyfall Ring: Ring Piece; +5 Earth Damage on Hit; Active: Powerplay; (&gt;) Calls down a meteorite to strike at a target for 50 Earth Damage.</t>
  </si>
  <si>
    <t>Search of Death: Ring Piece; +25 Health +25 Mana; Active: (≈) Point the Direction of the closest Boss. </t>
  </si>
  <si>
    <t>Ring of Endurance: Ring Piece; +1 Stamina; +1 Mobility; +40% Poison Resistance.</t>
  </si>
  <si>
    <t>Qaroth's Agony: Ring Piece; Passive: Upon taking Lethal damage the Ring will Selfdestruct and nullify all incoming attacks and cleanse all statuses.</t>
  </si>
  <si>
    <t>Bannerman Ring: Ring Piece; +2 Banner Slot; Active: (≈) Selfdestruct; Summons a Hero to fight in your stead or for you to Fight; Hero has to accept or you gain 800 Experience.</t>
  </si>
  <si>
    <t>Sacrificial Ring: Ring Piece; Passive: Selfdestruct; Revive at a random spot with 25% Health upon Death; YOU LOSE UNEQUIPED ITEMS.</t>
  </si>
  <si>
    <t>Darkblades Ring: Ring Piece; Active: (+) Absorb life essence from the enemy, Draining 40 Health and dealing 20 Dark Damage to Target. (1/Day)</t>
  </si>
  <si>
    <t>Ring of Total Destruction: Ring Piece; Active: (+) Roll a D100 and deal True damage equal to the roll to the enemy as True Damage; If Damage proves Lethal Destroy the Entity. (1/Day)</t>
  </si>
  <si>
    <t>Ring of Soul Leech: Ring Piece; Recover 30 Health from every Enemy Killed or Destroyed.</t>
  </si>
  <si>
    <t>Ring of the Flaming Embers: Ring Piece; Passive: Your Attacks inflict 25 Fire Damage On Hit.</t>
  </si>
  <si>
    <t>Ring of Revelation: Ring Piece; Active: (≈) You can ask the Gods any Yes or No Question. (1/Day)</t>
  </si>
  <si>
    <t>Ring of True Insight: Ring Piece; +4 Wisdom.</t>
  </si>
  <si>
    <t>Ring of Absolute Force: Ring Piece; +4 Might.</t>
  </si>
  <si>
    <t>The Magnet: Ring Piece; Teleport any Gear within your Hex that you can See into your Respective Empty Slot or Inventory. (1/Day)</t>
  </si>
  <si>
    <t>Layered Cataclysm: Ring Piece; +5 Power; +5 Dexterity; +5 Strength; Passive: [Requires Combat] Each Attack you make increases the Total Damage of your next Attack by 10%.</t>
  </si>
  <si>
    <t>Happiness: Ring Piece; [Requires Combat] Active: (≈) Instant; Reroll Target D20 Dice you threw; This Ability refreshes at the Start of your Turn.</t>
  </si>
  <si>
    <t>Flowing Despair: Ring Piece: Passive: The cost of your First Ability per Day will be evenly shared between all other Entities on a Hex.</t>
  </si>
  <si>
    <t>Aureolin Moris: Ring Piece; Active: (≈) Consume 100 Gold and Grant this Gear at Random 2 Random Attributes / 25 Health / 25 Mana / 0.5 Stamina / 20% Elemental Resistance in 1 Random Element / 10% Fortitude / 10% Deflection / 1 Mobility / 1 Might / 1 Wisdom. (4/Day)</t>
  </si>
  <si>
    <t>The 8 Ones: Ring Piece; Active: (≈) Selfdestruct; Summon all Heroes to your Hex at the start of the next Day; They will know who is the one who used this Ring; This effect is announced in Across the Planes.</t>
  </si>
  <si>
    <t>64. Necklaces: (2)</t>
  </si>
  <si>
    <t>Lucky Charm: Necklace Piece; Active: (≈) Selfdestruct; Instant; Reroll Target Nat 1 Roll from a D20.</t>
  </si>
  <si>
    <t>The Amethyst(Stone Amulet): Necklace Piece; +2 Dispersion; +40% Dark Resistance. If you Control all 5 Stone(Diamond; Amethyst. Topaz. Ruby And Sapphire) Amulets. Combine them into the Elemental Fury.</t>
  </si>
  <si>
    <t>The Topaz(Stone Amulet): Necklace Piece; +2 Dispersion; +40% Wind Resistance. If you Control all 5 Stone(Diamond; Amethyst. Topaz. Ruby And Sapphire) Amulets. Combine them into the Elemental Fury.</t>
  </si>
  <si>
    <t>The Ruby(Stone Amulet): Necklace Piece; +2 Dispersion; +40% Fire Resistance. If you Control all 5 Stone (Diamond; Amethyst. Topaz. Ruby And Sapphire) Amulets. Combine them into the Elemental Fury.</t>
  </si>
  <si>
    <t>The Sapphire(Stone Amulet): Necklace Piece; +2 Dispersion; +40% Frost Resistance. If you Control all 5 Stone(Diamond; Amethyst. Topaz. Ruby And Sapphire) Amulets. Combine them into the Elemental Fury.</t>
  </si>
  <si>
    <t>The Diamond(Stone Amulet): Necklace Piece; +2 Dispersion; +40% Light Resistance. If you Control all 5 Stone(Diamond; Amethyst. Topaz. Ruby And Sapphire) Amulets. Combine them into the Elemental Fury.</t>
  </si>
  <si>
    <t>Jewel of the Sands: Necklace Piece; +2 Dexterity; +2 Power; +20% Wind Resistance; Passive: Desserts no longer slow your movement down. (Traversing them takes 1 stamina)</t>
  </si>
  <si>
    <t>Silver Amulet: Necklace Set Piece; +1 Dispersion; 10% Elemental Resistance.</t>
  </si>
  <si>
    <t>Necklace of Wisdom: Necklace Piece; +2 Wisdom.</t>
  </si>
  <si>
    <t>Necklace of Might: Necklace Piece; +2 Might.</t>
  </si>
  <si>
    <t>Necklace of Mobility: Necklace Piece; +2 Mobility.</t>
  </si>
  <si>
    <t>Spell-Eater: Necklace Piece; Active: (+) Selfdestruct; Counter; Eat Target Spell Targeting you.</t>
  </si>
  <si>
    <t>Locket of the Dryad: Necklace Piece; +50 Mana; Passive: Gain +5 on your Roll when Entering Forests.</t>
  </si>
  <si>
    <t>Necklace of the Rebelious One: Necklace Piece; +3 Strength; Passive: You will always be first to take Action in Combat. (Overrides Heavy)</t>
  </si>
  <si>
    <t>Necklace of the Devout Believer: Necklace Piece; +1 Faith; Active: (≈) Selfdestruct; Place the Necklace onto the ground; The Necklace breaks but the current Hex will Function like a Shrine until End of Day.</t>
  </si>
  <si>
    <t>Ravens Eye: Necklace Piece; +1 Hex Vision.</t>
  </si>
  <si>
    <t>Bonetooth Necklace: Necklace Piece; Active: (≈) [1 Use] Tells how many Hexes away and The Direction of the closest Hero; Passive: Upon Killing an Entity the Active gains 1 Use.</t>
  </si>
  <si>
    <t>The Black Pendant: Necklace Piece; Necklace Piece; +7 Strength; Active: (≈) Reflex; For the Next 5 Turns become Immune to all Statuses. (1/Day)</t>
  </si>
  <si>
    <t>Lava Charm: Necklace Piece; +80 Health; +40% Fire Resistance; +4 Strength; +4 Power; Passive; You may Traverse Lava Hexes without suffering their Negative Effect.</t>
  </si>
  <si>
    <t>Necklace of the Carrying Desert Sands: Necklace Piece; +20% Earth Resistance;+20% Wind Resistance; +20% Light Resistance; Passive: Traversing Deserts Costs 0 Stamina; Active: (o) Powerplay; Turn Adjacent Hexes into Desert Hexes Until End of Day.</t>
  </si>
  <si>
    <t>Gods Pathway: -100 Health; -100 Mana; -5 Strength; -5 Dexterity; -5 Power; -3 Mobility; -3 Might; -3 Wisdom; Passive: Killing Heroic Entities Grants you 1 Attunemnt Point, Once you've Gained 8 Attunement Points from this Gear it will no longer Grant Stats.</t>
  </si>
  <si>
    <t>Necklace of Demeters Flowers: Necklace Piece; Active; (≈) Counter; Block 50% of Target Basic Attack or Non-Ultimate Projectiles Damage. (7 Uses)</t>
  </si>
  <si>
    <t>Potioner's Necklace: Necklace; Passive: Potions have a 20% Chance to not get consumed when used on yourself; Active: Combine Target Ingredient with a Random Ingredient of Epic or lower Rarity to craft a potion.</t>
  </si>
  <si>
    <t>The Crimson Amulet: Necklace Set Piece; Passive: You may drain X of your own Current Health and store it in the Amulet at any time as an Action; Active: (≈) Gain Stored Health.</t>
  </si>
  <si>
    <t>Resonating Archstone: Necklace Piece; Active: (≈) Refresh 4 Resonance. (1/Day)</t>
  </si>
  <si>
    <t>Necklace of the Uncursed: Necklace Piece; +5 Dispersion; +40% Dark Resistance; Active: (≈) Remove a Curse from Target Entity; Passive: For every Unique Curse removed Gain an Attunement Point.</t>
  </si>
  <si>
    <t>Unbound Loyalty: Necklace Piece; Active: (+) If you are in Combat with more than 1 Hostile entity choose Target Non-Heroic; Target is now under your Banner. it dies at the end of the combat unless you Die first in which case it is returned to its original Banner. (1/Day)</t>
  </si>
  <si>
    <t>Drink Up: Necklace Piece; Active (≈): Transform Target Gear into a Potion of equal Rarity of your choice. (1/Day)</t>
  </si>
  <si>
    <t>Tales of Void: Necklace Piece; +25 Health per Void Hex on Map; Passive: Powerplay; If there are 10 Void Hexes on the Map summon a Sharakonid under your control on current Hex; Active: (≈) Transform Target Adjacent Hex which holds no Entity on it into a Void Hex. (1/Day)</t>
  </si>
  <si>
    <t>Time Dial: Necklace Piece; Active: (≈)  Flash; Refresh all of your Non-Ultimate Daily or Turn based Cooldowns. (1/Vendal)</t>
  </si>
  <si>
    <t>Artifact Section</t>
  </si>
  <si>
    <t>65. Artifacts:</t>
  </si>
  <si>
    <t>Uncraftable</t>
  </si>
  <si>
    <t>Stasis Clock: Artifact; It is a Clock; Active: (≈) Counter; You stop yourself in Time becoming Untargetable and Invincible for 1 Turn. (1/Day)</t>
  </si>
  <si>
    <t>Jack's Compass: Artifact; It is a Compass; Will point the cardinal direction of any Landmark or Entity you wish. (1/Day)</t>
  </si>
  <si>
    <t>Sabien's Bag: Artifact; It is a magical bag; Store unlimited amount of Items and Gear inside; It takes 1 Combat Turn to take out Items from it into your Inventory.</t>
  </si>
  <si>
    <t>Hourglass: Artifact; Hold 2 charges and need to be turned around consuming 1 turn after its charges are consumed.</t>
  </si>
  <si>
    <t>Skira: [WARNING: TORMENT MODE] Can be obtained by typing Skira in the first turn of the 8 Ones. Locks Artifact Slot and Evaporates constantly all your Gold.</t>
  </si>
  <si>
    <t>Crystal Book: Duality Artifact/Off-Hand It is a Book; Active: (≈) Store Up to 3 Spells you have inside this book by paying their respective Cost; You can use the Book to Cast the Spell Consuming it in the process.</t>
  </si>
  <si>
    <t>Prismatic Pyramid: Artifact; It is a Tiny Pyramid-shaped Jewel; +50 Mana; +50% Earth Resistance; Active: (+) Encase Target Entity with Less than 50% Health in a Stasis Stunning them for 2 Turns. (1/Day)</t>
  </si>
  <si>
    <t>Philosopher's Stone: Artifact; it is a Round Stone filled with a strange substence; Passive: It becomes Permanently Equipped; Active: (≈) Upgrade Target Gear/Item Rarity up to Mythic. (1 Stamina; 1/Day)</t>
  </si>
  <si>
    <t>Idiots Fate: Artifact; It is a Book; You gain +2 on Every single Dice Roll you throw. </t>
  </si>
  <si>
    <t>Loaded Dice: Artifact; It is a pair of Dice; You can subtract or add 1 on any of your Dice Rolls.</t>
  </si>
  <si>
    <t>Death Chain: Artifact; It is a chain that wraps itself around your Heart; Gain 500 Max Health; Locks Artifact Slot; You get Destroyed in 8 Days; If any effect prevents this it triggers again.</t>
  </si>
  <si>
    <t>Old Tree's Leaf: Artifact; It is a Leaf; You Regenerate 40 Health more on Rest.</t>
  </si>
  <si>
    <t>Groko Statue: Artifact; It is a Statue; Passive: Entities can no longer cast Spells on current Hex.</t>
  </si>
  <si>
    <t>Light Helix: Duality Artifact/Necklace; +50% Light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</si>
  <si>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Duality Artifact/Necklace; +50% Dark Resistance; +100 Mana; Active: (+) Open a Portal to a Previously Traversed Hex; Traversing it takes 1 Stamina. (50 Mana/Health); Active: (+) Counter; Open a Portal redirecting Target Non-Ultimate Projectile to a different Target. (50 Mana/Health)</t>
  </si>
  <si>
    <t>Fire Helix: Duality Artifact/Necklace; +50% Fire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</si>
  <si>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Duality Artifact/Necklace; +50% Frost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</si>
  <si>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Duality Artifact/Necklace; +50% Wind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</si>
  <si>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Duality Artifact/Necklace; +50% Earth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</si>
  <si>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Duality Artifact/Necklace; +50% Lightning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</si>
  <si>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Duality Artifact/Necklace; +50% Bleed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</si>
  <si>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Duality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</si>
  <si>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Artifact; It is a Spherical Glowing Item; Passive: [Requires Combat] Every time you suffer Damage, you Teleport 1 Tile away from Target that Inflicted Damage to you if possible.</t>
  </si>
  <si>
    <t>Pandoras Box: Artifact; It is a Box; Passive: At the Start of the Day gain 1 Random Gear or Item. (Any Random Rarity)</t>
  </si>
  <si>
    <t>The Second Die: Artifact; It is a twenty sided die; Passive: (≈) Whenever you roll D20 outside of Combat you roll once more and choose which outcome to keep; Active: (≈) [Requires Combat] Flash; Your next D20 Dice Roll is rolled Twice and you choose which outcome to keep. (1/Combat)</t>
  </si>
  <si>
    <t>Mana-Tech Catalyst: Active: (≈) Reset the Cooldown of target Non-Ultimate Ability or Gear. (1/Day)</t>
  </si>
  <si>
    <t>Nature's Heart: Artifact; It is a Wooden Heart; Passive: The First Wavelength Non-Ultimate Ability Cast each Day costs 0 Resonance; Toggle Abilities are not affected.</t>
  </si>
  <si>
    <t>Joker's Blank: Artifact; It is a card; Active: (≈) Cast Target Ability 1 Rank Higher at no cost but with Powerplay. (1/Day)</t>
  </si>
  <si>
    <t>Locket of Tiredness: It is a Lock; +200 Health; -2 Mobility; -1 Stamina; Active: [Requires "The Key of Melancholy" Artifact] Consume The Lock of Tiredness and The Key of Melancholy to Gain 800 Max Mana, 800 Max Health -4 Mobility and -1 Stamina.</t>
  </si>
  <si>
    <t>Key of Melancholy: It is a Key; +200 Mana; -2 Mobility; -1 Stamina; Active: [Requires "Locket of Tiredness" Artifact] Consume The Lock of Tiredness and The Key of Melancholy to Gain 800 Max Mana, 800 Max Health -4 Mobility and -1 Stamina.</t>
  </si>
  <si>
    <t>Forbidden Reliquary: Artifact; It is a Cylinder; Active: Powerplay; Lock your Artifact Slot and Double a Natural Non-Scaling Number on Target Non-Ultimate Ability you have(This Includes, Damage, Resource Cost, Summon Cap, Summon Amount, Any Stat); Ranking up the Ability Cancels this Effect.</t>
  </si>
  <si>
    <t>Flag of Rite: Artifact; It is a Flag; +2 Might; +80 Health; +2 Power; Active: Grant your Banner +2 Might until End of Combat. (1/Day)</t>
  </si>
  <si>
    <t>Userpers Wish: Artifact; It is an Aetheric Rose; -5 Wisdom; +10 Dispersion; +100 Mana; Passive: All your Attempts gain +2 to their Rolls.</t>
  </si>
  <si>
    <t>Westward Chalice: Artifact; It is a Chalice; +100 Health; +100 Mana; +2 Might; +2 Wisdom; Passive: Lock Artifact Slot; You may only move North-West, South-West or West; Active: Summon a "Random" Landmark on Western Hex. (1/Day)</t>
  </si>
  <si>
    <t>Scale of Selfishness: Artifact; It is a Scale; Active: (+) [Requires Combat] Target Non-Heroic Entity is no longer under anyones Banner and becomes Hostile towards all other Entities on Hex until End of Combat. (1/Day)</t>
  </si>
  <si>
    <t>Legion: Artifact; +100 Health; +4 Defense; It is a Large Gear With 3 Sword Slots; Herald(Legion is Turning!); Upon receiving this Item 3 Legendary Swords Fall onto the Planes and you will Know their Locations; Acquiring All 3 and Placing them Inside Legion(Consuming them in the process) Gear will Trigger a Mechanism, Combining them all into Pyrus.</t>
  </si>
  <si>
    <t>The Crucifier: Artifact; It is a Large Cross Shape Stone; The Demon Kyhra Rests inside it; -20 Mobility; -1 Stamina; Active: (≈) Counter; Place the Stone between you and Target to Block Any Projectile; Active: (≈) Drain 50 Mana or 25 Health from the Stone. (1/Day)</t>
  </si>
  <si>
    <t>Unawaken Sun: Active: (≈) Herald(The Black Sun is Awakening!); You start a state of Channeling that can only be interrupted by Movement Actions; You are Revealed on the Map for all other Entities; Non-Hero Hostile Entities Move towards you; At the start of the 4th day if you are still Channeling turn this gear into Black Sun.</t>
  </si>
  <si>
    <t>The Chamber of Balance: It is a Sphere containing the unknown; Passive: Gain a Tier I/II/III Ability Slot; Active: (≈) Learn an Unlearnt Tier I Ability; If this ability was Cast before Learn an Unlearnt Tier II Ability; if this ability was Cast twice before Learn an Unlearnt Tier III Ability. (1/Day)</t>
  </si>
  <si>
    <t>Handle of Wonders: [Requires Empty Main and Off-Hand] Artifact; Passive: Powerplay; Upon Equipping Also Equip a Random Acterosa in your Main/Off-Hand; Active: Reroll your Acterosa. (50 Health)</t>
  </si>
  <si>
    <t>Black Sun: Passive: All other Entities on the Planes take 10 Dark Damage Per Action taken.</t>
  </si>
  <si>
    <t>Void Bell: Summon a Sharakonid on the Plains, if it is already on the Planes, Teleport the Sharakonid on your Hex. (1/Day) (WARNING: It is not under your Control) [Sharakonids can be Found in Legends Tab]</t>
  </si>
  <si>
    <t>Magna Peltrum Coacuta: It is an exceedingly Large Blade; [Requires 20 Strength to Wield]; Artifact; Locks Main Hand and Off Hand; 2 Handed Melee Sword; 200 Physical Damage; On Hit: 40% Chance to Dismember.</t>
  </si>
  <si>
    <t>Alevandar's Armor: Duality: Artifact/Body; It is a complete Plate Armor Set; [Requires no other Armor Equipped] Body Piece; 600 Health; 200 Mana; 20 Strength; 20 Dexterity; 20 Power; Passive: At the Start of Combat gain a 400 health Barrier that lasts until End of Combat. (1/Combat)</t>
  </si>
  <si>
    <t>Alevandar's Spear: Duality: Artifact/Main Hand; Two-handed Spear; 50 Holy Damage; Active: (o) Powerplay; Cause Hundreds of Light Sparrows to fall on Target Hex. dealing a total of 1000 Light Damage to all Entities and destroying the Hex.</t>
  </si>
  <si>
    <t>Pyrus: Duality; Artifact/Main Hand; Locks Both Artifact and Main Hand Slot; 2 Handed Melee Sword; 20 Arcane Damage; 80 Pyro Damage on Hit; Passive: At the Start of your Turn in Combat Everything takes 20 Scorch Damage.</t>
  </si>
  <si>
    <t>Creatorum: Artifact; It is a strange power that corrupts your Eyes; Active: (+) Counter; Lock target Projectile in Air for 3 Turns; Moving out of its way causes it to miss. (1 Stamina); Active: (+) Flash; Change Entities Stat by adding or Subtracting 10. (1 For Attribute/Mobility/Stamina/Faith) (1/Day)</t>
  </si>
  <si>
    <t>Imaginarum: Artifact; It is a strange power that corrupts your Eyes; Active: (+) Teleport yourself and Target into your own pocket dimension for 3 Turns, Whilst in this Dimension your Stats are Infinite, you are Indestructable and Unstoppable, This Action resets Combat State. (1/Day)</t>
  </si>
  <si>
    <t>Ultimate: </t>
  </si>
  <si>
    <t>Type</t>
  </si>
  <si>
    <t>Effect</t>
  </si>
  <si>
    <t>Cost</t>
  </si>
  <si>
    <t>Crafting</t>
  </si>
  <si>
    <t>THROWABLES</t>
  </si>
  <si>
    <t>1) Throwables</t>
  </si>
  <si>
    <t>Dagger</t>
  </si>
  <si>
    <t>Scale with Dexterity; Miss Range: 1-3; Metal Type</t>
  </si>
  <si>
    <t>50 Gold</t>
  </si>
  <si>
    <t>Rare:</t>
  </si>
  <si>
    <t>Poisoned Shivs: Throwable Dagger; Deals 3 Physical Damage; Inflict 3 Poison Damage over 5 turns.</t>
  </si>
  <si>
    <t>Needles: Throwable Dagger; Deals 4 Physical damage; Scaling is Doubled.</t>
  </si>
  <si>
    <t>Epic:</t>
  </si>
  <si>
    <t>Trackers: Throwable Dagger; Deals 10 Physical Damage; Targets hit by it will always be revealed on the map for you.</t>
  </si>
  <si>
    <t>100 Gold</t>
  </si>
  <si>
    <t>Legendary:</t>
  </si>
  <si>
    <t>Serrated Dirk: Throwable Dagger; Deals 20 Physical Damage; Ignores Defense; Recovarable.</t>
  </si>
  <si>
    <t>400 Gold</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</si>
  <si>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</si>
  <si>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</si>
  <si>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</si>
  <si>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</si>
  <si>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</si>
  <si>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</si>
  <si>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</si>
  <si>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</si>
  <si>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</si>
  <si>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</si>
  <si>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</si>
  <si>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</si>
  <si>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</si>
  <si>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</si>
  <si>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Piercer: Throwable Javelin;10 Physical Damage; Ignores 50% of Targets Defense.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</si>
  <si>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</si>
  <si>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</si>
  <si>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</si>
  <si>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</si>
  <si>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Explosive</t>
  </si>
  <si>
    <t>Do not Scale; Can't Crit; Miss Range: 1-2; Can't be crafted.</t>
  </si>
  <si>
    <t>Bombs: Throwable Explosive; Deals 20 Blast Damage.</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</si>
  <si>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</si>
  <si>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</si>
  <si>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</si>
  <si>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</si>
  <si>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</si>
  <si>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</si>
  <si>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</si>
  <si>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</si>
  <si>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</si>
  <si>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</si>
  <si>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</si>
  <si>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200 Gold</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</si>
  <si>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</si>
  <si>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</si>
  <si>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</si>
  <si>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</si>
  <si>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</si>
  <si>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</si>
  <si>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</si>
  <si>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</si>
  <si>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</si>
  <si>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</si>
  <si>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</si>
  <si>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</si>
  <si>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</si>
  <si>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</si>
  <si>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</si>
  <si>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</si>
  <si>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</si>
  <si>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</si>
  <si>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</si>
  <si>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</si>
  <si>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</si>
  <si>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</si>
  <si>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</si>
  <si>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</si>
  <si>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</si>
  <si>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</si>
  <si>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</si>
  <si>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</si>
  <si>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</si>
  <si>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</si>
  <si>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</si>
  <si>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</si>
  <si>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</si>
  <si>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</si>
  <si>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</si>
  <si>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</si>
  <si>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</si>
  <si>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</si>
  <si>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</si>
  <si>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Lucio + Rogna</t>
  </si>
  <si>
    <t>Adam: Statuses last 1 Turn less on you.</t>
  </si>
  <si>
    <t>Barok + Zone</t>
  </si>
  <si>
    <t>Barok: Increase Max Health by 100.</t>
  </si>
  <si>
    <t>Mugno + Adam</t>
  </si>
  <si>
    <t>Zone + Rogna</t>
  </si>
  <si>
    <t>Lucio: Gain an Ultimate Ability Point.</t>
  </si>
  <si>
    <t>Adam + Paramount</t>
  </si>
  <si>
    <t>Rogna: Increase Maximum Mana by 100.</t>
  </si>
  <si>
    <t>Barok + Mugno</t>
  </si>
  <si>
    <t>Zone: Your Basic Attacks Gain Precise.</t>
  </si>
  <si>
    <t>Paramount: Increase Hex Vision by 1.</t>
  </si>
  <si>
    <t>Cossar + Lucio</t>
  </si>
  <si>
    <t>4) Scrolls</t>
  </si>
  <si>
    <t>Scroll of Doubting: Target Entity Loses 1 Faith.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</si>
  <si>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</si>
  <si>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</si>
  <si>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</si>
  <si>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</si>
  <si>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</si>
  <si>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</si>
  <si>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</si>
  <si>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</si>
  <si>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the Forest: 1 Hex Range; Create Forest on Target Grass Type Hex. (+)</t>
  </si>
  <si>
    <t>Scroll of Mana Drain: Drain 50 Mana from Target. (+)</t>
  </si>
  <si>
    <t>Scroll of Life Drain: Drain 50 Health from Target. (+)</t>
  </si>
  <si>
    <t>Scroll of Holy Nova: Deals 20 Holy Damage and 10 Light Damage to all other Entities. (o)</t>
  </si>
  <si>
    <t>Scroll of Channeling: Gain 3 Stacks of Channel. (≈)</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</si>
  <si>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</si>
  <si>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</si>
  <si>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</si>
  <si>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</si>
  <si>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</si>
  <si>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</si>
  <si>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</si>
  <si>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</si>
  <si>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Blink: Teleport in Melee Range of Target. (+)</t>
  </si>
  <si>
    <t>Scroll of Holy Smite: Deal 40 Holy Damage to Target.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</si>
  <si>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</si>
  <si>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</si>
  <si>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</si>
  <si>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</si>
  <si>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</si>
  <si>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</si>
  <si>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</si>
  <si>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</si>
  <si>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</si>
  <si>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</si>
  <si>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</si>
  <si>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</si>
  <si>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</si>
  <si>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</si>
  <si>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</si>
  <si>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</si>
  <si>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</si>
  <si>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</si>
  <si>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</si>
  <si>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</si>
  <si>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</si>
  <si>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</si>
  <si>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</si>
  <si>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</si>
  <si>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</si>
  <si>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</si>
  <si>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</si>
  <si>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</si>
  <si>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</si>
  <si>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</si>
  <si>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</si>
  <si>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</si>
  <si>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</si>
  <si>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</si>
  <si>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</si>
  <si>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</si>
  <si>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</si>
  <si>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</si>
  <si>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</si>
  <si>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</si>
  <si>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</si>
  <si>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</si>
  <si>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</si>
  <si>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</si>
  <si>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</si>
  <si>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</si>
  <si>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</si>
  <si>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</si>
  <si>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</si>
  <si>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</si>
  <si>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</si>
  <si>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</si>
  <si>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</si>
  <si>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</si>
  <si>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</si>
  <si>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</si>
  <si>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</si>
  <si>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</si>
  <si>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800 Gold</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</si>
  <si>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</si>
  <si>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</si>
  <si>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Raxa's Rune: Can be applied to Gear; Armor Piece Gains Passive: You can Traverse Lava Tiles; Weapons Gain 15 Scorch Damage on Hit.</t>
  </si>
  <si>
    <t>1200 Gold</t>
  </si>
  <si>
    <t>6) Materials</t>
  </si>
  <si>
    <t>Common Ore: Results in a Metal Type Common Gear.</t>
  </si>
  <si>
    <t>300 Gold</t>
  </si>
  <si>
    <t>Common Fabric: Results in a Cloth Type Common Gear.</t>
  </si>
  <si>
    <t>Rare Ore: Results in a Metal Type rare Gear.</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</si>
  <si>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</si>
  <si>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</si>
  <si>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</si>
  <si>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</si>
  <si>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</si>
  <si>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</si>
  <si>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</si>
  <si>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</si>
  <si>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</si>
  <si>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</si>
  <si>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</si>
  <si>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</si>
  <si>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</si>
  <si>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</si>
  <si>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</si>
  <si>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</si>
  <si>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</si>
  <si>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</si>
  <si>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</si>
  <si>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</si>
  <si>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</si>
  <si>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</si>
  <si>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Blood Flask: Deal 25 Bleed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</si>
  <si>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</si>
  <si>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</si>
  <si>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</si>
  <si>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</si>
  <si>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</si>
  <si>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</si>
  <si>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</si>
  <si>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</si>
  <si>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</si>
  <si>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</si>
  <si>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</si>
  <si>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</si>
  <si>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</si>
  <si>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</si>
  <si>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</si>
  <si>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</si>
  <si>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</si>
  <si>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</si>
  <si>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</si>
  <si>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</si>
  <si>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</si>
  <si>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</si>
  <si>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</si>
  <si>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</si>
  <si>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</si>
  <si>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</si>
  <si>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</si>
  <si>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</si>
  <si>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Mushroom Potion: Spells Cost 50% Less; 50% Chance to cast on Random Target; Lasts Until End of Combat. (≈)</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</si>
  <si>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</si>
  <si>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</si>
  <si>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</si>
  <si>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</si>
  <si>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</si>
  <si>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</si>
  <si>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</si>
  <si>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</si>
  <si>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Vile Venom: Apply to Weapon; On Hit: Inflict a Random Negative Non-Dot Status for 1 Turn;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</si>
  <si>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</si>
  <si>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</si>
  <si>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</si>
  <si>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</si>
  <si>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</si>
  <si>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</si>
  <si>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</si>
  <si>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</si>
  <si>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Vile Wrecking Potion: Lose 40 Health; Gain 12 Strength until End of Day. (≈)</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</si>
  <si>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</si>
  <si>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</si>
  <si>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</si>
  <si>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</si>
  <si>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</si>
  <si>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</si>
  <si>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Withering Flask: Inflict Vulnerable for 2 Turns. (&gt;)</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</si>
  <si>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</si>
  <si>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</si>
  <si>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</si>
  <si>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</si>
  <si>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</si>
  <si>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</si>
  <si>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</si>
  <si>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</si>
  <si>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</si>
  <si>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</si>
  <si>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</si>
  <si>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</si>
  <si>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</si>
  <si>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</si>
  <si>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</si>
  <si>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</si>
  <si>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</si>
  <si>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</si>
  <si>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</si>
  <si>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</si>
  <si>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</si>
  <si>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</si>
  <si>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Flask of Heart Weakness: Reduce Basic Attack Damage by 20% Until End of Day. (&gt;)</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</si>
  <si>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</si>
  <si>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</si>
  <si>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</si>
  <si>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</si>
  <si>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</si>
  <si>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Empowered Mana Potion: Your next 2 Abilities cost 20% less Mana to Cast; Lasts Until End of Day. (≈)</t>
  </si>
  <si>
    <t>Weakening Flask: Inflict Weakened for 2 Turns. (&gt;)</t>
  </si>
  <si>
    <t>Enfeebling Flask: -4 To all Attributes; Lasts Until End of Day. (&gt;)</t>
  </si>
  <si>
    <t>Bleeding Flask: Deal 25 Bleed Damage. (&gt;)</t>
  </si>
  <si>
    <t>Waterwalking Potion: Able to Traverse Water Hexes until End of Day. (≈)</t>
  </si>
  <si>
    <t>Lifedrain Potion: Gain 10% Life Drain on your Attacks Until End of Combat. (≈)</t>
  </si>
  <si>
    <t>Original Flaming Spirits: Become Surged and Drunk for 2 Turns. (≈)</t>
  </si>
  <si>
    <t>Lesser Potion of Refreshness: Refresh 1 Stamina. (≈)</t>
  </si>
  <si>
    <t>Rot Flask: Causes Rotting in 7 Days. (&gt;)</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</si>
  <si>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</si>
  <si>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</si>
  <si>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</si>
  <si>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</si>
  <si>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</si>
  <si>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</si>
  <si>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</si>
  <si>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</si>
  <si>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</si>
  <si>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</si>
  <si>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</si>
  <si>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</si>
  <si>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</si>
  <si>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</si>
  <si>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</si>
  <si>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</si>
  <si>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</si>
  <si>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</si>
  <si>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</si>
  <si>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</si>
  <si>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</si>
  <si>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</si>
  <si>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</si>
  <si>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</si>
  <si>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</si>
  <si>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</si>
  <si>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</si>
  <si>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</si>
  <si>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</si>
  <si>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</si>
  <si>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</si>
  <si>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</si>
  <si>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</si>
  <si>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</si>
  <si>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</si>
  <si>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</si>
  <si>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</si>
  <si>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</si>
  <si>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</si>
  <si>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</si>
  <si>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</si>
  <si>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</si>
  <si>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</si>
  <si>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</si>
  <si>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</si>
  <si>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</si>
  <si>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</si>
  <si>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Greater Mobility Potion: Gain 2 Mobility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</si>
  <si>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</si>
  <si>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</si>
  <si>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</si>
  <si>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</si>
  <si>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</si>
  <si>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</si>
  <si>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</si>
  <si>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</si>
  <si>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</si>
  <si>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</si>
  <si>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</si>
  <si>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</si>
  <si>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</si>
  <si>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</si>
  <si>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</si>
  <si>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</si>
  <si>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</si>
  <si>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</si>
  <si>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</si>
  <si>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</si>
  <si>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</si>
  <si>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</si>
  <si>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</si>
  <si>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</si>
  <si>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</si>
  <si>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</si>
  <si>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</si>
  <si>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</si>
  <si>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</si>
  <si>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</si>
  <si>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Fear: Inflict Fear for 3 Turns.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</si>
  <si>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</si>
  <si>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</si>
  <si>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</si>
  <si>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</si>
  <si>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</si>
  <si>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</si>
  <si>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</si>
  <si>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</si>
  <si>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Flask of Terror: Inflict Fear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</si>
  <si>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</si>
  <si>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</si>
  <si>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</si>
  <si>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</si>
  <si>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</si>
  <si>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</si>
  <si>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</si>
  <si>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</si>
  <si>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</si>
  <si>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</si>
  <si>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</si>
  <si>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</si>
  <si>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</si>
  <si>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</si>
  <si>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</si>
  <si>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</si>
  <si>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</si>
  <si>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</si>
  <si>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</si>
  <si>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</si>
  <si>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</si>
  <si>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</si>
  <si>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</si>
  <si>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</si>
  <si>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</si>
  <si>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</si>
  <si>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</si>
  <si>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</si>
  <si>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</si>
  <si>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</si>
  <si>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</si>
  <si>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</si>
  <si>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</si>
  <si>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</si>
  <si>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</si>
  <si>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</si>
  <si>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</si>
  <si>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</si>
  <si>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</si>
  <si>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</si>
  <si>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</si>
  <si>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</si>
  <si>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</si>
  <si>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</si>
  <si>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</si>
  <si>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</si>
  <si>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</si>
  <si>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Outcasts Greytooth Restoration Potion: Restore 60 Health and 60 Mana; Become Banished. (≈)</t>
  </si>
  <si>
    <t>Frost Mana Restoration Potion: Restore Mana equal to your Frost Resistance where 10% Frost Resistance is 10 Mana. (≈)</t>
  </si>
  <si>
    <t>Bleed Mana Restoration Potion: Restore Mana equal to your Bleed Resistance where 10% Bleed Resistance is 10 Mana. (≈)</t>
  </si>
  <si>
    <t>Poison Mana Restoration Potion: Restore Mana equal to your Poison Resistance where 10% Poison Resistance is 10 Mana. (≈)</t>
  </si>
  <si>
    <t>Earth Mana Restoration Potion: Restore Mana equal to your Earth Resistance where 10% Earth Resistance is 10 Mana. (≈)</t>
  </si>
  <si>
    <t>Fire Mana Restoration Potion: Restore Mana equal to your Fire Resistance where 10% Fire Resistance is 10 Mana. (≈)</t>
  </si>
  <si>
    <t>Lightning Mana Restoration Potion: Restore Mana equal to your Lightning Resistance where 10% Lightning Resistance is 10 Mana. (≈)</t>
  </si>
  <si>
    <t>Wind Mana Restoration Potion: Restore Mana equal to your Wind Resistance where 10% Wind Resistance is 10 Mana. (≈)</t>
  </si>
  <si>
    <t>Light Mana Restoration Potion: Restore Mana equal to your Light Resistance where 10% Light Resistance is 10 Mana. (≈)</t>
  </si>
  <si>
    <t>Dark Mana Restoration Potion: Restore Mana equal to your Dark Resistance where 10% Dark Resistance is 10 Mana. (≈)</t>
  </si>
  <si>
    <t>Greater Mana Potion: Restore 75 Mana. (≈)</t>
  </si>
  <si>
    <t>Greater Empowered Mana Potion: Your next 3 Abilities cost 20% less Mana to Cast; Lasts Until End of Day.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</si>
  <si>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</si>
  <si>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</si>
  <si>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</si>
  <si>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</si>
  <si>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</si>
  <si>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</si>
  <si>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</si>
  <si>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</si>
  <si>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</si>
  <si>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</si>
  <si>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</si>
  <si>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</si>
  <si>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</si>
  <si>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</si>
  <si>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</si>
  <si>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</si>
  <si>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</si>
  <si>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</si>
  <si>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</si>
  <si>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Lesser Fearing Flask: Inflict Fear for 3 Turns. (&gt;)</t>
  </si>
  <si>
    <t>Rot Potion: Causes Rotting in 7 Days.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</si>
  <si>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</si>
  <si>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</si>
  <si>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</si>
  <si>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</si>
  <si>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</si>
  <si>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</si>
  <si>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</si>
  <si>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</si>
  <si>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</si>
  <si>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</si>
  <si>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</si>
  <si>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</si>
  <si>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</si>
  <si>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Rotting in 7 Days.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</si>
  <si>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</si>
  <si>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</si>
  <si>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</si>
  <si>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</si>
  <si>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</si>
  <si>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</si>
  <si>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</si>
  <si>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</si>
  <si>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in 12 Days; Subsequent Basic Attacks advance the Rotting by 1 Day;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</si>
  <si>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</si>
  <si>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</si>
  <si>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</si>
  <si>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</si>
  <si>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</si>
  <si>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</si>
  <si>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</si>
  <si>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</si>
  <si>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16 Strength and Rotting in 2 Days; Killing Entities extends Rotting by 1 Day.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</si>
  <si>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</si>
  <si>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</si>
  <si>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</si>
  <si>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</si>
  <si>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</si>
  <si>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</si>
  <si>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</si>
  <si>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</si>
  <si>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</si>
  <si>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</si>
  <si>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</si>
  <si>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</si>
  <si>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</si>
  <si>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</si>
  <si>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</si>
  <si>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</si>
  <si>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</si>
  <si>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</si>
  <si>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</si>
  <si>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Potion of Vile Growth: Gain 20% Increased Total Damage for each Status affecting you; Lasts until End of Combat.</t>
  </si>
  <si>
    <t>Flask of Conditional Nullification: Remove all Conditions Until End of Day. (&gt;)</t>
  </si>
  <si>
    <t>Flight Potion: Removes the Effects of Gravity upon you, giving you the Winged Condition; Lasts 3 Days. (≈)</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</si>
  <si>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</si>
  <si>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</si>
  <si>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</si>
  <si>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</si>
  <si>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</si>
  <si>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</si>
  <si>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</si>
  <si>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</si>
  <si>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</si>
  <si>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</si>
  <si>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</si>
  <si>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</si>
  <si>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extend your Rotting by 3 Days.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</si>
  <si>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</si>
  <si>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</si>
  <si>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</si>
  <si>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</si>
  <si>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</si>
  <si>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</si>
  <si>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</si>
  <si>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</si>
  <si>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</si>
  <si>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Divine Restoration Potion: Restore 30 Health and 30 Mana for every Faith you have.</t>
  </si>
  <si>
    <t>Life Taxation Flask: Fully Restore Health and mana, then lose half of Max Health or Max Mana at Random. (≈)</t>
  </si>
  <si>
    <t>Everlife Spirit Elixir: At the Start of Day Restore 1 Health or Mana and double this amount for the next Day.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</si>
  <si>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</si>
  <si>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</si>
  <si>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</si>
  <si>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</si>
  <si>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extend your Rotting by 3 Days.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</si>
  <si>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</si>
  <si>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</si>
  <si>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</si>
  <si>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</si>
  <si>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</si>
  <si>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</si>
  <si>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</si>
  <si>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</si>
  <si>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Root for 2 Turns; Rotting in 4 Days. (&gt;)</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</si>
  <si>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</si>
  <si>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</si>
  <si>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</si>
  <si>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</si>
  <si>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</si>
  <si>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</si>
  <si>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</si>
  <si>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</si>
  <si>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Rotting in 7 Days.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</si>
  <si>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</si>
  <si>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</si>
  <si>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</si>
  <si>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</si>
  <si>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</si>
  <si>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</si>
  <si>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</si>
  <si>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</si>
  <si>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</si>
  <si>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</si>
  <si>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</si>
  <si>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</si>
  <si>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</si>
  <si>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</si>
  <si>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</si>
  <si>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</si>
  <si>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</si>
  <si>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</si>
  <si>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</si>
  <si>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</si>
  <si>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</si>
  <si>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</si>
  <si>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Poison Flask: Deal 40 Poison Damage. (&gt;)</t>
  </si>
  <si>
    <t>Scorching Flask: Deal 40 Scorch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</si>
  <si>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</si>
  <si>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</si>
  <si>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</si>
  <si>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</si>
  <si>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</si>
  <si>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</si>
  <si>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</si>
  <si>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</si>
  <si>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</si>
  <si>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Tormenting Flask: Inflict Torment for 5 Turns. (&gt;)</t>
  </si>
  <si>
    <t>Bleed Drain Potion: Drain 30% Bleed Resistance from all other Entities on Hex until End of Combat. (≈)</t>
  </si>
  <si>
    <t>Greater Poison Flask: Deal 75 Poison Damage. (&gt;)</t>
  </si>
  <si>
    <t>Toxic Flask: Deal 20 Toxic Damage. (&gt;)</t>
  </si>
  <si>
    <t>Acidic Flask: Deal 40 Acid Damage. (&gt;)</t>
  </si>
  <si>
    <t>Corrosive Flask: Deal 40 Corrosive Damage. (&gt;)</t>
  </si>
  <si>
    <t>Gas Flask: Deal 40 Gas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</si>
  <si>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</si>
  <si>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</si>
  <si>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</si>
  <si>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</si>
  <si>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</si>
  <si>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</si>
  <si>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</si>
  <si>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</si>
  <si>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</si>
  <si>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</si>
  <si>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</si>
  <si>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</si>
  <si>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</si>
  <si>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</si>
  <si>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</si>
  <si>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</si>
  <si>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</si>
  <si>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</si>
  <si>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</si>
  <si>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</si>
  <si>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</si>
  <si>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</si>
  <si>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</si>
  <si>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</si>
  <si>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</si>
  <si>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</si>
  <si>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</si>
  <si>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</si>
  <si>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</si>
  <si>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</si>
  <si>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</si>
  <si>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</si>
  <si>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</si>
  <si>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</si>
  <si>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</si>
  <si>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</si>
  <si>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</si>
  <si>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</si>
  <si>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</si>
  <si>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</si>
  <si>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</si>
  <si>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</si>
  <si>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</si>
  <si>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</si>
  <si>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</si>
  <si>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</si>
  <si>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</si>
  <si>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</si>
  <si>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</si>
  <si>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</si>
  <si>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</si>
  <si>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</si>
  <si>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</si>
  <si>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</si>
  <si>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</si>
  <si>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</si>
  <si>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</si>
  <si>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</si>
  <si>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</si>
  <si>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</si>
  <si>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</si>
  <si>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</si>
  <si>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</si>
  <si>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</si>
  <si>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</si>
  <si>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</si>
  <si>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</si>
  <si>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</si>
  <si>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</si>
  <si>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</si>
  <si>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</si>
  <si>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</si>
  <si>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</si>
  <si>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</si>
  <si>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</si>
  <si>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</si>
  <si>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</si>
  <si>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</si>
  <si>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</si>
  <si>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</si>
  <si>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</si>
  <si>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</si>
  <si>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</si>
  <si>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</si>
  <si>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</si>
  <si>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</si>
  <si>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</si>
  <si>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</si>
  <si>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</si>
  <si>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</si>
  <si>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</si>
  <si>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</si>
  <si>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</si>
  <si>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</si>
  <si>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</si>
  <si>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</si>
  <si>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</si>
  <si>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</si>
  <si>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</si>
  <si>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</si>
  <si>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</si>
  <si>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</si>
  <si>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</si>
  <si>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</si>
  <si>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</si>
  <si>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</si>
  <si>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</si>
  <si>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</si>
  <si>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</si>
  <si>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</si>
  <si>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</si>
  <si>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</si>
  <si>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</si>
  <si>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</si>
  <si>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</si>
  <si>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</si>
  <si>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</si>
  <si>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</si>
  <si>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</si>
  <si>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</si>
  <si>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</si>
  <si>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</si>
  <si>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</si>
  <si>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</si>
  <si>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</si>
  <si>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</si>
  <si>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</si>
  <si>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</si>
  <si>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</si>
  <si>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</si>
  <si>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</si>
  <si>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</si>
  <si>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</si>
  <si>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</si>
  <si>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</si>
  <si>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</si>
  <si>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</si>
  <si>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</si>
  <si>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</si>
  <si>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</si>
  <si>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</si>
  <si>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</si>
  <si>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</si>
  <si>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</si>
  <si>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</si>
  <si>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</si>
  <si>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</si>
  <si>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</si>
  <si>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</si>
  <si>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</si>
  <si>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</si>
  <si>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</si>
  <si>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</si>
  <si>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</si>
  <si>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</si>
  <si>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</si>
  <si>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</si>
  <si>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</si>
  <si>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</si>
  <si>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</si>
  <si>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</si>
  <si>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</si>
  <si>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</si>
  <si>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</si>
  <si>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</si>
  <si>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</si>
  <si>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</si>
  <si>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</si>
  <si>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</si>
  <si>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</si>
  <si>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If you are Rotting extend your Rotting by 4 Days.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</si>
  <si>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</si>
  <si>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</si>
  <si>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</si>
  <si>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</si>
  <si>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</si>
  <si>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</si>
  <si>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</si>
  <si>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</si>
  <si>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</si>
  <si>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</si>
  <si>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</si>
  <si>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</si>
  <si>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</si>
  <si>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</si>
  <si>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</si>
  <si>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</si>
  <si>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If you are Rotting extend your Rotting by 4 Days.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</si>
  <si>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</si>
  <si>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</si>
  <si>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</si>
  <si>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</si>
  <si>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</si>
  <si>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</si>
  <si>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</si>
  <si>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</si>
  <si>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15 Attribute Points; Rotting in 4 Days.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</si>
  <si>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</si>
  <si>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</si>
  <si>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</si>
  <si>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</si>
  <si>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</si>
  <si>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</si>
  <si>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</si>
  <si>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</si>
  <si>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</si>
  <si>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</si>
  <si>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</si>
  <si>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</si>
  <si>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</si>
  <si>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</si>
  <si>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</si>
  <si>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</si>
  <si>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</si>
  <si>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Delay Rotting by 10 Days.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</si>
  <si>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</si>
  <si>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</si>
  <si>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</si>
  <si>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</si>
  <si>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</si>
  <si>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</si>
  <si>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</si>
  <si>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</si>
  <si>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</si>
  <si>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</si>
  <si>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</si>
  <si>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</si>
  <si>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</si>
  <si>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</si>
  <si>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</si>
  <si>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</si>
  <si>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</si>
  <si>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</si>
  <si>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</si>
  <si>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</si>
  <si>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</si>
  <si>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</si>
  <si>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</si>
  <si>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</si>
  <si>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</si>
  <si>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</si>
  <si>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</si>
  <si>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</si>
  <si>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the Rotting Duration from 1 Day to 1o Days; If you are not Rotting Gain 1000 Xp and Gain Rotting in 5 Days.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</si>
  <si>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</si>
  <si>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</si>
  <si>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</si>
  <si>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</si>
  <si>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Cause Rotting in 2 Days.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</si>
  <si>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</si>
  <si>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</si>
  <si>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</si>
  <si>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</si>
  <si>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</si>
  <si>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</si>
  <si>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</si>
  <si>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</si>
  <si>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</si>
  <si>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</si>
  <si>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</si>
  <si>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</si>
  <si>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</si>
  <si>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</si>
  <si>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</si>
  <si>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</si>
  <si>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</si>
  <si>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Farsight Ward: 3 Hex Vision Ward.</t>
  </si>
  <si>
    <t>Truesight Ward: 3 Hex Vision Ward; Detects Invisible Entities.</t>
  </si>
  <si>
    <t>Porting Ward: 2 Hex Vision Ward; Can be Placed at 2 Hex Range.</t>
  </si>
  <si>
    <t>Market</t>
  </si>
  <si>
    <t>Sells a Map Layout for 500 gold.</t>
  </si>
  <si>
    <t>You may sell Gear/Items here for 50% of its Value.</t>
  </si>
  <si>
    <t>UPON PILLAGING: You Loot all Gear and Items present, the Map and 1000 Gold.</t>
  </si>
  <si>
    <t>Foundry</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</si>
  <si>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</si>
  <si>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</si>
  <si>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</si>
  <si>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</si>
  <si>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</si>
  <si>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</si>
  <si>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</si>
  <si>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</si>
  <si>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</si>
  <si>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</si>
  <si>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</si>
  <si>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</si>
  <si>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</si>
  <si>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</si>
  <si>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</si>
  <si>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</si>
  <si>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</si>
  <si>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Black Market</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</si>
  <si>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</si>
  <si>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</si>
  <si>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</si>
  <si>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</si>
  <si>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</si>
  <si>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</si>
  <si>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</si>
  <si>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</si>
  <si>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</si>
  <si>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</si>
  <si>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</si>
  <si>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</si>
  <si>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</si>
  <si>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</si>
  <si>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</si>
  <si>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The Shrine: </t>
  </si>
  <si>
    <t>You can offer Gear/Items, Gold or Blood in order to make Prayers. (Gold Value is determined by any Monetary value of Gear + Items at Resell Value; For Blood Transfers 1 Health = 10 Gold)</t>
  </si>
  <si>
    <t>Prayer for the Truth: Offer 1000 Gold value and reveal a 3 Hex Vision Radius of Target Landmark which is closest to you.</t>
  </si>
  <si>
    <t>UPON PILLAGING: You Loot 2000 Gold and may use the Shrine.</t>
  </si>
  <si>
    <t>The Library: </t>
  </si>
  <si>
    <t>Sells 1 Random Helix Artifact.</t>
  </si>
  <si>
    <t>Pay 500 Gold to Relearn Base Ability to one of your choice; Pay 1000 Gold to Relearn Ultimate Ability to one of your choice.</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</si>
  <si>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</si>
  <si>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</si>
  <si>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</si>
  <si>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</si>
  <si>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</si>
  <si>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</si>
  <si>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</si>
  <si>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</si>
  <si>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</si>
  <si>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</si>
  <si>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</si>
  <si>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</si>
  <si>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</si>
  <si>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Steel Set</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</si>
  <si>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</si>
  <si>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</si>
  <si>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</si>
  <si>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</si>
  <si>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</si>
  <si>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</si>
  <si>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</si>
  <si>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</si>
  <si>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</si>
  <si>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</si>
  <si>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</si>
  <si>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</si>
  <si>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</si>
  <si>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</si>
  <si>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</si>
  <si>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</si>
  <si>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</si>
  <si>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</si>
  <si>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</si>
  <si>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</si>
  <si>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</si>
  <si>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</si>
  <si>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</si>
  <si>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</si>
  <si>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</si>
  <si>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</si>
  <si>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</si>
  <si>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</si>
  <si>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</si>
  <si>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</si>
  <si>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</si>
  <si>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</si>
  <si>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</si>
  <si>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</si>
  <si>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</si>
  <si>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</si>
  <si>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</si>
  <si>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</si>
  <si>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</si>
  <si>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</si>
  <si>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</si>
  <si>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</si>
  <si>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</si>
  <si>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</si>
  <si>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</si>
  <si>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</si>
  <si>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</si>
  <si>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</si>
  <si>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</si>
  <si>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</si>
  <si>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</si>
  <si>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</si>
  <si>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</si>
  <si>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</si>
  <si>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</si>
  <si>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</si>
  <si>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</si>
  <si>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</si>
  <si>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</si>
  <si>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</si>
  <si>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</si>
  <si>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</si>
  <si>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Requirment/Recipe</t>
  </si>
  <si>
    <t>Material/Amount</t>
  </si>
  <si>
    <t>Gear</t>
  </si>
  <si>
    <t>1:1 Any Rarity</t>
  </si>
  <si>
    <t>Throwables</t>
  </si>
  <si>
    <t>Rune</t>
  </si>
  <si>
    <t>Scroll</t>
  </si>
  <si>
    <t>Library</t>
  </si>
  <si>
    <t>Drug: Cossar</t>
  </si>
  <si>
    <t>Drug: Adam</t>
  </si>
  <si>
    <t>Drug: Barok</t>
  </si>
  <si>
    <t>Drug: Mugno</t>
  </si>
  <si>
    <t>Drug: Lucio</t>
  </si>
  <si>
    <t>Drug: Rogna</t>
  </si>
  <si>
    <t>Drug: Zone</t>
  </si>
  <si>
    <t>Paramount +  Cossar</t>
  </si>
  <si>
    <t>Drug: Paramount</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</si>
  <si>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</si>
  <si>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</si>
  <si>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</si>
  <si>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</si>
  <si>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</si>
  <si>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</si>
  <si>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</si>
  <si>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</si>
  <si>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</si>
  <si>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</si>
  <si>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</si>
  <si>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</si>
  <si>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</si>
  <si>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</si>
  <si>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</si>
  <si>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</si>
  <si>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</si>
  <si>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</si>
  <si>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</si>
  <si>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</si>
  <si>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Fire </t>
  </si>
  <si>
    <t>(P) Fire Well: Gain 20% Fire Resistance.</t>
  </si>
  <si>
    <t>(❖:&gt;) Fireball: Launch a Fireball Dealing 25 Fire Damage to Target and all Entities in its melee Range.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</si>
  <si>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</si>
  <si>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</si>
  <si>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</si>
  <si>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</si>
  <si>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Frost </t>
  </si>
  <si>
    <t>(P) Frost Well: Gain 20% Frost Resistance.</t>
  </si>
  <si>
    <t>(❖:&gt;) Frostshard: Deal 25 Frost Damage with a 50% Chance to inflict Frostbite for 5 Damage Per Tick Over 3 Turns. (2 Resonance)</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</si>
  <si>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</si>
  <si>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</si>
  <si>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</si>
  <si>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</si>
  <si>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</si>
  <si>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</si>
  <si>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</si>
  <si>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</si>
  <si>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</si>
  <si>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</si>
  <si>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</si>
  <si>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</si>
  <si>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</si>
  <si>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</si>
  <si>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</si>
  <si>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</si>
  <si>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</si>
  <si>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</si>
  <si>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</si>
  <si>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</si>
  <si>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</si>
  <si>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</si>
  <si>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</si>
  <si>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</si>
  <si>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</si>
  <si>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</si>
  <si>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</si>
  <si>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</si>
  <si>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</si>
  <si>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</si>
  <si>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</si>
  <si>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</si>
  <si>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</si>
  <si>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</si>
  <si>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</si>
  <si>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</si>
  <si>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</si>
  <si>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</si>
  <si>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</si>
  <si>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</si>
  <si>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</si>
  <si>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</si>
  <si>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</si>
  <si>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</si>
  <si>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</si>
  <si>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</si>
  <si>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</si>
  <si>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</si>
  <si>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</si>
  <si>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</si>
  <si>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</si>
  <si>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</si>
  <si>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</si>
  <si>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</si>
  <si>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</si>
  <si>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[Channel for 1 Turn] Cause Target to Rot at End of Day. (12 Resonance)</t>
  </si>
  <si>
    <t>Offense</t>
  </si>
  <si>
    <t>+1 Attribute Point</t>
  </si>
  <si>
    <t>Master Unarmed: Unarmed Type gains +1 Scaling.</t>
  </si>
  <si>
    <t>(≈) Hit Harder: Basic Attack Target with +1 Extra Scaling on your highest Scaling Attribute. (2/Day)</t>
  </si>
  <si>
    <t>+1 Might</t>
  </si>
  <si>
    <t>Master Strength Weapon: Master Strength Weapon Type; Weapons of chosen Type will Scale in Off-Hand and gain 0.5 Scaling in Main Hand.</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</si>
  <si>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</si>
  <si>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</si>
  <si>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</si>
  <si>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</si>
  <si>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</si>
  <si>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</si>
  <si>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</si>
  <si>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</si>
  <si>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</si>
  <si>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</si>
  <si>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</si>
  <si>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</si>
  <si>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</si>
  <si>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</si>
  <si>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</si>
  <si>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</si>
  <si>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</si>
  <si>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</si>
  <si>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</si>
  <si>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</si>
  <si>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</si>
  <si>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</si>
  <si>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</si>
  <si>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</si>
  <si>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Master Dexterity Weapon: Master Dexterity Weapon Type; Weapons of that Type will Scale in Off-Hand and gain 0.5 Scaling in Main Hand.</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</si>
  <si>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</si>
  <si>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</si>
  <si>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</si>
  <si>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</si>
  <si>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</si>
  <si>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</si>
  <si>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</si>
  <si>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</si>
  <si>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</si>
  <si>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</si>
  <si>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Master Sharp Weapon: Master Sharp Weapon Type; Weapons of that Type will Scale in Off-Hand and gain 0.5 Scaling in Main Hand.</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</si>
  <si>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</si>
  <si>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</si>
  <si>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</si>
  <si>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</si>
  <si>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</si>
  <si>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</si>
  <si>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</si>
  <si>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</si>
  <si>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</si>
  <si>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</si>
  <si>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Master Power Weapon: Master Power Weapon Type; Weapons of chosen Type will Scale in Off-Hand and gain 0.5 Scaling in Main Hand.</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</si>
  <si>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</si>
  <si>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</si>
  <si>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</si>
  <si>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</si>
  <si>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</si>
  <si>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</si>
  <si>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</si>
  <si>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</si>
  <si>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</si>
  <si>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</si>
  <si>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</si>
  <si>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</si>
  <si>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</si>
  <si>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</si>
  <si>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</si>
  <si>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</si>
  <si>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</si>
  <si>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</si>
  <si>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</si>
  <si>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</si>
  <si>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</si>
  <si>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</si>
  <si>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</si>
  <si>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</si>
  <si>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</si>
  <si>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</si>
  <si>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10% IN ELEMENTAL RESISTANCE OF YOUR CHOICE</t>
  </si>
  <si>
    <t>20% IN ELEMENTAL RESISTANCE OF YOUR CHOICE</t>
  </si>
  <si>
    <t>CHANGE KIN TO UNDEAD/DEMON/FAE/CONSTRUCT/DIVINE OR GAIN A RANDOM MEDIUM QUEST</t>
  </si>
  <si>
    <t>CHANGE KIN TO UNDEAD/DIVINE OR GAIN A RANDOM MEDIUM QUEST</t>
  </si>
  <si>
    <t>CHANGE KIN TO FAE/DEMON OR GAIN A RANDOM MEDIUM QUEST</t>
  </si>
  <si>
    <t>CHANGE KIN TO FAE/CONSTRUCT OR GAIN A RANDOM MEDIUM QUEST</t>
  </si>
  <si>
    <t>CHANGE KIN TO DIVINE/CONSTRUCT OR GAIN A RANDOM MEDIUM QUEST</t>
  </si>
  <si>
    <t>CHANGE KIN TO DEMON/UNDEAD OR GAIN A RANDOM MEDIUM QUEST</t>
  </si>
  <si>
    <t>IF KIN CHANGED TO FAE PATH IS FORCED TO SPRIGGAN AT LEVEL 6</t>
  </si>
  <si>
    <t>IF KIN CHANGED TO UNDEAD PATH IS FORCED TO VAMPIRE AT LEVEL 6</t>
  </si>
  <si>
    <t>IF KIN CHANGED TO DIVINE PATH IS FORCED TO NEPHILIM AT LEVEL 6</t>
  </si>
  <si>
    <t>IF KIN CHANGED TO DEMON PATH IS FORCED TO BRANDED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</si>
  <si>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</si>
  <si>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</si>
  <si>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</si>
  <si>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</si>
  <si>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</si>
  <si>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</si>
  <si>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</si>
  <si>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</si>
  <si>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</si>
  <si>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</si>
  <si>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</si>
  <si>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</si>
  <si>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</si>
  <si>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</si>
  <si>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</si>
  <si>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</si>
  <si>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</si>
  <si>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</si>
  <si>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</si>
  <si>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</si>
  <si>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</si>
  <si>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</si>
  <si>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</si>
  <si>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</si>
  <si>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</si>
  <si>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</si>
  <si>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</si>
  <si>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</si>
  <si>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</si>
  <si>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</si>
  <si>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</si>
  <si>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</si>
  <si>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</si>
  <si>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</si>
  <si>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</si>
  <si>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</si>
  <si>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</si>
  <si>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</si>
  <si>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</si>
  <si>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</si>
  <si>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</si>
  <si>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</si>
  <si>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</si>
  <si>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</si>
  <si>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</si>
  <si>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 Summon Dragon: Powerplay; Summon a Dragon.</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</si>
  <si>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</si>
  <si>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</si>
  <si>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</si>
  <si>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</si>
  <si>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</si>
  <si>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</si>
  <si>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</si>
  <si>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</si>
  <si>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</si>
  <si>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</si>
  <si>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</si>
  <si>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</si>
  <si>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</si>
  <si>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</si>
  <si>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</si>
  <si>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</si>
  <si>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</si>
  <si>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</si>
  <si>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</si>
  <si>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</si>
  <si>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</si>
  <si>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</si>
  <si>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</si>
  <si>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</si>
  <si>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</si>
  <si>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</si>
  <si>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</si>
  <si>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</si>
  <si>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</si>
  <si>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</si>
  <si>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</si>
  <si>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</si>
  <si>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</si>
  <si>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</si>
  <si>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</si>
  <si>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</si>
  <si>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</si>
  <si>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</si>
  <si>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</si>
  <si>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</si>
  <si>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</si>
  <si>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</si>
  <si>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</si>
  <si>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</si>
  <si>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</si>
  <si>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</si>
  <si>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</si>
  <si>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</si>
  <si>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</si>
  <si>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</si>
  <si>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</si>
  <si>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</si>
  <si>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</si>
  <si>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</si>
  <si>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</si>
  <si>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</si>
  <si>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</si>
  <si>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</si>
  <si>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</si>
  <si>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</si>
  <si>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</si>
  <si>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</si>
  <si>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</si>
  <si>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</si>
  <si>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</si>
  <si>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</si>
  <si>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</si>
  <si>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</si>
  <si>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</si>
  <si>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</si>
  <si>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</si>
  <si>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</si>
  <si>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</si>
  <si>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</si>
  <si>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</si>
  <si>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</si>
  <si>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</si>
  <si>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</si>
  <si>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</si>
  <si>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</si>
  <si>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</si>
  <si>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</si>
  <si>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</si>
  <si>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</si>
  <si>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</si>
  <si>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</si>
  <si>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</si>
  <si>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</si>
  <si>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</si>
  <si>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</si>
  <si>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</si>
  <si>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</si>
  <si>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</si>
  <si>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</si>
  <si>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</si>
  <si>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</si>
  <si>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</si>
  <si>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</si>
  <si>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</si>
  <si>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</si>
  <si>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</si>
  <si>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</si>
  <si>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</si>
  <si>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</si>
  <si>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</si>
  <si>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</si>
  <si>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</si>
  <si>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</si>
  <si>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</si>
  <si>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</si>
  <si>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</si>
  <si>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</si>
  <si>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</si>
  <si>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</si>
  <si>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</si>
  <si>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</si>
  <si>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</si>
  <si>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</si>
  <si>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</si>
  <si>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</si>
  <si>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</si>
  <si>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</si>
  <si>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</si>
  <si>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</si>
  <si>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</si>
  <si>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</si>
  <si>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</si>
  <si>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</si>
  <si>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</si>
  <si>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</si>
  <si>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</si>
  <si>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</si>
  <si>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</si>
  <si>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</si>
  <si>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</si>
  <si>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</si>
  <si>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</si>
  <si>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</si>
  <si>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</si>
  <si>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</si>
  <si>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</si>
  <si>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</si>
  <si>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</si>
  <si>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</si>
  <si>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</si>
  <si>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</si>
  <si>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</si>
  <si>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</si>
  <si>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</si>
  <si>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</si>
  <si>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</si>
  <si>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</si>
  <si>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</si>
  <si>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</si>
  <si>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</si>
  <si>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</si>
  <si>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</si>
  <si>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</si>
  <si>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</si>
  <si>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</si>
  <si>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</si>
  <si>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</si>
  <si>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</si>
  <si>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</si>
  <si>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</si>
  <si>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</si>
  <si>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</si>
  <si>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</si>
  <si>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</si>
  <si>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</si>
  <si>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</si>
  <si>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</si>
  <si>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</si>
  <si>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</si>
  <si>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</si>
  <si>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</si>
  <si>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</si>
  <si>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</si>
  <si>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</si>
  <si>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</si>
  <si>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</si>
  <si>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</si>
  <si>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</si>
  <si>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</si>
  <si>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</si>
  <si>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</si>
  <si>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</si>
  <si>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</si>
  <si>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</si>
  <si>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</si>
  <si>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</si>
  <si>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</si>
  <si>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</si>
  <si>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</si>
  <si>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</si>
  <si>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</si>
  <si>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</si>
  <si>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</si>
  <si>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</si>
  <si>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</si>
  <si>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</si>
  <si>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</si>
  <si>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</si>
  <si>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</si>
  <si>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</si>
  <si>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</si>
  <si>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</si>
  <si>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</si>
  <si>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</si>
  <si>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</si>
  <si>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</si>
  <si>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</si>
  <si>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</si>
  <si>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</si>
  <si>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</si>
  <si>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</si>
  <si>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</si>
  <si>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</si>
  <si>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</si>
  <si>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</si>
  <si>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</si>
  <si>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</si>
  <si>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</si>
  <si>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</si>
  <si>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</si>
  <si>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</si>
  <si>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</si>
  <si>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</si>
  <si>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</si>
  <si>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</si>
  <si>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</si>
  <si>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</si>
  <si>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</si>
  <si>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</si>
  <si>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</si>
  <si>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</si>
  <si>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</si>
  <si>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</si>
  <si>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</si>
  <si>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</si>
  <si>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</si>
  <si>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</si>
  <si>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</si>
  <si>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</si>
  <si>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</si>
  <si>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</si>
  <si>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</si>
  <si>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</si>
  <si>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</si>
  <si>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</si>
  <si>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</si>
  <si>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</si>
  <si>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</si>
  <si>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</si>
  <si>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</si>
  <si>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</si>
  <si>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</si>
  <si>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</si>
  <si>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</si>
  <si>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</si>
  <si>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</si>
  <si>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</si>
  <si>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</si>
  <si>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</si>
  <si>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</si>
  <si>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</si>
  <si>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</si>
  <si>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</si>
  <si>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</si>
  <si>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</si>
  <si>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</si>
  <si>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</si>
  <si>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</si>
  <si>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</si>
  <si>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</si>
  <si>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</si>
  <si>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</si>
  <si>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</si>
  <si>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</si>
  <si>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</si>
  <si>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</si>
  <si>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</si>
  <si>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</si>
  <si>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</si>
  <si>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</si>
  <si>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</si>
  <si>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</si>
  <si>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</si>
  <si>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</si>
  <si>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</si>
  <si>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</si>
  <si>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</si>
  <si>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</si>
  <si>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</si>
  <si>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</si>
  <si>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</si>
  <si>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Mobility: 10</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</si>
  <si>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</si>
  <si>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</si>
  <si>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</si>
  <si>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</si>
  <si>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</si>
  <si>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</si>
  <si>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</si>
  <si>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</si>
  <si>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</si>
  <si>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</si>
  <si>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</si>
  <si>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</si>
  <si>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</si>
  <si>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</si>
  <si>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</si>
  <si>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</si>
  <si>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</si>
  <si>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</si>
  <si>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</si>
  <si>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Race: Abstraction of the Void</t>
  </si>
  <si>
    <t>Race: Fae</t>
  </si>
  <si>
    <t>Health: 2000/2000</t>
  </si>
  <si>
    <t>Health: 1000/1000</t>
  </si>
  <si>
    <t>Mana: N/A</t>
  </si>
  <si>
    <t>Mana: 1000/1000</t>
  </si>
  <si>
    <t>Defense: 15</t>
  </si>
  <si>
    <t>Dispersion: 15</t>
  </si>
  <si>
    <t>Light R: 60%</t>
  </si>
  <si>
    <t>Light R: 80%</t>
  </si>
  <si>
    <t>Light R: 20%</t>
  </si>
  <si>
    <t>Dark R: 60%</t>
  </si>
  <si>
    <t>Dark R: 80%</t>
  </si>
  <si>
    <t>Dark R: 20%</t>
  </si>
  <si>
    <t>Fire R: 60%</t>
  </si>
  <si>
    <t>Fire R: 80%</t>
  </si>
  <si>
    <t>Frost R: 60%</t>
  </si>
  <si>
    <t>Frost R: 80%</t>
  </si>
  <si>
    <t>Wind R: 60%</t>
  </si>
  <si>
    <t>Wind R: 80%</t>
  </si>
  <si>
    <t>Earth R: 60%</t>
  </si>
  <si>
    <t>Earth R: 80%</t>
  </si>
  <si>
    <t>Earth R: 20%</t>
  </si>
  <si>
    <t>Lightning R: 60%</t>
  </si>
  <si>
    <t>Lightning R: 80%</t>
  </si>
  <si>
    <t>Lightning R: 20%</t>
  </si>
  <si>
    <t>Bleed R: 60%</t>
  </si>
  <si>
    <t>Bleed R: 80%</t>
  </si>
  <si>
    <t>Poison R: 60%</t>
  </si>
  <si>
    <t>Poison R: 80%</t>
  </si>
  <si>
    <t>Strength: 30</t>
  </si>
  <si>
    <t>Dexterity: 25</t>
  </si>
  <si>
    <t>Power: 0</t>
  </si>
  <si>
    <t>Power: 40</t>
  </si>
  <si>
    <t>Power: 25</t>
  </si>
  <si>
    <t>Basic Attack: Tail Whip: 60 Physical Damage Melee Attack.</t>
  </si>
  <si>
    <t>Basic Attack:  40 Magic Damage Ranged Attack.</t>
  </si>
  <si>
    <t>Basic Attack: 25 Wind Damage or 25 Fire Damage; (Both when below 20% Hp)</t>
  </si>
  <si>
    <t>Stamina: 4/4</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</si>
  <si>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</si>
  <si>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</si>
  <si>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</si>
  <si>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Passive: 20% Damage Reduction</t>
  </si>
  <si>
    <t>(P) Ehtal Coating: All Damage instances you take can not exceed 100.</t>
  </si>
  <si>
    <t>Tormenting Song: Torment all other Entities on Hex for 3 Turns.</t>
  </si>
  <si>
    <t>Vibration Overload: Counter: Absorb Target Attack taking no Damage. (Once per 5 Turns)</t>
  </si>
  <si>
    <t>(≈) True Barrier: Counter; Gain Barrier until End of Day equal to total mitigated Damage this Combat from the Ehtal Coating Ability. (1/Day)</t>
  </si>
  <si>
    <t>Void Dash: Dash up to 5 Tiles in a line dealing 50 Wind Damage to all Entities she passes through.</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</si>
  <si>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</si>
  <si>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</si>
  <si>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</si>
  <si>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</si>
  <si>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</si>
  <si>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with the originals remaining Health; 2 Extra Mobility, 200 Barrier and without this Ability.</t>
  </si>
  <si>
    <t>Character name: Verakonid</t>
  </si>
  <si>
    <t>Health: 8000/8000</t>
  </si>
  <si>
    <t>Defense: 40</t>
  </si>
  <si>
    <t>Dispersion: 40</t>
  </si>
  <si>
    <t>Basic Attack: Tail Whip: 120 Physical Damage Melee Attack.</t>
  </si>
  <si>
    <t>Passive: 30% Damage Reduction</t>
  </si>
  <si>
    <t>Tips &amp; Tricks</t>
  </si>
  <si>
    <t>Concepts and Laws of the Planes</t>
  </si>
  <si>
    <t>Mechanics</t>
  </si>
  <si>
    <t>Clarifications</t>
  </si>
  <si>
    <t>Death is Permanent. Don't die?</t>
  </si>
  <si>
    <t>Law of Protection: Every Zone is protected by Protectron X3. (See Legends)</t>
  </si>
  <si>
    <t>Cowardice: Forfeiting an Arena Battle will cause you to become a Coward.</t>
  </si>
  <si>
    <t>If you pay 999 Gold at a Shrine you gain 1 Faith, if you leave the Shrine and return to it, you will need to pay 500 Gold again for 1 Faith. (Not 1 Gold)</t>
  </si>
  <si>
    <t>Avoiding Weaklings means avoiding Exp.</t>
  </si>
  <si>
    <t>Blood-Bound Contracts: You may Sign Contracts with other Sentient Entities by having both Sacrifice 50 Health; If the Contract is broken by one of the 2 Entities</t>
  </si>
  <si>
    <t>Auto-Resolve: You may have the Combat instantly done via aproximation by the Gods. (In case you are too strong to waste time on weaklings)</t>
  </si>
  <si>
    <t>Applying Runes to Gear does not increase the Gears Value when selling.</t>
  </si>
  <si>
    <t>Think Twice before going into a battle with your last Stamina, fleeing without Stamina is rather...dreadful.</t>
  </si>
  <si>
    <t>That Entity will lose 100 Health; If the Conditions are resolved or unable to be met(E.g. Death) the Health Sacrificed is Returned.</t>
  </si>
  <si>
    <t>Across the Planes Death Announcements: Whenever a Boss, Guardian Hero or God dies, it will be announced in the Planes.</t>
  </si>
  <si>
    <t>When Dual Wielding, Strike Abilities will only cause you to strike with Main Hand.</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</si>
  <si>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</si>
  <si>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</si>
  <si>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Across the Planes Level Announcements: When a Hero reaches Level 8 and Level 12 an Announcement will happen.</t>
  </si>
  <si>
    <t>Vital Hits count as Crits that have 1 Extra Critical Modifier.</t>
  </si>
  <si>
    <t>Dodging is important, calculate your odds!</t>
  </si>
  <si>
    <t>Intelligence: All NPCs have a hidden stat called intelligence(From 1 to 20 where 1 is Gluesniffer and 20 is Einstein) on which the GM's will base their actions.</t>
  </si>
  <si>
    <t>The announcements in Across the Planes for leveling up are: A Hero is Ascending. (For reaching Level 8) / A Hero has reached Godhood. (For reaching Level 12)</t>
  </si>
  <si>
    <t>Unique Gear can not be destroyed under normal circumstances.</t>
  </si>
  <si>
    <t>Health is a resource, learn to use it.</t>
  </si>
  <si>
    <t>Creatures have a default intelligence value of 10 whilst Sentients can land anywhere in the spectrum; Sentients have their stat rolled on creation directly in the generator.</t>
  </si>
  <si>
    <t>Basic Attacks(Not Abilities) are Elementally Capped at 100%. (You can't Heal yourself with Basic Attacks)</t>
  </si>
  <si>
    <t>Dismembering a Creature causes it to take 50 Bleed Damage.</t>
  </si>
  <si>
    <t>Stupid attempts, will be rewarded on good rolls...but bad decisionmaking can be punished.</t>
  </si>
  <si>
    <t>Law of Cataclysm: Destroying 3 or more Hexes will cause you to become Banished.</t>
  </si>
  <si>
    <t>Dodging missed attacks causes them to become hits unless you rolled a Critical.</t>
  </si>
  <si>
    <t>Removing 1 Tick of a Status has no effect on constant Statuses. (E.g. Those that are infinite or end at the End of Combat/Day)</t>
  </si>
  <si>
    <t>Law of Truth: All Ability names and their Ranks are publicly announced in Combat when triggered (including Effects, Skills etc.)</t>
  </si>
  <si>
    <t>Ability Costs happen before their effect.</t>
  </si>
  <si>
    <t>Dodging Critical Hits causes the Critical to become Vital giving it +1 Critical Multiplier.</t>
  </si>
  <si>
    <t>You are at your own risk if you decide trusting other Heroes.</t>
  </si>
  <si>
    <t>Law of Balance: If the GM decides some players are very left behind they will buff them accordingly; This rule requires "Problem Children"(Players that reach level 12 or become unreasonably strong too early in the campaign.</t>
  </si>
  <si>
    <t>Sentient Enemies will not trigger Selfdestruct Actives or Powerplay Actives of Gear.</t>
  </si>
  <si>
    <t>You may replace your Quest with a different one if it is available to you.</t>
  </si>
  <si>
    <t>Resting to regain your strength is sometimes needed, don't hesitate to skip a Day to catch your breath.</t>
  </si>
  <si>
    <t>Genocide Path: Upon Engaging in Combat with a Non-Hostile Sentient, you will become Banished and your Excess Banner will immediately attempt to flee.</t>
  </si>
  <si>
    <t>You may Counter a Projectile with your own Counter Projectile Attack, If the Damage is higher the difference is Reflected, otherwise you suffer the Difference.</t>
  </si>
  <si>
    <t>Percentages for Damage Reduction work Multiplicatively / Same for Execution %, You simply roll all the d10's needed. (Only exception is Deflection)</t>
  </si>
  <si>
    <t>Always take a look in your inventory, sometimes you will find a life saving item you forgot you had.</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</si>
  <si>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</si>
  <si>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Natural Rolls: Rolling Nat 1 or 20 on D20 makes it absolute; Eg. it is not affected by roll modifiers; This does work the other way around; E.g. 18+2 triggers the 20 Effect.</t>
  </si>
  <si>
    <t>1/Vendal means once every 5 Days (It is not directly affected by which Vendal it is currently)</t>
  </si>
  <si>
    <t>Roleplay and creativity are rewarded greatly.</t>
  </si>
  <si>
    <t>Law of Statistical Anomaly: If you roll 15 consecutive times a D20 below a 10 you may invoke this Law once per campaign in order to gain between 1 and 3 Faith. (Decided by GM)</t>
  </si>
  <si>
    <t>In Combat you can Flee towards the nearest Direction if on the Outer Layer or if at least 2 Tiles away from the closest Entity.</t>
  </si>
  <si>
    <t>Enemies will not flee unless heavily roleplayed into it, feared, in a situation where they can not damage at all the opponent/realise the threat or overriden.</t>
  </si>
  <si>
    <t>Hostile Entities will not chase Heroes unless they are Taunted, Provoked with Dialogue or Attacks from another Hex, or if it is specified by certain Abilities.</t>
  </si>
  <si>
    <t>When an Entity under a Banner walks in 1 Hex Radius of another or if they cause an Attack the Turn order is given to the Defender.</t>
  </si>
  <si>
    <t>Max Interruptable Stacks: Preparing / Channeling / Gating Stacks are all Capped at a maximum of 5.</t>
  </si>
  <si>
    <t>Attempts can NOT override Cooldowns or other crucial game mechanics no matter what.</t>
  </si>
  <si>
    <t>If you are unsure about something, ask the GM.</t>
  </si>
  <si>
    <t>The Hard Limit of an Elemental Resistance is 200%; If Defense and Dispersion becomes % based then it is capped at 100%.</t>
  </si>
  <si>
    <t>When Dropping a weapon whilst dual wielding you drop your main hand unless your only weapon is in your off-hand.</t>
  </si>
  <si>
    <t>Not everything in the Planes is trying to kill you...no...wait...</t>
  </si>
  <si>
    <t>Self Dismemberment: Heroes can choose to Dismember themselves (on their chosen Slot); Doing this removes Rotting, all Ticks of Fear, Confused, Mid Control and Charm.</t>
  </si>
  <si>
    <t>Attempts do NOT have Reflex.</t>
  </si>
  <si>
    <t>Artifacts lowest Rarity is Legendary...but they are harder to obtain than other Legendary Gear.</t>
  </si>
  <si>
    <t>Ranged Weapon Damage Reduction increases by 25% with each Hex; Up to a minimum of 25% (E.g. Shooting at someone 1 Hex Away will have 25% Damage Penalty)</t>
  </si>
  <si>
    <t>On Day 1 You get Double your Base Stamina unless Overriden by GM for the respective campaign.</t>
  </si>
  <si>
    <t>Movement Attempts are capped at 3 per Day per Entity.</t>
  </si>
  <si>
    <t>If a Condition such as Blessed by the Gods is removed, but the Entity still has Faith, it gets reapplied at the Start of their Turn.</t>
  </si>
  <si>
    <t>When you remove Gear that grants you Health, you will lose that health...if your Health is below that threshold...you will die.</t>
  </si>
  <si>
    <t>Wards grant Vision if placed inside a Forest but won't let you see past other Forests or Mountains.</t>
  </si>
  <si>
    <t>Failing to Traverse a Hex still Consumes the Stamina used!</t>
  </si>
  <si>
    <t>Read the keywords, understand them and make use of them in battle.</t>
  </si>
  <si>
    <t>Banner Carry: You may carry 1 other Entity to another Hex but that Traversal will cost you double its Stamina; Hex Effects such as Damage apply to both Entities.</t>
  </si>
  <si>
    <t>All Mimics do not leave Corpses behind.</t>
  </si>
  <si>
    <t>There are many Ability types, understand their uses.</t>
  </si>
  <si>
    <t>Upon Hero death OR Dismisal, their Banner becomes neutral and remains stationary unless interacted with. They disappear on day reset, unless overridden.</t>
  </si>
  <si>
    <t>Zone guards cannot be taunted</t>
  </si>
  <si>
    <t>Silly Ideas have won games in the past...ti's a silly place.</t>
  </si>
  <si>
    <t>Mercenaries do not drop gold upon Death. They also cannot use Exploration.</t>
  </si>
  <si>
    <t>All Sentient Legends are Considered Heroes if the Hero has Transformed into them, otherwise Companions.</t>
  </si>
  <si>
    <t>You may choose to chop off your arms and legs, in order to remove Rot.</t>
  </si>
  <si>
    <t>You cannot attempt to cast Abilities without Resonance.</t>
  </si>
  <si>
    <t>If Mana Locked is higher than Max Mana then the remaining Mana becomes Locked Health instead.</t>
  </si>
  <si>
    <t>Building Gear Sets can improve your survival odds greatly!</t>
  </si>
  <si>
    <t>Minions do not drop XP and loot upon death.</t>
  </si>
  <si>
    <t>You may choose to have your character say "Skyra" at the beginning of an 8 Ones Campaign, in the first day. If you do so you enter Torment Mode. (WARNING: Difficulty is increased a lot!)</t>
  </si>
  <si>
    <t>You may Potion Craft at Zones (Regardless if Pillaged or not)</t>
  </si>
  <si>
    <t>Allies are not allies, they are temporary non hostiles. </t>
  </si>
  <si>
    <t>Players can not interact with Combats of two other Entities from different Banners/Pve; If the Hero is in 1 Hex Range of the Combat they will gain the initiaitve upon its completion.</t>
  </si>
  <si>
    <t>Losing Health and Taking Damage are separate mechanics! NEITHER WORKS FROM EITHER!</t>
  </si>
  <si>
    <t>If a Player attacks another Player from Multi-Hex Range then the initiative commences and actions are taken on a turn based basis.</t>
  </si>
  <si>
    <t>There are at least 2 Entities needed for Combat.</t>
  </si>
  <si>
    <t>Hex Destruction: Hexes can be Converted to Normal Plains if Hit by 500 Total Damage and Destroyed if they are hit with 1000 Damage or more.</t>
  </si>
  <si>
    <t>Dodged Attacks are NOT missed attacks</t>
  </si>
  <si>
    <t>Be careful, some chests can be guarded! Keep your eyes peeled!</t>
  </si>
  <si>
    <t>Mind Controlled Amputation: You can not force an Entity that you Mind Control to Dismember themselves without an Attempt with a 16 or above.</t>
  </si>
  <si>
    <t>Astral Gear is worth 3000 Gold.</t>
  </si>
  <si>
    <t>Rowing Boats: The Boat can be Rowed by 1 Sentient Entity, moving all others on the boat, that Entity will spend Stamina equal to Traversal Cost of Hex; Crew has its own Separate 3 Stamina(by Default) which allows Hex Traversal; Crew may NOT attempt.</t>
  </si>
  <si>
    <t>Zones can not be used mid Combat which means Potions can only be crafted in combat if you have the skill.</t>
  </si>
  <si>
    <t>Wards can not be Placed on Water/Lava Hexes.</t>
  </si>
  <si>
    <t>On turn start this is the order of effects: Statuses First &gt; Passive Ticks &gt; Other Effects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</si>
  <si>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</si>
  <si>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Legends Drop Mythic Ore/Mythic Gear for Creatures/Sentients.</t>
  </si>
  <si>
    <t>We ain't blind: You can always tell if Entities you have Vision of in Map Phase are in Combat or not.</t>
  </si>
  <si>
    <t>Attempting to carry another Entity whilst having 0 Stamina will cause you roll for moving without Stamina.</t>
  </si>
  <si>
    <t>A Legendary Mimic becomes an exact copy of a Hero encountering it on Combat Start; It counts as a Guardian; It always goes last in initiative overriding everything; It drops a Random Mythic Gear and 1000 Experience.</t>
  </si>
  <si>
    <t>A permanent status will apply a 1 tick of that particular status at the start of your turn for as long as the conditions are met if any exist. </t>
  </si>
  <si>
    <t>Heroes give Experience equal to their Level multiplied by 200 (200 Xp per Level); Companions - Level multiplied by 100 (100 Xp per Companion Level).</t>
  </si>
  <si>
    <t>The Keyword that causes Abilities to cost less "Resource" only affect the following: MANA; FOCUS; RAGE; SOUL</t>
  </si>
  <si>
    <t>Rolling a 1 on Throwables will simply be a miss.</t>
  </si>
  <si>
    <t>If you are unable to do an Action you are Forced to do on your turn then you may do any other available Action.</t>
  </si>
  <si>
    <t>A Mind Controlled Entity's Attacks do not count as their own; This means they will not trigger banishment if someone mind controlls you and uses you to attack your followers.</t>
  </si>
  <si>
    <t>Statuses are still applied even if you are Immune to their effects.</t>
  </si>
  <si>
    <t>Gear/Items that were sold at a Market can be repurchased by the Hero that sold them. They disappear with the next Vendal.</t>
  </si>
  <si>
    <t>If by any chance there are no longer any Legendary Gear left in the pool when someone opens a Legendary Chest, then they will get a Mythic Gear instead...so on and so forth for any Unique Rarity.</t>
  </si>
  <si>
    <t>All Potions have Hidden; They can be drunk or thrown without announcing their names; The same does not go for Scrolls.</t>
  </si>
  <si>
    <t>Only the highest Merchant Discount Effect will be taken into Consideration.</t>
  </si>
  <si>
    <t>All randomly gained abilities not learned from level ups; will always be Rank 1. </t>
  </si>
  <si>
    <t>Traps affect the Entire Hex.</t>
  </si>
  <si>
    <t>Addiction Prevention: You may only Consume one of each Drugs.</t>
  </si>
  <si>
    <t>Heroes Fleeing from Combat without Stamina does not count towards a Movement Attempt. (This is intentional to benefit the fleeing Hero; Specifically only applies to Heroes)</t>
  </si>
  <si>
    <t>You are unable to Basic Attack with a Shield as it is considered Armor. (May still Attempt)</t>
  </si>
  <si>
    <t>Time Exists: An Entity can only Traverse up to 10 Hexes per Day including the 3 Attempts without Movement; This is also applied to Traversal from Fleeing.</t>
  </si>
  <si>
    <t>If you would go below 0 Max Mana when Un-equipping a Gear(Negative Mana Abilities override this) you Lose Health equal to Excess Mana; Once done you won't be able to Gain Mana from Gear Stats until End of Day.</t>
  </si>
  <si>
    <t>Unless Health is specified as being Max Health or Base Health, you should always assume Current Health.</t>
  </si>
  <si>
    <t>Unique Gear that is Destroyed is removed from the Item Pool until End of Campaign. (Does not count for Sold, Lost, Sacrificed at shrine, etc)</t>
  </si>
  <si>
    <t>If you are in the Outer Layer and are being pushed towards a non-existing Tile, nothing will happen.</t>
  </si>
  <si>
    <t>When Subtracting Stats always leave the Base stats Last (E.g. If Target loses 5 Strength and they have 7 with 3 Base, they will be at 4 Base left)</t>
  </si>
  <si>
    <t>As long as an Entity is adjacent to you and is Action impaired, you may use Potions on them by forcing the potion down their throat.</t>
  </si>
  <si>
    <t>Thrown Weapons (Not Throwables) have Recoverable by default.</t>
  </si>
  <si>
    <t>Falling off the map, teleporting to, being summoned or reviving on a Hex does not count as Traversing said Hex.</t>
  </si>
  <si>
    <t>Losing Stamina and going negative you will lose 25 Health per 0.5 Stamina.</t>
  </si>
  <si>
    <t>Name</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</si>
  <si>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</si>
  <si>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</si>
  <si>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</si>
  <si>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</si>
  <si>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</si>
  <si>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</si>
  <si>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</si>
  <si>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</si>
  <si>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</si>
  <si>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</si>
  <si>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</si>
  <si>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</si>
  <si>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</si>
  <si>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</si>
  <si>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</si>
  <si>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500 Gold</t>
  </si>
  <si>
    <t>Exploration Invoice</t>
  </si>
  <si>
    <t>Explore 3 Hexes</t>
  </si>
  <si>
    <t>Random Rare Jewlery</t>
  </si>
  <si>
    <t>Savior of the unfortunate</t>
  </si>
  <si>
    <t>Spend 500 Gold to Help the poor in any Zone. (Lose 500 Gold)</t>
  </si>
  <si>
    <t>200 Experience; 1 Random Rare Ingredient</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</si>
  <si>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</si>
  <si>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</si>
  <si>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</si>
  <si>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</si>
  <si>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</si>
  <si>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</si>
  <si>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</si>
  <si>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</si>
  <si>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</si>
  <si>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</si>
  <si>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</si>
  <si>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</si>
  <si>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</si>
  <si>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</si>
  <si>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</si>
  <si>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</si>
  <si>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</si>
  <si>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</si>
  <si>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</si>
  <si>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</si>
  <si>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</si>
  <si>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</si>
  <si>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</si>
  <si>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</si>
  <si>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</si>
  <si>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</si>
  <si>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</si>
  <si>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</si>
  <si>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</si>
  <si>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</si>
  <si>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</si>
  <si>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</si>
  <si>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</si>
  <si>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</si>
  <si>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</si>
  <si>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</si>
  <si>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</si>
  <si>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</si>
  <si>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</si>
  <si>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</si>
  <si>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</si>
  <si>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</si>
  <si>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</si>
  <si>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</si>
  <si>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</si>
  <si>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</si>
  <si>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</si>
  <si>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</si>
  <si>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</si>
  <si>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</si>
  <si>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</si>
  <si>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1500 Gold</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</si>
  <si>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</si>
  <si>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</si>
  <si>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</si>
  <si>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</si>
  <si>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</si>
  <si>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</si>
  <si>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</si>
  <si>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</si>
  <si>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</si>
  <si>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</si>
  <si>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</si>
  <si>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</si>
  <si>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</si>
  <si>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</si>
  <si>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</si>
  <si>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</si>
  <si>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</si>
  <si>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</si>
  <si>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</si>
  <si>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</si>
  <si>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</si>
  <si>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</si>
  <si>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</si>
  <si>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</si>
  <si>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</si>
  <si>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</si>
  <si>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</si>
  <si>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</si>
  <si>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</si>
  <si>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</si>
  <si>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</si>
  <si>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</si>
  <si>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</si>
  <si>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</si>
  <si>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</si>
  <si>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</si>
  <si>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</si>
  <si>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</si>
  <si>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</si>
  <si>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</si>
  <si>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300 Experience; 2 Rare Ingredients</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</si>
  <si>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</si>
  <si>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</si>
  <si>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</si>
  <si>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</si>
  <si>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</si>
  <si>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</si>
  <si>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</si>
  <si>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</si>
  <si>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</si>
  <si>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</si>
  <si>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</si>
  <si>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</si>
  <si>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</si>
  <si>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</si>
  <si>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</si>
  <si>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</si>
  <si>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</si>
  <si>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</si>
  <si>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</si>
  <si>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</si>
  <si>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</si>
  <si>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</si>
  <si>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</si>
  <si>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</si>
  <si>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</si>
  <si>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</si>
  <si>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</si>
  <si>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</si>
  <si>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</si>
  <si>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</si>
  <si>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</si>
  <si>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</si>
  <si>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</si>
  <si>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</si>
  <si>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</si>
  <si>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</si>
  <si>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</si>
  <si>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</si>
  <si>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</si>
  <si>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</si>
  <si>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</si>
  <si>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</si>
  <si>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</si>
  <si>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</si>
  <si>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</si>
  <si>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</si>
  <si>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</si>
  <si>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</si>
  <si>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</si>
  <si>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</si>
  <si>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</si>
  <si>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</si>
  <si>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</si>
  <si>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</si>
  <si>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</si>
  <si>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</si>
  <si>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</si>
  <si>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</si>
  <si>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</si>
  <si>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</si>
  <si>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</si>
  <si>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</si>
  <si>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</si>
  <si>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</si>
  <si>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</si>
  <si>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</si>
  <si>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</si>
  <si>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</si>
  <si>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</si>
  <si>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</si>
  <si>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</si>
  <si>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</si>
  <si>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</si>
  <si>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</si>
  <si>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</si>
  <si>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</si>
  <si>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</si>
  <si>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</si>
  <si>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</si>
  <si>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</si>
  <si>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</si>
  <si>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</si>
  <si>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</si>
  <si>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</si>
  <si>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</si>
  <si>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</si>
  <si>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</si>
  <si>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</si>
  <si>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</si>
  <si>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</si>
  <si>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</si>
  <si>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</si>
  <si>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</si>
  <si>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</si>
  <si>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</si>
  <si>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</si>
  <si>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</si>
  <si>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</si>
  <si>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</si>
  <si>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</si>
  <si>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</si>
  <si>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</si>
  <si>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</si>
  <si>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</si>
  <si>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</si>
  <si>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</si>
  <si>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</si>
  <si>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</si>
  <si>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</si>
  <si>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</si>
  <si>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</si>
  <si>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</si>
  <si>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</si>
  <si>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</si>
  <si>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</si>
  <si>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</si>
  <si>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</si>
  <si>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</si>
  <si>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</si>
  <si>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</si>
  <si>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</si>
  <si>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</si>
  <si>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</si>
  <si>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</si>
  <si>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</si>
  <si>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</si>
  <si>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</si>
  <si>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</si>
  <si>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</si>
  <si>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</si>
  <si>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</si>
  <si>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</si>
  <si>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</si>
  <si>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</si>
  <si>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</si>
  <si>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</si>
  <si>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</si>
  <si>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</si>
  <si>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</si>
  <si>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</si>
  <si>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</si>
  <si>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</si>
  <si>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</si>
  <si>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</si>
  <si>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</si>
  <si>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</si>
  <si>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</si>
  <si>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</si>
  <si>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</si>
  <si>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</si>
  <si>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</si>
  <si>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</si>
  <si>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</si>
  <si>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</si>
  <si>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</si>
  <si>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</si>
  <si>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</si>
  <si>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</si>
  <si>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</si>
  <si>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</si>
  <si>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</si>
  <si>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</si>
  <si>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</si>
  <si>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</si>
  <si>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</si>
  <si>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</si>
  <si>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</si>
  <si>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</si>
  <si>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</si>
  <si>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</si>
  <si>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</si>
  <si>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</si>
  <si>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</si>
  <si>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</si>
  <si>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</si>
  <si>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</si>
  <si>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</si>
  <si>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</si>
  <si>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</si>
  <si>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</si>
  <si>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</si>
  <si>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</si>
  <si>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</si>
  <si>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</si>
  <si>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</si>
  <si>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</si>
  <si>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</si>
  <si>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</si>
  <si>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</si>
  <si>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</si>
  <si>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</si>
  <si>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</si>
  <si>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</si>
  <si>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</si>
  <si>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</si>
  <si>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</si>
  <si>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</si>
  <si>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</si>
  <si>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</si>
  <si>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</si>
  <si>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</si>
  <si>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</si>
  <si>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</si>
  <si>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</si>
  <si>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</si>
  <si>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</si>
  <si>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</si>
  <si>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</si>
  <si>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</si>
  <si>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</si>
  <si>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</si>
  <si>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</si>
  <si>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</si>
  <si>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</si>
  <si>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</si>
  <si>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</si>
  <si>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</si>
  <si>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</si>
  <si>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</si>
  <si>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</si>
  <si>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</si>
  <si>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</si>
  <si>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</si>
  <si>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</si>
  <si>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</si>
  <si>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</si>
  <si>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</si>
  <si>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</si>
  <si>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</si>
  <si>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</si>
  <si>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</si>
  <si>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</si>
  <si>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</si>
  <si>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</si>
  <si>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</si>
  <si>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</si>
  <si>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</si>
  <si>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</si>
  <si>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</si>
  <si>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</si>
  <si>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</si>
  <si>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</si>
  <si>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</si>
  <si>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</si>
  <si>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</si>
  <si>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</si>
  <si>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</si>
  <si>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</si>
  <si>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</si>
  <si>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</si>
  <si>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</si>
  <si>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</si>
  <si>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</si>
  <si>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</si>
  <si>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</si>
  <si>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</si>
  <si>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</si>
  <si>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</si>
  <si>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</si>
  <si>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</si>
  <si>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</si>
  <si>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</si>
  <si>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</si>
  <si>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</si>
  <si>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</si>
  <si>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</si>
  <si>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</si>
  <si>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</si>
  <si>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</si>
  <si>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</si>
  <si>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</si>
  <si>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</si>
  <si>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</si>
  <si>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</si>
  <si>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</si>
  <si>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</si>
  <si>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</si>
  <si>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</si>
  <si>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</si>
  <si>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</si>
  <si>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</si>
  <si>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</si>
  <si>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</si>
  <si>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</si>
  <si>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</si>
  <si>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</si>
  <si>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</si>
  <si>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</si>
  <si>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</si>
  <si>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</si>
  <si>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</si>
  <si>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</si>
  <si>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</si>
  <si>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</si>
  <si>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</si>
  <si>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</si>
  <si>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</si>
  <si>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</si>
  <si>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</si>
  <si>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</si>
  <si>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</si>
  <si>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</si>
  <si>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</si>
  <si>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</si>
  <si>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</si>
  <si>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</si>
  <si>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</si>
  <si>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</si>
  <si>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</si>
  <si>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</si>
  <si>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</si>
  <si>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</si>
  <si>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</si>
  <si>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</si>
  <si>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</si>
  <si>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</si>
  <si>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</si>
  <si>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</si>
  <si>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</si>
  <si>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</si>
  <si>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</si>
  <si>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</si>
  <si>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</si>
  <si>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</si>
  <si>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</si>
  <si>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</si>
  <si>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</si>
  <si>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</si>
  <si>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</si>
  <si>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</si>
  <si>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</si>
  <si>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</si>
  <si>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</si>
  <si>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</si>
  <si>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</si>
  <si>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</si>
  <si>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</si>
  <si>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</si>
  <si>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</si>
  <si>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</si>
  <si>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</si>
  <si>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</si>
  <si>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</si>
  <si>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</si>
  <si>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</si>
  <si>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</si>
  <si>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</si>
  <si>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</si>
  <si>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</si>
  <si>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</si>
  <si>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</si>
  <si>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</si>
  <si>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</si>
  <si>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</si>
  <si>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</si>
  <si>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</si>
  <si>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</si>
  <si>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</si>
  <si>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</si>
  <si>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</si>
  <si>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</si>
  <si>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</si>
  <si>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</si>
  <si>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</si>
  <si>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</si>
  <si>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</si>
  <si>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</si>
  <si>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</si>
  <si>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</si>
  <si>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</si>
  <si>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</si>
  <si>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</si>
  <si>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</si>
  <si>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</si>
  <si>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</si>
  <si>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</si>
  <si>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</si>
  <si>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</si>
  <si>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</si>
  <si>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</si>
  <si>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</si>
  <si>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</si>
  <si>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</si>
  <si>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</si>
  <si>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</si>
  <si>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</si>
  <si>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</si>
  <si>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</si>
  <si>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</si>
  <si>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</si>
  <si>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</si>
  <si>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</si>
  <si>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</si>
  <si>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</si>
  <si>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</si>
  <si>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</si>
  <si>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</si>
  <si>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</si>
  <si>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</si>
  <si>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</si>
  <si>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</si>
  <si>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</si>
  <si>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</si>
  <si>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</si>
  <si>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</si>
  <si>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</si>
  <si>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</si>
  <si>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</si>
  <si>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</si>
  <si>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</si>
  <si>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</si>
  <si>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</si>
  <si>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</si>
  <si>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</si>
  <si>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Just the Handle: One-handed Melee Sword; 4 Physical Damage; On Hit: Inflicts 1 Turn of Confusion.</t>
  </si>
  <si>
    <t>Uncommon:</t>
  </si>
  <si>
    <t>Lightsteel Sword: One-handed Melee Sword; 7-9 Physical Damage.</t>
  </si>
  <si>
    <t>The Merciful: One-handed Melee Sword; 1 True Damage; 50% Deflection; Active: (≈) Heal Damage taken last turn. (1/Day)</t>
  </si>
  <si>
    <t>Claymore: Two-handed Melee Sword; 11-14 Physical Damage.</t>
  </si>
  <si>
    <t>Wayfarer Greatblade: Two-handed Melee Sword; 10–13 Physical Damage; Active: (≈) Basic Attack Target Entity striking all Entities adjacent to both yourself and Target. (1/Combat)</t>
  </si>
  <si>
    <t>Sharpened Spear: One-handed Melee Spear; 8-10 Physical Damage.</t>
  </si>
  <si>
    <t>Longnail: Two-handed Melee Spear; 12 Physical Damage.</t>
  </si>
  <si>
    <t>Phallanxion: Two-handed Melee Spear; 10 Physical Damage; Passive: Basic Attack Targets that move in melee range of you during their turn. (1/Entity/Combat)</t>
  </si>
  <si>
    <t>Spiked Pole: Two-Handed Melee Spear; 10-13 Physical Damage; Active: (≈) Can be used to jump over Target Tile landing on the one next to it in the same cardinal direction; Can be Used while Rooted. </t>
  </si>
  <si>
    <t>Spear of Destiny: Two Handed Spear; 4 Physical Damge; 4 Magic Damage; Active: Basic Attack Target with a Nat 20 Roll. (1/Day)</t>
  </si>
  <si>
    <t>Woodcleaver: One-handed Melee Axe; 5–11 Physical Damage; On Hit: 40% Chance to Reduce Targets Defense by 4.</t>
  </si>
  <si>
    <t>Splitmast: Two-handed Melee Axe; 10–12 Physical Damage; Active: (≈) Double the Total Damage of your next Basic Attack. (1/Day)</t>
  </si>
  <si>
    <t>Bellringer: One-handed Melee Mace; 5 Physical Damage; On Hit: 10% chance to Stun Target for 1 Turn.</t>
  </si>
  <si>
    <t>Field Maul: Two-handed Melee Mace; 10–12 Physical Damage; On Hit: 20% chance to Inflict Slow for 2 Turns.</t>
  </si>
  <si>
    <t>Deadly Bozdogan: Two-handed Melee Mace; 9-13 Physical Damage; On Crit: 15 Bleed Damage.</t>
  </si>
  <si>
    <t>Steel Flail: One-handed Melee Flail; 6-10 Physical Damage.</t>
  </si>
  <si>
    <t>Trialram: Two-handed Melee Flail; 11-12 Physical Damage; On Hit: Reduce Targets Defense by 2 until End of Combat.</t>
  </si>
  <si>
    <t>Divine Downpour: Two-handed Melee Flail; 25 Physical Damage; Passive: This weapon gains 10 Holy Damage On Hit for every Basic Attack done by any entity this combat.</t>
  </si>
  <si>
    <t>Lost Devastor: One-handed Melee Warhammer; 0 Physical Damage; +1.5 Critical Multiplier.</t>
  </si>
  <si>
    <t>Hard-rock Hammer: Two-handed Melee Warhammer; 12 Physical Damage.</t>
  </si>
  <si>
    <t>Time Stopper: Two-handed Melee Warhammer; Set Piece; 12-16 Physical Damage; Passive: Landing a Critical Hit will cause time to stop. allowing the Hero to do one more Action.</t>
  </si>
  <si>
    <t>Knotclub: One-handed Melee Club; 7-10 Physical Damage.</t>
  </si>
  <si>
    <t>Stoutstick: Two-handed Melee Club; 10 Physical Damage; On Hit: Inflict Stagger for 1 Turn.</t>
  </si>
  <si>
    <t>Porcupine: Two-handed Melee Club; 12 Physical Damage; On Hit: Decrease Target Defense by 10% of their max Defense Until End of Combat.</t>
  </si>
  <si>
    <t>Dragontooth: Two-handed Melee Club; 40 Physical Damage.</t>
  </si>
  <si>
    <t>Sweepedge: Two-handed Melee Glaive; 10–13 Physical Damage; Passive: Basic Attacks also hit Entities adjacent to both yourself and Target.</t>
  </si>
  <si>
    <t>Steel Halberd: Two-handed Melee Halberd; 13 Physical Damage.</t>
  </si>
  <si>
    <t>Dull Quickblade: One-handed Melee Knife; 2 Physical Damage; Composite: Your Basic attack has Counter.</t>
  </si>
  <si>
    <t>Sharpened Scythe: Two-handed Melee Scythe; 11-15 Physical Damage.</t>
  </si>
  <si>
    <t>War Scythe: Two-handed Melee Scythe; 12-17 Physical Damage.</t>
  </si>
  <si>
    <t>Sand Sweeper: Two-handed Melee Scythe; 10-16 Physical Damage; Active: (≈) Transforms current Hex into a Desert Hex. (2/Day)</t>
  </si>
  <si>
    <t>Leather Whip: One-handed Half-Ranged Whip; 6 Physical Damage; On Hit: 6 Physical Damage.</t>
  </si>
  <si>
    <t>Rangers Bow: Two-handed Ranged Bow; 10-12 Physical Damage.</t>
  </si>
  <si>
    <t>Latchetbow: One-handed Ranged Crossbow; 9 Physical Damage; 1 Capacity; Active: (≈) Flash; Reload. (1/Combat)</t>
  </si>
  <si>
    <t>Windlass: Two-handed Ranged Crossbow; 13–17 Physical Damage; 1 Capacity; Active: (&gt;) [Requires Positive Wind Resistance] Fire a shot that at Target ignoring Defense % equal to your Wind Resistance. (1/Combat)</t>
  </si>
  <si>
    <t>Pocket Flint: One-handed Ranged Pistol; 10 Physical Damage; 1 Ammo Capacity.</t>
  </si>
  <si>
    <t>Clearbore: Two-handed Ranged Rifle; 12–14 Physical Damage; 1 Capacity</t>
  </si>
  <si>
    <t>Prestine Staff: Two-handed Melee Staff; 6 Physical Damage; +6 Power.</t>
  </si>
  <si>
    <t>Sealrod: Two-handed Ranged Scepter; 7-9 Magic Damage; Active: (&gt;) Seal Target Entity for 3 Turns. (1/Day)</t>
  </si>
  <si>
    <t>Runebirch: One-handed Ranged Wand; 10 Magic Damage; Passive: This Gear has 2 Rune Slots; Active: Selfdestruct; Grant Target Gear 1 Rune Slot.</t>
  </si>
  <si>
    <t>Glyphstone: One-handed Ranged Orb; 8 Magic Damage; +1 Power.</t>
  </si>
  <si>
    <t>Tome of Power: Off Hand Tome; +5 Power.</t>
  </si>
  <si>
    <t>Tome of Mana: Off Hand Tome; +80 Mana.</t>
  </si>
  <si>
    <t>Entropic Sigil; Off Hand Sigil; +2 Power; + 2 Strength; +2 Dexterity; Active: (+) Remove Target Non-Impairing Status effect from Target Entity.</t>
  </si>
  <si>
    <t>Blue Sigil: Off Hand Sigil; +8 Power.</t>
  </si>
  <si>
    <t>Red Sigil: Off Hand Sigil; +8 Strength.</t>
  </si>
  <si>
    <t>Yellow Sigil: Off Hand Sigil; +8 Dexterity.</t>
  </si>
  <si>
    <t>Tinker’s Buckler: Off Hand Buckler; Blocks 15% of incoming Physical Damage; +30 Health.</t>
  </si>
  <si>
    <t>Wallguard: Off Hand Shield; Blocks 20% of incoming Physical Damage.</t>
  </si>
  <si>
    <t>Barbed Quiver: Ammunition Slot Quiver; Provides Arrows for the use of Bows and Crossbows; Passive: Fired Arrows deal 8 Physical Damage on Hit.</t>
  </si>
  <si>
    <t>Packed Pouch: Ammunition Slot Pouch; Provides Pellets; Passive: Fired Pellets deal +8 Physical Damage on Hit.</t>
  </si>
  <si>
    <t>Bronze Cap: Head Set Piece; +2 Defense; +1 Strength; +10% Bleed Resistance.</t>
  </si>
  <si>
    <t>Focus Circlet: Head Piece; +1 Dispersion; +1 Power; +20 Mana.</t>
  </si>
  <si>
    <t>Quilted Hood: Head Piece; +1 Defense; +20 Health; +1 Dexterity.</t>
  </si>
  <si>
    <t>Felt Widebrim: Head Piece; +3 Dispersion; +1 Power.</t>
  </si>
  <si>
    <t>Layered Pauldrons: Shoulder Piece; +2 Defense; +1 Strength; +10% Bleed Resistance.</t>
  </si>
  <si>
    <t>Reinforced Spaulders: Shoulder Piece; +3 Defense; +1 Dispersion.</t>
  </si>
  <si>
    <t>Scout’s Cape: Shoulder Piece; +1 Mobility.</t>
  </si>
  <si>
    <t>Woolen Shawl: Shoulder Piece; +3 Power; +20 Health.</t>
  </si>
  <si>
    <t>Iron Chainshirt: Body Piece; +3 Defense; +20% Bleed Resistance.</t>
  </si>
  <si>
    <t>Bronze Cuirass: Body Set Piece; +2 Defense; +1 Dispersion; +10% Bleed Resistance.</t>
  </si>
  <si>
    <t>The Vest from West: Body Piece; +4 Dexterity.</t>
  </si>
  <si>
    <t>Apprentices Robes: Body Piece; +1 Dispersion; +1 Power; +10 Mana; +10% Fortitude.</t>
  </si>
  <si>
    <t>Embroidered Sleeves: Arms Piece; +2 Dispersion; +2 Power.</t>
  </si>
  <si>
    <t>Ranger’s Bands: Arms Piece; +1 Defense; +2 Dexterity; +10% Poison Resistance.</t>
  </si>
  <si>
    <t>Worker’s Gauntlets: Hand Piece; 2 Strength; Active: (≈) [Requires you to be in any Zone] Work for 500 Gold. (1 Stamina; 1/Day; 1/Zone)</t>
  </si>
  <si>
    <t>Padded Handguards: Hand Piece; +2 Defense; +20 Health.</t>
  </si>
  <si>
    <t>Studded Gloves: Hand Piece; +1 Defense; +2 Dexterity; +10% Frost Resistance.</t>
  </si>
  <si>
    <t>Grip Wraps: Hand Piece; 10% Deflection.</t>
  </si>
  <si>
    <t>Reinforced Cuisses: Leg Piece; +2 Defense; +2 Strength.</t>
  </si>
  <si>
    <t>Riveted Faulds: Leg Piece; +2 Defense; +2 Dispersion.</t>
  </si>
  <si>
    <t>Padded Breeches: Leg Piece; +20 Health; +1 Defense; +1 Dexterity.</t>
  </si>
  <si>
    <t>Traditional Leggings: Leg Piece; +2 Dispersion; +20 Health.</t>
  </si>
  <si>
    <t>Thigh Highs: Leg Piece; +4 Dispersion; +4 Dexterity; +20% Deflection; Passive: Charm the attacker for 1 Turn when your Deflection is Triggered; Entities you Charm also become Vulnerable for the same Duration.</t>
  </si>
  <si>
    <t>Bronze Sabatons: Feet Set Piece; +3 Defense; +10% Bleed Resistance.</t>
  </si>
  <si>
    <t>Reinforced Greaves; Feet Piece; +2 Defense; +2 Strength.</t>
  </si>
  <si>
    <t>Traveller’s Boots: Feet Set Piece; +1 Stamina; -20% Wind Resistance; -20% Earth Resistance; -20% Bleed Resistance.</t>
  </si>
  <si>
    <t>Woven Sandals: Feet Piece; +1 Mobility; +20% Fire Resistance.</t>
  </si>
  <si>
    <t>Ring of Empowerment: Ring Piece; +2 Strength, +2 Dexterity, +2 Power.</t>
  </si>
  <si>
    <t>Featherfall Ring: Ring Piece; Passive: You no longer Lose Health when Falling off the map.</t>
  </si>
  <si>
    <t>Blacksmiths Ring: Ring Piece; Passive: When Crafting Non-Unique Metal Type Gear at the Foundry you may choose the option.</t>
  </si>
  <si>
    <t>Fossil Ring: Ring Piece; Passive: Exploring a Hex guarantees an extra Bone Marrow regardless of roll.</t>
  </si>
  <si>
    <t>Smiling Ring: Ring Piece; Active: Flash; Grant your next D20 Roll +1. (1/Day)</t>
  </si>
  <si>
    <t>Screeching Ring; Ring Piece; Active: Taunt Target Non-Heroic Entity in 1 Hex range forcing them to come to you. (1/Day)</t>
  </si>
  <si>
    <t>Silkmakers Ring: Ring Piece; Passive: When Crafting Non-Unique Cloth Type Gear at the Foundry you may choose the option.</t>
  </si>
  <si>
    <t>Raven Ring: Ring Piece; Passive: Gain +1 Hex Range on Abilities/Attacks that have Hex Range.</t>
  </si>
  <si>
    <t>Silver Ring: Ring Set Piece; Passive: Gain 20% Total Damage against Demons; Divine, Undead and Faeries.</t>
  </si>
  <si>
    <t>Ring of Madness: Ring Piece; Passive: At the start of your Turn in Combat all Entities on Hex Lose 10 Health.</t>
  </si>
  <si>
    <t>Elvish Ring: Ring Piece; Passive: Gain the Stealth Condition.</t>
  </si>
  <si>
    <t>Unknown Guidance: Necklace Piece; Active: Reveal the direction of closest Random Landmark. (2/Day)</t>
  </si>
  <si>
    <t>Necklace of Regret: Necklace Piece; On Hit: 4 Dark Damage; Passive: Whenever you Roll a 1 on Landmarks or Encounters Increase the On Hit Damage of this Gear by 4.</t>
  </si>
  <si>
    <t>Necklace of Rain: Necklace Piece; +20% Frost Resistance; Active: Inflict Target with Wet for 3 Turns. (1/Day)</t>
  </si>
  <si>
    <t>Glassmakers Necklace: Necklace Piece; Active: Counter; Gain 30% Deflection until the start of your next Turn. (1/Combat)</t>
  </si>
  <si>
    <t>Hermits Necklace: Necklace Pieve; Active: Counter; Gain 30% Fortitude until the start of your next Turn. (1/Combat)</t>
  </si>
  <si>
    <t>Stagehands Bowtie: Artifact; It is a Bowtie; Passive: Your Non-Ultimate Abilities have Hidden and your Damage dealing Ultimate Abilities have 20% Lifedrain.</t>
  </si>
  <si>
    <t>Orb of Infinity: Artifact; (Knowledge) ARCANE The User Gains 1000 Mana.</t>
  </si>
  <si>
    <t>Fury Stone: Artifact; (Smell) FIRE The User has +40 Strength.</t>
  </si>
  <si>
    <t>Kog'Dal Egg: Artifact; (Kintetic) EARTH Passive: Immunity to Earth Damage; +400 Health; +10 Dispersion; +10 Defense.</t>
  </si>
  <si>
    <t>Void Heart: Artifact; (Absence) DARKNESS The User Becomes one with the Void; Stats are Hidden; Every Action is Hidden; Can not be Overriden.</t>
  </si>
  <si>
    <t>Exodus Lightseeker: Artifact; (Sight) LIGHT The User Gains the Ability to Incinerate every other Entity on Hex for 200 Light Damage. (1/Day)</t>
  </si>
  <si>
    <t>Ortogot Fangs: Artifact; (Hearing) WIND The User Gains Counter on all Actions and is now Able to detect Invisible Entities and Objects.</t>
  </si>
  <si>
    <t>Null Breaker Artifact; (Feeling) FROST User Gains ability: Every Third Turn in Combat. all Other Entities become Frozen for 2 Turns.</t>
  </si>
  <si>
    <t>Final Shard Artifact; (Magnetic) LIGHTNING Passive: Gain 1 Action and 1 Flash Action.</t>
  </si>
  <si>
    <t>The Xernovol: Artifact; It is a Book containing all the information in the Planes; Complete knowledge over everything; Access to The entire Map; Active: (+) Instant; Cause Targets next Roll to be any number you wish. (1/Day)</t>
  </si>
  <si>
    <t>Start the Game with 2 Random Uncommon Ingredients.</t>
  </si>
  <si>
    <t>(≈) To Take is To Give: Burry Target Gear/Item into the Ground destroying it in the process; Restoring 10 Health per rarity. (1/Day)</t>
  </si>
  <si>
    <t>(+) Alchemical Process - Multiplication: Create a copy of Target Common, Uncommon, Rare or Epic Gear/Item. (30 Mana)</t>
  </si>
  <si>
    <t>Sells Gear of Varying Rarities; 4 Commons, 3 Rares, 2 Epics, 1 Legendary. (200/400/600/800/1000 Gold For Common/Uncommon/Rare/Epic/Legendary)</t>
  </si>
  <si>
    <t>After the first Vendal Markets Sell 1 Legendary Artifact. (1500 Gold) / After the Second Vendal Markets also Sell 1 Mythic Gear (2000 Gold) and Item.</t>
  </si>
  <si>
    <t>Sells Items of Varying Rarities; 2 Commons, 2 Uncommon, 2 Rares, 1 Epic, 1 Legendary.</t>
  </si>
  <si>
    <t>Sells 1 of each Ore per Restock: 1500 Gold for Legendary, 1000 Gold for Epic, 750 Gold for Rare; 500 Gold for Uncommon; 250 Gold for Common.</t>
  </si>
  <si>
    <t>Mythic Ore is only available for purchase after the first Vendal for 2500 Gold.</t>
  </si>
  <si>
    <t>Sells 1 of each Fabric per Restock; 1500 Gold for Legendary, 1000 Gold for Epic, 750 Gold for Rare; 500 Gold for Uncommon; 250 Gold for Common.</t>
  </si>
  <si>
    <t>Mythic Fabric is only available for purchase after the first Vendal for 2500 Gold.</t>
  </si>
  <si>
    <t>You may Craft Scrolls with Fabric as well as Tomes and Sigils.</t>
  </si>
  <si>
    <t>Prayer for the Dark: Offer 1500 Gold value and ALL other Heroes will Receive -1 Faith. (Once per Restock)</t>
  </si>
  <si>
    <t>Pay 2000 Gold for 1000 Experience. (Once per Restock)</t>
  </si>
  <si>
    <t>All Zones Restock at the start of each Vendal. (Day 1,6,11,16,etc)</t>
  </si>
  <si>
    <t>Material Processing: Turn Ore or Fabric into 1 gear of the the same rarity. (Ore for Metal Type/Fabric for Cloth Type) Throwable Crafting Amount: Common-5; Uncommon-4; Rare-3; Epic-2; Legendary/Mythic-1</t>
  </si>
  <si>
    <t>1:5 Common / 1:4 Uncommon / 1:3 Rare / 1:2 Epic / 1:1 Legendary/Mythic</t>
  </si>
  <si>
    <t>Bronze Set</t>
  </si>
  <si>
    <t>Bronze Cap; Bronze Cuirass; Bronze Sabatons</t>
  </si>
  <si>
    <t>(3) +20% Deflection</t>
  </si>
  <si>
    <t>(5) +8 Defense; -2 Mobility; You are Immune to the Physical Damage of Arrows.</t>
  </si>
  <si>
    <t>Kind</t>
  </si>
  <si>
    <t>Gold</t>
  </si>
  <si>
    <t>Artifact</t>
  </si>
  <si>
    <t>600 Gold </t>
  </si>
  <si>
    <t>800 Gold </t>
  </si>
  <si>
    <t>1000 Gold </t>
  </si>
  <si>
    <t>2000 Gold </t>
  </si>
  <si>
    <t>200 Gold </t>
  </si>
  <si>
    <t>1500 Gold </t>
  </si>
  <si>
    <t>2500 Gold </t>
  </si>
  <si>
    <t>Item</t>
  </si>
  <si>
    <t xml:space="preserve">Throwing Knives: Throwable Dagger; Deals 5 Physical Damage.  </t>
  </si>
  <si>
    <t>Chakram: Throwable Dagger; Deals 6 Physical Damage; Recoverable.</t>
  </si>
  <si>
    <t>150 Gold</t>
  </si>
  <si>
    <t>Arkadian Mysteries:  Throwable Dagger; Blitz; Deal 20 Magic Damage; Passive: After being thrown, you automatically spend 15 Mana to Recover.</t>
  </si>
  <si>
    <t>Drainers: Throwable hatchet; Deals 10 Physical Damage; 20% Lifedrain.</t>
  </si>
  <si>
    <t>Landplax: Throwable Javelin; Deals 4 Physical Damage; Passive: This Throwable deals +6 Base Damage per Tile between yourself and Target.</t>
  </si>
  <si>
    <t>Aggravators: Throwable Javelin; 10 Physical Damage; 1 Hex Range.</t>
  </si>
  <si>
    <t>Soul Slayer: Recovarable; Throwable Javelin; Deals 40 True Damage; On Hit: Root Target for 5 Turns.</t>
  </si>
  <si>
    <t>Firecrackers: Throwable Explosive; Stagger Target for 1 Turn.</t>
  </si>
  <si>
    <t>Thunderflash: Throwable Explosive; Stun Target for 1 Turn.</t>
  </si>
  <si>
    <t>Smoke Bombs: Throwable Explosive; Allows you to instantly Flee Combat if used on yourself. (It still has to land)</t>
  </si>
  <si>
    <t>Flaming Spirits Deluxe: Throwable Explosive; Deals 50 Fire Damag; 50% Chance to Inflict Burning for 10 Fire Damage per Tick over 5 Turns.</t>
  </si>
  <si>
    <t>Mugno: Increase Max Stamina by 1.</t>
  </si>
  <si>
    <t>Scroll of Relearning: Relearn Innate, Tier I, II or III Ability. (≈)</t>
  </si>
  <si>
    <t xml:space="preserve">Scroll of Healing Light: Restores 20 Health to Target.  (+) </t>
  </si>
  <si>
    <t>Scroll of Challenge: [Requires Map Phase] Roll a Random landmark. (≈)</t>
  </si>
  <si>
    <t xml:space="preserve">Scroll of Elemental Resistance: Gain 10% Elemental Resistance until End of Day.  (≈)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</si>
  <si>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</si>
  <si>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</si>
  <si>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</si>
  <si>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</si>
  <si>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</si>
  <si>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</si>
  <si>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</si>
  <si>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</si>
  <si>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Bugs: Target Entity is surrounded by bugs and gets a Random Non-DOT Negative Status for 1 Turn.  (+)</t>
  </si>
  <si>
    <t xml:space="preserve">Scroll of Casting: Cast a random Spell with Random Targets. (≈) </t>
  </si>
  <si>
    <t xml:space="preserve">Scroll of Self Immolation: Set yourself Ablaze, dealing yourself 20 Fire Damage and 40 Fire Damage to everyone in melee Range. (≈) </t>
  </si>
  <si>
    <t>Scroll of Advanced Alchemy: Transform Target Item into one of the same Type bu</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</si>
  <si>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</si>
  <si>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</si>
  <si>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</si>
  <si>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</si>
  <si>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</si>
  <si>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</si>
  <si>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</si>
  <si>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</si>
  <si>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</si>
  <si>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Nullifix Rune: Can be applied to Gear; Armor Piece Gains 10% Deflection; Weapons Gain Active: (+) Counter; Nullify Target Non-Ultimate Projectile. (1/Day)</t>
  </si>
  <si>
    <t>Arcanic Rune: Can be applied to Gear; Armor Piece Gains 20% Magic Damage Reduction; Weapons Gain Passive: Your Basic Attack Damage is now Arcane.</t>
  </si>
  <si>
    <t>Coldflame Rune: Can be applied on Gear; On Armor: Gain 30% Frost and 30% Fire Resistance; On Weapons: On Hit: 50% Chance to deal 10 Fire Damage or 10 Frost Damage</t>
  </si>
  <si>
    <t>Fury Rune: Can be applied to Gear; Armor Piece Gains +100 Heath; Weapons Gain +100% More Base Damage.</t>
  </si>
  <si>
    <t>250 Gold</t>
  </si>
  <si>
    <t>750 Gold</t>
  </si>
  <si>
    <t>2500 Gold</t>
  </si>
  <si>
    <t>Destructive Flask: Destroy Random Non-Unique Equipped Gear. (&gt;)</t>
  </si>
  <si>
    <t>Sunbloom Negator Elixir: Gain the following Ability Until End of Day: Active: (+) Counter; Powerplay; Nullify Target Action. (≈)</t>
  </si>
  <si>
    <t>Supreme Death Defiance Potion: Survive Lethal Damage Thrice, Lasts Until End of Day. (≈)</t>
  </si>
  <si>
    <t>Totemic Ward: 2 Hex Vision Ward.</t>
  </si>
  <si>
    <t>Throwing Ward: 1 Hex Vision Ward; Can be Placed at 1 hex Range.</t>
  </si>
  <si>
    <t>Ravensight Ward: 2 Hex Vision Ward; Pathfinder.</t>
  </si>
  <si>
    <t>Owlsight Ward: 2 Hex Vision Ward; Detects Invisible Entities.</t>
  </si>
  <si>
    <t>Magicdart Ward: 2 Hex Vision Ward; Can be Placed at 1 Hex Range.</t>
  </si>
  <si>
    <t xml:space="preserve">Dragonscaled Ward: 3 Hex Vision; Indestructible; Detects Invisible Entities. </t>
  </si>
  <si>
    <t>Common</t>
  </si>
  <si>
    <t>Rare</t>
  </si>
  <si>
    <t>Uncommon</t>
  </si>
  <si>
    <t>Epic</t>
  </si>
  <si>
    <t>Legendary</t>
  </si>
  <si>
    <t>Mythic</t>
  </si>
  <si>
    <t>Rarity</t>
  </si>
  <si>
    <t>(≈) Reunification Ritual: [Requires Faerian Preparation to have been cast 3 times this Campaign and at least 20 Faerian Essence] Powerplay; Transform yourself into the Arkafaerian; If you have 40 Faerian Essence Transform into the True Arkafaerian instead.</t>
  </si>
  <si>
    <t>Character name: True Arkafaerian</t>
  </si>
  <si>
    <t>Health: 4000/4000</t>
  </si>
  <si>
    <t>Mana: 2000/2000</t>
  </si>
  <si>
    <t>Light R: 90%</t>
  </si>
  <si>
    <t>Dark R: 90%</t>
  </si>
  <si>
    <t>Fire R: 90%</t>
  </si>
  <si>
    <t>Frost R: 90%</t>
  </si>
  <si>
    <t>Wind R: 90%</t>
  </si>
  <si>
    <t>Earth R: 90%</t>
  </si>
  <si>
    <t>Lightning R: 90%</t>
  </si>
  <si>
    <t>Bleed R: 90%</t>
  </si>
  <si>
    <t>Poison R: 90%</t>
  </si>
  <si>
    <t>Strength: 20</t>
  </si>
  <si>
    <t>Power: 80</t>
  </si>
  <si>
    <t>Basic Attack:  80 Arcane Damage Warp</t>
  </si>
  <si>
    <t>Stamina: 5/5</t>
  </si>
  <si>
    <t>Deflect: 40%</t>
  </si>
  <si>
    <t>(P) Kin Maker: You are the resurected Myth itself that birthed the Fae; All Other Entities on your Hex take 40 Arcane Damage at the Start of their Turn; If that Entity is Fae they take 80 True Damage instead.</t>
  </si>
  <si>
    <t>(P) Ehtal Coating: All Damage or Loss of Health instances you take can not exceed 100.</t>
  </si>
  <si>
    <t>(+) Arcanic Desintegration: Destroy Target Entity with less than 100 Health.</t>
  </si>
  <si>
    <t>(P) Faerian Catalyst: You have 1 Extra Counter Action; On Combat Start cause all other Entities to fall asleep for 1 Turn.</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</si>
  <si>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</si>
  <si>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(Ignores 50% Dispersion) </t>
  </si>
  <si>
    <t>To achieve Elemental combinations one must use Queued Actions(Most common Prepares/Channels) to do Attacks which have an Elemental Base Damage. On Hit Damage does not Elementally Combine and Damage Ticks combine separately.</t>
  </si>
  <si>
    <t>Verdant Vengence: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</si>
  <si>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Lionguards: Shoulder Piece; Gain 20% Light Resistance; 5 Defense; 5 Dispersion; Passive: For every 100% Light Resistance you have also Gain 20% Total Damage Reduction; Active: (≈) Gain 80% Light Resistance until End of Combat. (1/Day)</t>
  </si>
  <si>
    <t>Living Bonds: Hand Piece; +5 Power; +5 Dispersion; Active: (+) Seal Target for X/2 Turns where X is Targets Level. (1/Day)</t>
  </si>
  <si>
    <t>Stealthed Heroes give up on their "Zone of Control", meaning that they won't stop other Heroes from doing their actions as to not reveal them.</t>
  </si>
  <si>
    <t>Destroying/Pillaging Zones causes Banishment.</t>
  </si>
  <si>
    <t>(❖:^) Umbral Image: Summon an identical Shadow copy of Target as a Minion which can not use Resonance Abilities or Gear Actives; The Shadow Copy has 50% Damage Penalty, takes 50% more Total Damage and can't use Gear Actives. (12 Resonance; 1/Day; 1/Entity)</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</si>
  <si>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</si>
  <si>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</si>
  <si>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 Cauterize Wound: Flash; Deal 5 Fire Damage to Target and Remove Bleeding and Torment Statuses from it. (2 Resonance)</t>
  </si>
  <si>
    <t>Declaration Stage</t>
  </si>
  <si>
    <t>Execution Stage</t>
  </si>
  <si>
    <t>Resolution Stage</t>
  </si>
  <si>
    <t>(❖:≈) Winter Aura: Toggle; All other Entities in Combat are Constantly Slowed and Chilled. (2 Resonance/Turn)</t>
  </si>
  <si>
    <t>It allows the Ability to be Turned on and off; Mana is Consumed at the End of your Turn; Toggle Abilities require you to have at least 1 turns worth of resource to Cast(if applicable), otherwise it will be an Illegal Action.</t>
  </si>
  <si>
    <t>Illegal Action</t>
  </si>
  <si>
    <t>An Action that can not be done under any circumstance by an Entity, these Actions are rolled back and it is acted as if the Action never happened. (E.g. Trying to Attempt as a counter whilst being under the Chill Status)</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</si>
  <si>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</si>
  <si>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This Stage represents the moment after the Action has Resolved. (E.g. I Cast Frost Bolt hit the Target, however they counter with an ability that allows them to cure Frostbite before their turn starts)</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</si>
  <si>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</si>
  <si>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Things which you can do on your turn; All Action/Sub-Actions have 3 Stages to them, Declaration Stage, Execution Stage and Resolution Stage. (Entities have only 1 Action per Turn unless Overridden)</t>
  </si>
  <si>
    <t>Transform</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</si>
  <si>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t>
  </si>
  <si>
    <t>Leveling up grants 1 Extra Attribute Point that you can invest.</t>
  </si>
  <si>
    <t>Neutral Entities do not automatically engage combat with you when Traversing their Hexes; Neutral indicates that an Entity does not belong to your banner and is not under your control.</t>
  </si>
  <si>
    <t>While on Mountain Hexes you gain +1 Hex Vision and Stealth.</t>
  </si>
  <si>
    <t>Shuriken: Throwable Dagger; Deals 3 Physical Damage; Scales with 1.5 Extra Dexterity; Passive: Tanks Defense of Targets Twice.</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</si>
  <si>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</si>
  <si>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</si>
  <si>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</si>
  <si>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</si>
  <si>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</si>
  <si>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</si>
  <si>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</si>
  <si>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</si>
  <si>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</si>
  <si>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</si>
  <si>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</si>
  <si>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</si>
  <si>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</si>
  <si>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</si>
  <si>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</si>
  <si>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</si>
  <si>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</si>
  <si>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</si>
  <si>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</si>
  <si>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</si>
  <si>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</si>
  <si>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</si>
  <si>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</si>
  <si>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</si>
  <si>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</si>
  <si>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</si>
  <si>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</si>
  <si>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</si>
  <si>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</si>
  <si>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</si>
  <si>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</si>
  <si>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</si>
  <si>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</si>
  <si>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</si>
  <si>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</si>
  <si>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</si>
  <si>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</si>
  <si>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</si>
  <si>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</si>
  <si>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</si>
  <si>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</si>
  <si>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</si>
  <si>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</si>
  <si>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</si>
  <si>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</si>
  <si>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</si>
  <si>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</si>
  <si>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</si>
  <si>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</si>
  <si>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</si>
  <si>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</si>
  <si>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</si>
  <si>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</si>
  <si>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</si>
  <si>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</si>
  <si>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</si>
  <si>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</si>
  <si>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</si>
  <si>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</si>
  <si>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</si>
  <si>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</si>
  <si>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</si>
  <si>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</si>
  <si>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</si>
  <si>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</si>
  <si>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</si>
  <si>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</si>
  <si>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</si>
  <si>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</si>
  <si>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</si>
  <si>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</si>
  <si>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</si>
  <si>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</si>
  <si>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</si>
  <si>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</si>
  <si>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</si>
  <si>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</si>
  <si>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</si>
  <si>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</si>
  <si>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</si>
  <si>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</si>
  <si>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</si>
  <si>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</si>
  <si>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</si>
  <si>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</si>
  <si>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</si>
  <si>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</si>
  <si>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</si>
  <si>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</si>
  <si>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</si>
  <si>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</si>
  <si>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</si>
  <si>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</si>
  <si>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</si>
  <si>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</si>
  <si>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</si>
  <si>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</si>
  <si>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</si>
  <si>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</si>
  <si>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</si>
  <si>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</si>
  <si>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</si>
  <si>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</si>
  <si>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</si>
  <si>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</si>
  <si>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</si>
  <si>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</si>
  <si>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</si>
  <si>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</si>
  <si>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</si>
  <si>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</si>
  <si>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</si>
  <si>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</si>
  <si>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</si>
  <si>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</si>
  <si>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</si>
  <si>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</si>
  <si>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</si>
  <si>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</si>
  <si>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</si>
  <si>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</si>
  <si>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</si>
  <si>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</si>
  <si>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</si>
  <si>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</si>
  <si>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</si>
  <si>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</si>
  <si>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</si>
  <si>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</si>
  <si>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</si>
  <si>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</si>
  <si>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</si>
  <si>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</si>
  <si>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</si>
  <si>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</si>
  <si>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</si>
  <si>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</si>
  <si>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</si>
  <si>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</si>
  <si>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</si>
  <si>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</si>
  <si>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</si>
  <si>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</si>
  <si>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</si>
  <si>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</si>
  <si>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</si>
  <si>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</si>
  <si>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</si>
  <si>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</si>
  <si>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</si>
  <si>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</si>
  <si>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</si>
  <si>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</si>
  <si>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</si>
  <si>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Snare a lantern! (Roll D10: 1–4 Electric Zap→ Take 20 Lightning Damage; 5–8 Gain 1 Sparking Solution; 9–10 Lantern of Wisdom → Gain 1 Permanent Wisdom)</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</si>
  <si>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</si>
  <si>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</si>
  <si>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</si>
  <si>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</si>
  <si>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</si>
  <si>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</si>
  <si>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</si>
  <si>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</si>
  <si>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</si>
  <si>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</si>
  <si>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</si>
  <si>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Nr. 25</t>
  </si>
  <si>
    <t>Shrine Bell of Dawn</t>
  </si>
  <si>
    <t>A bell rope invites a ring.</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</si>
  <si>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</si>
  <si>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</si>
  <si>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</si>
  <si>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</si>
  <si>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</si>
  <si>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</si>
  <si>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</si>
  <si>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</si>
  <si>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</si>
  <si>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</si>
  <si>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</si>
  <si>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</si>
  <si>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</si>
  <si>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</si>
  <si>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</si>
  <si>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</si>
  <si>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</si>
  <si>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</si>
  <si>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</si>
  <si>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</si>
  <si>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</si>
  <si>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</si>
  <si>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</si>
  <si>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</si>
  <si>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</si>
  <si>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</si>
  <si>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</si>
  <si>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</si>
  <si>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</si>
  <si>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</si>
  <si>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</si>
  <si>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</si>
  <si>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</si>
  <si>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</si>
  <si>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</si>
  <si>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</si>
  <si>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</si>
  <si>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</si>
  <si>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</si>
  <si>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</si>
  <si>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</si>
  <si>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</si>
  <si>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</si>
  <si>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</si>
  <si>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</si>
  <si>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</si>
  <si>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</si>
  <si>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Frozen lake</t>
  </si>
  <si>
    <t>It appears you were on a frozen lake all along...and it began to crack...</t>
  </si>
  <si>
    <t>Tank it! (You take 20 Frost Damage)</t>
  </si>
  <si>
    <t>Slowly trace your steps back! (Return to the previously Traversed Hex paying its Stamina Cost)</t>
  </si>
  <si>
    <t>Deep dive into the frozen lake! (D10: 1: The Lady of the Lake grants you 3 Blessings → Gain 3 Faith ; 2-5: Find 2 Rare Fabrics and 2 Rare Ore but Take 40 Frost Damage; 6-10 You take 40 Frost Damage)</t>
  </si>
  <si>
    <t>[Requires Traversal Expert Skill or Winged Condition] Fly or Jump to a safe spot! (Nothing Happens)</t>
  </si>
  <si>
    <t>Nr. 41</t>
  </si>
  <si>
    <t>Emberfall Veil</t>
  </si>
  <si>
    <t>Cinders drift like fiery snow.</t>
  </si>
  <si>
    <t>Nr. 42</t>
  </si>
  <si>
    <t>Lava Tube Echoes</t>
  </si>
  <si>
    <t>A hollow tube hums with subterranean song.</t>
  </si>
  <si>
    <t>Nr. 43</t>
  </si>
  <si>
    <t>Salamander Ring</t>
  </si>
  <si>
    <t>Nr. 44</t>
  </si>
  <si>
    <t>Obsidian Mirror</t>
  </si>
  <si>
    <t>A polished obsidian slab reflects too clearly.</t>
  </si>
  <si>
    <t>Nr. 45</t>
  </si>
  <si>
    <t>River of Cinders</t>
  </si>
  <si>
    <t>A slow lava flow crosses your path.</t>
  </si>
  <si>
    <t>Nr. 46</t>
  </si>
  <si>
    <t>Encountering Raxa</t>
  </si>
  <si>
    <t>It appears you found Raxa, the embodiment of the flame.</t>
  </si>
  <si>
    <t>Engage Combat against Raxa! [Warning, Guardian level threat] (Found in Legends)</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</si>
  <si>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</si>
  <si>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</si>
  <si>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</si>
  <si>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</si>
  <si>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</si>
  <si>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</si>
  <si>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</si>
  <si>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</si>
  <si>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</si>
  <si>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</si>
  <si>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</si>
  <si>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</si>
  <si>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</si>
  <si>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</si>
  <si>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Nr. 52</t>
  </si>
  <si>
    <t>Murmuring Mire</t>
  </si>
  <si>
    <t>A bog of whispering faces.</t>
  </si>
  <si>
    <t>Nr. 53</t>
  </si>
  <si>
    <t>Thorn-Butcher Idol</t>
  </si>
  <si>
    <t>A twisted idol stitched of thorns and bone.</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</si>
  <si>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</si>
  <si>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</si>
  <si>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</si>
  <si>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54</t>
  </si>
  <si>
    <t>Nr. 55</t>
  </si>
  <si>
    <t>Nr. 56</t>
  </si>
  <si>
    <t>Nr. 57</t>
  </si>
  <si>
    <t>Nr. 58</t>
  </si>
  <si>
    <t>Nr. 59</t>
  </si>
  <si>
    <t>Nr. 60</t>
  </si>
  <si>
    <t>The Corruption Spreads</t>
  </si>
  <si>
    <t>The Corruption tries to get a hold of you</t>
  </si>
  <si>
    <t>Tank it! (You take 20 Dark Damage)</t>
  </si>
  <si>
    <t>Attempt to find the source of the corruption! (D10: 1-3 You find a Legendary Ore; 4-6: You Engage Combat against a Boss Creature; 7-10 You take 40 Dark Damage)</t>
  </si>
  <si>
    <t>Nr. 61</t>
  </si>
  <si>
    <t>Lark of Dawnlight</t>
  </si>
  <si>
    <t>A radiant bird sings a perfect note.</t>
  </si>
  <si>
    <t>Listen, heads bowed. (Nothing Happens)</t>
  </si>
  <si>
    <t>[Requires ____] Harmonize perfectly. (Party gains Blessed and remove 1 Ailment)</t>
  </si>
  <si>
    <t>Nr. 62</t>
  </si>
  <si>
    <t>Stair of Sunbeams</t>
  </si>
  <si>
    <t>Light itself forms steps upward.</t>
  </si>
  <si>
    <t>Remain below. (Nothing Happens)</t>
  </si>
  <si>
    <t>Climb a little. (Roll D10: 1–2 Dazzled → Take 10 Radiant; 3–7 Inspired view → Reveal 2 hexes; 8–10 Ascendant boon → Recharge 1 Ability)</t>
  </si>
  <si>
    <t>Leap between beams. (Roll D10: 1–2 Misstep → Take 15 Radiant; 3–7 Gain +1 Evasion next combat; 8–10 Find a sun-mote → 1 Relic Fragment)</t>
  </si>
  <si>
    <t>[Requires ____] Sanctified ascent. (Advance 1 hex ignoring terrain; +1 to next three checks)</t>
  </si>
  <si>
    <t>Nr. 63</t>
  </si>
  <si>
    <t>Font of Mercy</t>
  </si>
  <si>
    <t>A crystal spring bubbles serenity.</t>
  </si>
  <si>
    <t>Rest by the edge. (Nothing Happens)</t>
  </si>
  <si>
    <t>Drink. (Roll D10: 1–2 Overwhelm → Lose 1 Action this turn; 3–8 Heal 25; 9–10 Heal 25 and remove 1 Curse)</t>
  </si>
  <si>
    <t>Bottle the water. (Roll D10: 1–2 Spill → Nothing; 3–7 Gain 1 Holy Water; 8–10 Gain 2 Holy Water)</t>
  </si>
  <si>
    <t>[Requires ____] Offer a prayer. (All party heal 20 and remove 1 Minor Ailment)</t>
  </si>
  <si>
    <t>Nr. 64</t>
  </si>
  <si>
    <t>Choir’s Forgotten Hymn</t>
  </si>
  <si>
    <t>Faint notes of a lost hymn drift by.</t>
  </si>
  <si>
    <t>Ignore the melody. (Nothing Happens)</t>
  </si>
  <si>
    <t>Hum along. (Roll D10: 1–2 Voice cracks → Nothing; 3–7 Gain “Serenity” (+1 Defense); 8–10 Harmony → Gain Serenity and +1 Initiative)</t>
  </si>
  <si>
    <t>Seek the source. (Roll D10: 1–2 Stern sentinel tests you → Fight Random Normal; 3–7 Find chorus stone → +1 to next Social; 8–10 Recover hymn verse → 1 Lore Fragment)</t>
  </si>
  <si>
    <t>[Requires ____] Complete the hymn. (Grant party-wide Serenity and reveal nearest shrine)</t>
  </si>
  <si>
    <t>Nr. 65</t>
  </si>
  <si>
    <t>Amberwing Bridge</t>
  </si>
  <si>
    <t>Golden butterflies form a living bridge.</t>
  </si>
  <si>
    <t>Wait for them to pass. (Nothing Happens)</t>
  </si>
  <si>
    <t>Cross gently. (Roll D10: 1–2 Startle swarm → Take 10 Radiant (stings); 3–7 Safe crossing; 8–10 They gift nectar → Heal 15)</t>
  </si>
  <si>
    <t>Collect a cocoon. (Roll D10: 1–2 Wings scorch → Take 10 Radiant; 3–7 Gain 1 Celestial Silk; 8–10 Gain 1 Celestial Silk + 10 Gold)</t>
  </si>
  <si>
    <t>[Requires ____] Bless the bridge. (Mark hex as safe and gain 1 Celestial Silk)</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</si>
  <si>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</si>
  <si>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</si>
  <si>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</si>
  <si>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</si>
  <si>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</si>
  <si>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</si>
  <si>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</si>
  <si>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</si>
  <si>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</si>
  <si>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</si>
  <si>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</si>
  <si>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</si>
  <si>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</si>
  <si>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</si>
  <si>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</si>
  <si>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</si>
  <si>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</si>
  <si>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</si>
  <si>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</si>
  <si>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</si>
  <si>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</si>
  <si>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</si>
  <si>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</si>
  <si>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</si>
  <si>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</si>
  <si>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</si>
  <si>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</si>
  <si>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</si>
  <si>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</si>
  <si>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</si>
  <si>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</si>
  <si>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</si>
  <si>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</si>
  <si>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</si>
  <si>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</si>
  <si>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</si>
  <si>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</si>
  <si>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</si>
  <si>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</si>
  <si>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</si>
  <si>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</si>
  <si>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</si>
  <si>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</si>
  <si>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</si>
  <si>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</si>
  <si>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</si>
  <si>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</si>
  <si>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</si>
  <si>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</si>
  <si>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</si>
  <si>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</si>
  <si>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</si>
  <si>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</si>
  <si>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</si>
  <si>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</si>
  <si>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</si>
  <si>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</si>
  <si>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</si>
  <si>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</si>
  <si>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</si>
  <si>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</si>
  <si>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</si>
  <si>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</si>
  <si>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</si>
  <si>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</si>
  <si>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</si>
  <si>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</si>
  <si>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</si>
  <si>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</si>
  <si>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</si>
  <si>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</si>
  <si>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</si>
  <si>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</si>
  <si>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</si>
  <si>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</si>
  <si>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</si>
  <si>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</si>
  <si>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</si>
  <si>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</si>
  <si>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</si>
  <si>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</si>
  <si>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</si>
  <si>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</si>
  <si>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</si>
  <si>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</si>
  <si>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</si>
  <si>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</si>
  <si>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</si>
  <si>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</si>
  <si>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</si>
  <si>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</si>
  <si>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</si>
  <si>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</si>
  <si>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</si>
  <si>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</si>
  <si>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</si>
  <si>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</si>
  <si>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</si>
  <si>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</si>
  <si>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</si>
  <si>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</si>
  <si>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</si>
  <si>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</si>
  <si>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</si>
  <si>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</si>
  <si>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</si>
  <si>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</si>
  <si>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</si>
  <si>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</si>
  <si>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</si>
  <si>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</si>
  <si>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</si>
  <si>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</si>
  <si>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</si>
  <si>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</si>
  <si>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</si>
  <si>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</si>
  <si>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</si>
  <si>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</si>
  <si>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</si>
  <si>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</si>
  <si>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</si>
  <si>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</si>
  <si>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Nr. 95</t>
  </si>
  <si>
    <t>Nr. 96</t>
  </si>
  <si>
    <t>Nr. 97</t>
  </si>
  <si>
    <t>Nr. 98</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</si>
  <si>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</si>
  <si>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</si>
  <si>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</si>
  <si>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</si>
  <si>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</si>
  <si>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</si>
  <si>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</si>
  <si>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</si>
  <si>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</si>
  <si>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</si>
  <si>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</si>
  <si>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</si>
  <si>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</si>
  <si>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</si>
  <si>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Enjoy the sound! (Nothing Happens)</t>
  </si>
  <si>
    <t>[Requires Swimming Skill or Amphibious Condition] Quickly swim to solid ground before the leeches can touch you! (Nothing Happens)</t>
  </si>
  <si>
    <t>Refrain! (Nothing Happens)</t>
  </si>
  <si>
    <t>Watch them float away! (Nothing Happens)</t>
  </si>
  <si>
    <t>Ring twice! (Roll D10: 1–3 Offend Major Spirit → Fight Random Sentient Divine Elite; 4–5 Greater Blessing → Gain 2 Faith; 6-8 Gain 10 Lightning Damage on Hit until End of Day: 10 Answered prayer → Remove Rotting or a Curse of your choice, if none available, Gain 3 Faith)</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</si>
  <si>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</si>
  <si>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</si>
  <si>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Ring once! (Roll D10: 1–6 Startled spirits → Lose 20 Resource; 7–8 Blessing → Gain 1 Faith; 9-10 → Restore 20 Health and Gain 1 Faith)</t>
  </si>
  <si>
    <t>Try to catch a crane! (Roll D10: 1–4 Paper cuts → Take 10 Bleed; 5–7 Lucky message → +1 to the next D20 roll; 8–10 Treasure map → Gain 1 Hex Vision until next Traversal)</t>
  </si>
  <si>
    <t>[Requires 2000 Gold and 1 Stamina] Spend 2000 Gold and 1 Stamina to help them build a proper City! (A Kingdom is placed on current Hex)</t>
  </si>
  <si>
    <t>Ignore it! (Nothing Happens)</t>
  </si>
  <si>
    <t>Step around! (Nothing Happens)</t>
  </si>
  <si>
    <t>[Requires Winged Condition or Mountain Traversal] Secure a safe descent. (Gain +4 on your next D10 Roll)</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</si>
  <si>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</si>
  <si>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</si>
  <si>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Attempt at the Trial of Flame! (Roll D10: 1 You Lose 200 Health; 2-4 You take 100 Fire Damage; 5-7 You take 50 Fire Damage; 8-9 You permanently Gain 20% Fire Resistance; 10: You Gain a Fire Helix)</t>
  </si>
  <si>
    <t>Wave and turn around!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</si>
  <si>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</si>
  <si>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</si>
  <si>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Meditation skill or Regeneration Condition] Relax in the Rain, the pain is but a lesson! (Nothing Happens)</t>
  </si>
  <si>
    <t>[Requires Warfare Master Skill or Necronian Field Condition] Masterfuly defeat the Beacon through a precise attack or through reflecting its Beam and get the rewards! (Gain Divine Beacon Rewards)</t>
  </si>
  <si>
    <t>[Requires Resistance Buildup Skill or Nocturnal Condition] Resist the corruption! (Nothing Happens)</t>
  </si>
  <si>
    <t>Trinket Merchant</t>
  </si>
  <si>
    <t>You encounter a Trinket Merchant</t>
  </si>
  <si>
    <t>Be on your way! (Nothing Happens)</t>
  </si>
  <si>
    <t>Garbuni the Grand Trader is here!</t>
  </si>
  <si>
    <t>Artifact Trade. (Exchange 1000 Gold for 1 Random Legendary Artifact)</t>
  </si>
  <si>
    <t>[Requires at least 2 Might or Brawn Condition] Beat him in an Arm Wrestling Contest. (All Prices from the other options are reduced by 200 Gold)</t>
  </si>
  <si>
    <t>Weapon Trade. (Exchange 400 Gold for 1 Random Epic Weapon)</t>
  </si>
  <si>
    <t>Armor Trade. (Exchange 400 Gold for 1 Random Epic Armor)</t>
  </si>
  <si>
    <t>Ingredient Trade. (Exchange 200 Gold for 1 Uncommon Ingredient)</t>
  </si>
  <si>
    <t>You meet the gaze of a pitch black crow and realise you are about to be cursed…but which way was the Crow moving?</t>
  </si>
  <si>
    <t>It was moving stationary! (Lose 20 Health)</t>
  </si>
  <si>
    <t>It was moving West! (Gain the West Curse until End of Day; Curse: You are unable to Traverse the West Direction)</t>
  </si>
  <si>
    <t>It was moving East! (Gain the West Curse until End of Day; Curse: You are unable to Traverse the East Direction)</t>
  </si>
  <si>
    <t>[Requires Break Illusion Skill or Clarity Condition] Dispel the Illusion! (Nothing Happens)</t>
  </si>
  <si>
    <t>Curse of the Black Crow</t>
  </si>
  <si>
    <t>Sharakonids Awakening</t>
  </si>
  <si>
    <t>It really is him! It is Garbuni!!!</t>
  </si>
  <si>
    <t>The Planes stand at the precipice, before you lies a dormant Sharakonid!</t>
  </si>
  <si>
    <t>Retreat! (Be forced to Traverse an adjacent Hex)</t>
  </si>
  <si>
    <t>Engage Combat with the Sharakonid! (Engage Combat against a Sharakonid) [WARNING]</t>
  </si>
  <si>
    <t>[Requires Helix equipped or in Inventory] Teleport the Sharakonid on a Random Hex on the Planes awakening him in the process! (A Sharakonid appears on the Map and will move at random killing everything in its path)</t>
  </si>
  <si>
    <t>Attempt to harvest his scales without waking him up! (Roll D10: 1-8 The Sharakonid wakes up and immediately kills you whilst your guard is down; 9-10 Gain 1 Mythic Ore)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</si>
  <si>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</si>
  <si>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</si>
  <si>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</si>
  <si>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</si>
  <si>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The 4 Doors of the apocalypse</t>
  </si>
  <si>
    <t>Glass Door! (Gain 1000 Gold and Fall off the Map)</t>
  </si>
  <si>
    <t>Mine slag! (Roll D10: 1–4 Shard burst → Take 50 Fire and 20 Physical Damage; 5-10 Gain 2 Epic Ore)</t>
  </si>
  <si>
    <t>Explore briefly! (Roll D10: 1–3 Flaming fumes → Take 30 Fire Damage; 3–7 Map network → Your next Traversal will Cost -0.5 Stamina; 8–10 Find 1 Treasure Chest)</t>
  </si>
  <si>
    <t>Fire hounds bask around a Crystal.</t>
  </si>
  <si>
    <t>Wait it out! (Nothing Happens)</t>
  </si>
  <si>
    <t>Avoid the tube! (Nothing Happens)</t>
  </si>
  <si>
    <t>Don’t disturb! (Nothing Happens)</t>
  </si>
  <si>
    <t>[Requires True Sight Skill or Foresight Condition] Find the culprit! (Gain 1 Imp Follower)</t>
  </si>
  <si>
    <t>[Requires Mechanical Condition or Resistance Buildup Skill] Vent gases safely and access shortcut! (Next Hex Traversal will cost 0 Stamina)</t>
  </si>
  <si>
    <t>[Requires at least 2 Mobility or Agile Condition] Snatch the Crystal and get away! (Gain 1 Legendary Ore)</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</si>
  <si>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</si>
  <si>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</si>
  <si>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Chip a piece! (Roll D10: 1–4 Shatter → Take 10 Physical; 5–7 Gain 1 Uncommon Ore; 8–10 Gain 1 Rare Ore)</t>
  </si>
  <si>
    <t>Gaze into it! (Roll D10: 1–4 Dread → Lose 25 Health and become Feared for 1 Turn; 5–9 Clarity → +1 Hex Vision until the next Hex Traversal; 10 Permanently Gain 1 Hex Vision)</t>
  </si>
  <si>
    <t>Look away! (Nothing Happens)</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</si>
  <si>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</si>
  <si>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</si>
  <si>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</si>
  <si>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</si>
  <si>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Don’t touch! (Nothing Happens)</t>
  </si>
  <si>
    <t>[Requires at least 3 Skill Points invested in Utility or Cursed Condition] Mirror reading! (Gain 1 Attunement Point or Remove 1 Curse)</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</si>
  <si>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</si>
  <si>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</si>
  <si>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</si>
  <si>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</si>
  <si>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</si>
  <si>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</si>
  <si>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Weeping Well</t>
  </si>
  <si>
    <t>The source of the corruption itself is trying to take hold of you.</t>
  </si>
  <si>
    <t>You come across the wheeping well.</t>
  </si>
  <si>
    <t>The End</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</si>
  <si>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</si>
  <si>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</si>
  <si>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</si>
  <si>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</si>
  <si>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</si>
  <si>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</si>
  <si>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</si>
  <si>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Voidling Swarm</t>
  </si>
  <si>
    <t>(&gt;) Fire Spit: 20 Fire Damage. (50 Mana)</t>
  </si>
  <si>
    <t>(&gt;) Frost Spit: 20 Frost Damage. (50 Mana)</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</si>
  <si>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</si>
  <si>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</si>
  <si>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</si>
  <si>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</si>
  <si>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</si>
  <si>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</si>
  <si>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</si>
  <si>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</si>
  <si>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(P) Will Flee if its HP is lower than 20% of Max.</t>
  </si>
  <si>
    <t>Ice Lotus + Rare Ore</t>
  </si>
  <si>
    <t>Sparking Solution + Rare Ore</t>
  </si>
  <si>
    <t>Burning Ichor + Rare Ore</t>
  </si>
  <si>
    <t>Rich Soil + Rare Ore</t>
  </si>
  <si>
    <t>Nightmare Fuel + Rare Ore</t>
  </si>
  <si>
    <t>White Obsidian + Rare Ore</t>
  </si>
  <si>
    <t>Melee Flux 20 Dark Damage Per Turn</t>
  </si>
  <si>
    <t>(^) Wall growth: Summon a Corrupted Wall Minion with 50 Health and 50 Mana. (50 Mana)</t>
  </si>
  <si>
    <t>(&gt;) Poison Bone: Launch Poisoned bone shards at Target for 20 Physical and 20 Poison Damage. (50 Mana)</t>
  </si>
  <si>
    <t>(≈) Manticores Signature: Lunge into Melee Range of Target ripping them with your claws for 40 Physical Damage and 25 Poison Damage. (100 Mana)</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</si>
  <si>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</si>
  <si>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</si>
  <si>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</si>
  <si>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(&gt;) Malicious Stare: Stare menacingly at Target Inflicting 20 Terror Damage. (25 Mana)</t>
  </si>
  <si>
    <t>(P) Can take a Turn to shapeshift into one of its 3 Stances:                                                                              Lion Stance:</t>
  </si>
  <si>
    <t>Strike 10 Physical Damage each</t>
  </si>
  <si>
    <t>(&gt;) Rock Storm: Send rocks flying towards selected entity, dealing 30 Kinetic Damage to enemy (25 Mana)</t>
  </si>
  <si>
    <t>(^) Obsidian Backup: [2 Stacks of Channel] Powerplay; Summon 2 Gargoyles on the Outer Layer with identical starting stats, without this ability</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</si>
  <si>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</si>
  <si>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</si>
  <si>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</si>
  <si>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</si>
  <si>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Creature Type</t>
  </si>
  <si>
    <t>Prime Weakling</t>
  </si>
  <si>
    <t>Prime Elite</t>
  </si>
  <si>
    <t>Prime Boss</t>
  </si>
  <si>
    <t>(P) Legion will spawn 9 additional copies of itself; All 10 will spawn on random Tiles during Combat.</t>
  </si>
  <si>
    <t>5x 10/10</t>
  </si>
  <si>
    <t>Prayer for the Light: Offer 500 Gold value to recieve 1 Faith. (8 times per Restock)</t>
  </si>
  <si>
    <t>(3) Gain +7 Dexterity; (6) Gain an immortal Parrot on your Shoulder; Parrot extends your Hex vision by 2; Active: (&gt;) Flash; Send the Parrot at Target to deal 25 Physical Damage (2/Combat)</t>
  </si>
  <si>
    <t>Jewlery Trade. (Exchange 800 Gold for 1 Random Legendary Jewlery)</t>
  </si>
  <si>
    <t>Echo the note! (Roll D10: 1–2 Falter straining your voice→ Lose 20 Health; 3–7 Become blsessed (+1 to next two D20 Rolls); 8–10 Healed by song → Restore 25 Health)</t>
  </si>
  <si>
    <t>Offer crumbs! (Roll D10: 1–2 Offended guardian → Fight Random Normal (Celestial); 3–7 Lark returns favor → +1 Radiant Resistance; 8–10 Feather of Dawn → 1 Rare Trinket)</t>
  </si>
  <si>
    <t>Ignore them and continue on! (Nothing Happens)</t>
  </si>
  <si>
    <t>Void insects surge like a cloud.</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</si>
  <si>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</si>
  <si>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</si>
  <si>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</si>
  <si>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Pull up hood and pass! (Nothing Happens)</t>
  </si>
  <si>
    <t>Cyanandum: Two-handed Melee Glaive; 1-40 Physical Damage; Precise; Passive: If Target Dodges your Basic Attack, gain 1 Preparation Stack.</t>
  </si>
  <si>
    <t>Lifeforce Extract + Uncommon Fabric</t>
  </si>
  <si>
    <t>Vile Mushroom + Uncommon Fabric</t>
  </si>
  <si>
    <t>Soul Essence + Uncommon Fabric</t>
  </si>
  <si>
    <t>Living Root + Uncommon Fabric</t>
  </si>
  <si>
    <t>Slithering Oil + Uncommon Fabric</t>
  </si>
  <si>
    <t>Black Cobweb + Uncommon Ore</t>
  </si>
  <si>
    <t>Ashen Weed + Uncommon Ore</t>
  </si>
  <si>
    <t>Bone Marrow + Uncommon Ore</t>
  </si>
  <si>
    <t>Hardened Powder + Uncommon Ore</t>
  </si>
  <si>
    <t>Power Sand + Uncommon Ore</t>
  </si>
  <si>
    <t>2x Vile Mushroom + Rare Ore</t>
  </si>
  <si>
    <t>Whistling Sap + Rare Ore</t>
  </si>
  <si>
    <t>600 Gold + Random Epic Gear</t>
  </si>
  <si>
    <t>Poison Gland + Epic Ore</t>
  </si>
  <si>
    <t>Ice Lotus + Epic Fabric</t>
  </si>
  <si>
    <t>Sparking Solution + Epic Fabric</t>
  </si>
  <si>
    <t>Whistling Sap Epic Ore</t>
  </si>
  <si>
    <t>Pure Blood + Epic Ore</t>
  </si>
  <si>
    <t>Burning Ichor + Epic Fabric</t>
  </si>
  <si>
    <t>Rich Soil + Epic Ore</t>
  </si>
  <si>
    <t>Nightmare Fuel + Epic Ore</t>
  </si>
  <si>
    <t>White Obsidian + Epic Fabric</t>
  </si>
  <si>
    <t>2x Lifeforce Extract + Legendary Fabric</t>
  </si>
  <si>
    <t>2x Slithering Oil + Legendary Fabric</t>
  </si>
  <si>
    <t>2x Mana Berries + Legendary Fabric</t>
  </si>
  <si>
    <t>2x Soul Essence + Legendary Fabric</t>
  </si>
  <si>
    <t>2x Power Sand + Legendary Ore</t>
  </si>
  <si>
    <t>Lifeforce Extract +  Bone Marrow + Legendary Ore</t>
  </si>
  <si>
    <t>Burning Ichor + Legendary Ore</t>
  </si>
  <si>
    <t>2x Bone Marrow + Legendary Ore</t>
  </si>
  <si>
    <t>2x Black Cobweb  + Legendary Ore</t>
  </si>
  <si>
    <t>White Obsidian + Legendary Fabric</t>
  </si>
  <si>
    <t>Greyshade Bark  + Legendary Ore</t>
  </si>
  <si>
    <t>Poison Gland + Legendary Fabric</t>
  </si>
  <si>
    <t>Ice Lotus + Legendary Fabric</t>
  </si>
  <si>
    <t>Sparking Solution + Legendary Fabric</t>
  </si>
  <si>
    <t>Whistling Sap + Legendary Ore</t>
  </si>
  <si>
    <t>Pure Blood + Legendary Ore</t>
  </si>
  <si>
    <t>Rich Soil + Legendary Ore</t>
  </si>
  <si>
    <t>Nightmare Fuel + Legendary Fabric</t>
  </si>
  <si>
    <t>White Obsidian + Legendary Ore</t>
  </si>
  <si>
    <t>2x Diamond Grain + Legendary Ore</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</si>
  <si>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</si>
  <si>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</si>
  <si>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</si>
  <si>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</si>
  <si>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</si>
  <si>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</si>
  <si>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</si>
  <si>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</si>
  <si>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</si>
  <si>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t>
  </si>
  <si>
    <t>Wait</t>
  </si>
  <si>
    <t>Does Nothing but allows you to end your turn.</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</si>
  <si>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</si>
  <si>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Turn Ends when Entities use all their Actions and Sub-Actions[Flash/Counter]) OR when specified otherwise. (E.g. Stun, Frozen, Ending your Turn...)</t>
  </si>
  <si>
    <t>Ends your turn, Requires you to have used at least 1 Action or Sub-Action unless Overridden.</t>
  </si>
  <si>
    <t>Source of Mind Controll is NOT able to use Targets Faith, NOT able to Attempt to Cast Abilities without Resource and NOT able to attempt to cast abilities without Resource.</t>
  </si>
  <si>
    <t>Any Object Dropped on a Water/Lava Hex is Lost.</t>
  </si>
  <si>
    <t>Unknown Sites(The Question Mark) has a 60% chance of having a good or neutral outcome, thus, probability wise, it is a good idea to go there. (Disclaimer, if you roll a 1, RIP)</t>
  </si>
  <si>
    <t>All Enemies are split in 2 Categories: Sentients and Creatures. Sentients will drop their Gear upon death and their gold, while Creatures will drop Ingredients and Materials.</t>
  </si>
  <si>
    <t>Faith will be automatically consumed to stop death, as long as the Damage is lower than 50/Faith.</t>
  </si>
  <si>
    <t>It Takes a total of 5600 Experience to reach Level 8 and a total of 13200 Xp for Level 12</t>
  </si>
  <si>
    <t>Boats capped at 6 Traversals per day; Boats Spawn on Target Adjacent to Port selected by Player.</t>
  </si>
  <si>
    <t>All Venoms are considered Oils mechanically; Only one Oil can be applied to a weapon at once, applying a new one overrides the old one; Oils lasts until Weapon is unequipped.</t>
  </si>
  <si>
    <t>Dismisal</t>
  </si>
  <si>
    <t>You may use this Action to remove Entities from your Banner; Dismissed Entities become neutral and remains stationary unless interacted with; They disappear on day reset, unless overridden.</t>
  </si>
  <si>
    <t>(P) Weakening Aura: All Hostile Entities in Combat are Weakend</t>
  </si>
  <si>
    <t>Steel Bracer: Arms Piece; +2 Defense; +2 Strength.</t>
  </si>
  <si>
    <t>Uncommon Ore: Results in a Metal Type Uncommon Gear.</t>
  </si>
  <si>
    <t>Uncommon Fabric: Results in a Cloth Type Uncommon Gear.</t>
  </si>
  <si>
    <t>400 Experience; 3 Rare Ingredient</t>
  </si>
  <si>
    <t>Bloodthirst</t>
  </si>
  <si>
    <t>Resource used by the Berzerker Affinity that expires at end of Combat.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</si>
</sst>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76">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sz val="14"/>
      <name val="Arial Black"/>
    </font>
    <font>
      <b/>
      <sz val="18"/>
      <name val="Arial"/>
    </font>
    <font>
      <b/>
      <sz val="13"/>
      <name val="Arial"/>
    </font>
    <font>
      <b/>
      <sz val="13"/>
      <color rgb="FF70AD47"/>
      <name val="Arial"/>
    </font>
    <font>
      <b/>
      <sz val="13"/>
      <color rgb="FFCC8ADE"/>
      <name val="Arial"/>
    </font>
    <font>
      <sz val="11"/>
      <name val="Arial"/>
    </font>
    <font>
      <b/>
      <sz val="13"/>
      <color rgb="FFC65911"/>
      <name val="Arial"/>
    </font>
    <font>
      <b/>
      <sz val="13"/>
      <color theme="1"/>
      <name val="Arial"/>
    </font>
    <font>
      <b/>
      <sz val="20"/>
      <name val="Century"/>
    </font>
    <font>
      <sz val="14"/>
      <color theme="0"/>
      <name val="Arial Black"/>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Black"/>
    </font>
    <font>
      <sz val="16"/>
      <color theme="1"/>
      <name val="Arial"/>
    </font>
    <font>
      <b/>
      <sz val="16"/>
      <color indexed="2"/>
      <name val="Arial"/>
    </font>
    <font>
      <sz val="16"/>
      <color indexed="2"/>
      <name val="Arial"/>
    </font>
    <font>
      <sz val="12"/>
      <color rgb="FF806000"/>
      <name val="Arial"/>
    </font>
    <font>
      <sz val="12"/>
      <color rgb="FF4472C4"/>
      <name val="Arial"/>
    </font>
    <font>
      <sz val="12"/>
      <color rgb="FFC76AE6"/>
      <name val="Arial"/>
    </font>
    <font>
      <sz val="12"/>
      <color rgb="FFED7D31"/>
      <name val="Arial"/>
    </font>
    <font>
      <sz val="12"/>
      <color rgb="FFD9292C"/>
      <name val="Arial"/>
    </font>
    <font>
      <sz val="12"/>
      <color rgb="FF00B0F0"/>
      <name val="Arial"/>
    </font>
    <font>
      <sz val="12"/>
      <color rgb="FF00B0F0"/>
      <name val="Helvetica LT Std"/>
    </font>
    <font>
      <b/>
      <sz val="12"/>
      <color theme="1"/>
      <name val="Helvetica LT Std"/>
    </font>
    <font>
      <sz val="12"/>
      <color rgb="FFD9292C"/>
      <name val="Helvetica LT Std"/>
    </font>
    <font>
      <sz val="12"/>
      <color indexed="65"/>
      <name val="Helvetica LT Std"/>
    </font>
    <font>
      <sz val="12"/>
      <color rgb="FF00B050"/>
      <name val="Helvetica LT Std"/>
    </font>
    <font>
      <sz val="12"/>
      <color rgb="FFFF80E5"/>
      <name val="Helvetica LT Std"/>
    </font>
    <font>
      <sz val="12"/>
      <color rgb="FFFF80E5"/>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0"/>
      <name val="Times New Roman"/>
    </font>
    <font>
      <b/>
      <sz val="9"/>
      <name val="Tahoma"/>
    </font>
    <font>
      <sz val="9"/>
      <name val="Tahoma"/>
    </font>
    <font>
      <sz val="12"/>
      <color rgb="FFFFFFFF"/>
      <name val="Arial"/>
    </font>
    <font>
      <sz val="12"/>
      <color rgb="FF000000"/>
      <name val="Helvetica LT Std"/>
    </font>
    <font>
      <sz val="12"/>
      <color rgb="FF679C44"/>
      <name val="Arial"/>
    </font>
    <font>
      <b/>
      <sz val="12"/>
      <color rgb="FF000000"/>
      <name val="Helvetica LT Std"/>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806000"/>
      <name val="Helvetica LT Std"/>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s>
  <fills count="200">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theme="1" tint="0.249977111117893"/>
        <bgColor indexed="65"/>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63BE7B"/>
        <bgColor rgb="FF63BE7B"/>
      </patternFill>
    </fill>
    <fill>
      <patternFill patternType="solid">
        <fgColor rgb="FFF8696B"/>
        <bgColor rgb="FFF8696B"/>
      </patternFill>
    </fill>
    <fill>
      <patternFill patternType="solid">
        <fgColor rgb="FF8EA9DB"/>
        <bgColor rgb="FF8EA9DB"/>
      </patternFill>
    </fill>
    <fill>
      <patternFill patternType="solid">
        <fgColor rgb="FFE8E583"/>
        <bgColor rgb="FFE8E583"/>
      </patternFill>
    </fill>
    <fill>
      <patternFill patternType="solid">
        <fgColor rgb="FFE2E383"/>
        <bgColor rgb="FFE2E383"/>
      </patternFill>
    </fill>
    <fill>
      <patternFill patternType="solid">
        <fgColor rgb="FFC6EFCE"/>
        <bgColor rgb="FFC6EFCE"/>
      </patternFill>
    </fill>
    <fill>
      <patternFill patternType="solid">
        <fgColor rgb="FFE0E383"/>
        <bgColor rgb="FFE0E383"/>
      </patternFill>
    </fill>
    <fill>
      <patternFill patternType="solid">
        <fgColor rgb="FFFFEB84"/>
        <bgColor rgb="FFFFEB84"/>
      </patternFill>
    </fill>
    <fill>
      <patternFill patternType="solid">
        <fgColor rgb="FFFEE282"/>
        <bgColor rgb="FFFEE282"/>
      </patternFill>
    </fill>
    <fill>
      <patternFill patternType="solid">
        <fgColor rgb="FFF4E884"/>
        <bgColor rgb="FFF4E884"/>
      </patternFill>
    </fill>
    <fill>
      <patternFill patternType="solid">
        <fgColor rgb="FFF6E984"/>
        <bgColor rgb="FFF6E984"/>
      </patternFill>
    </fill>
    <fill>
      <patternFill patternType="solid">
        <fgColor rgb="FFDBE182"/>
        <bgColor rgb="FFDBE182"/>
      </patternFill>
    </fill>
    <fill>
      <patternFill patternType="solid">
        <fgColor rgb="FF6DC17C"/>
        <bgColor rgb="FF6DC17C"/>
      </patternFill>
    </fill>
    <fill>
      <patternFill patternType="solid">
        <fgColor rgb="FFFFC7CE"/>
        <bgColor rgb="FFFFC7CE"/>
      </patternFill>
    </fill>
    <fill>
      <patternFill patternType="solid">
        <fgColor rgb="FFFEDF81"/>
        <bgColor rgb="FFFEDF81"/>
      </patternFill>
    </fill>
    <fill>
      <patternFill patternType="solid">
        <fgColor rgb="FFD8E082"/>
        <bgColor rgb="FFD8E082"/>
      </patternFill>
    </fill>
    <fill>
      <patternFill patternType="solid">
        <fgColor rgb="FFEDE683"/>
        <bgColor rgb="FFEDE683"/>
      </patternFill>
    </fill>
    <fill>
      <patternFill patternType="solid">
        <fgColor rgb="FF9FD07F"/>
        <bgColor rgb="FF9FD07F"/>
      </patternFill>
    </fill>
    <fill>
      <patternFill patternType="solid">
        <fgColor rgb="FFC4DA81"/>
        <bgColor rgb="FFC4DA81"/>
      </patternFill>
    </fill>
    <fill>
      <patternFill patternType="solid">
        <fgColor rgb="FFBBD881"/>
        <bgColor rgb="FFBBD881"/>
      </patternFill>
    </fill>
    <fill>
      <patternFill patternType="solid">
        <fgColor rgb="FFA2D07F"/>
        <bgColor rgb="FFA2D07F"/>
      </patternFill>
    </fill>
    <fill>
      <patternFill patternType="solid">
        <fgColor rgb="FFFDD27F"/>
        <bgColor rgb="FFFDD27F"/>
      </patternFill>
    </fill>
    <fill>
      <patternFill patternType="solid">
        <fgColor rgb="FFFBB279"/>
        <bgColor rgb="FFFBB279"/>
      </patternFill>
    </fill>
    <fill>
      <patternFill patternType="solid">
        <fgColor rgb="FFC1DA81"/>
        <bgColor rgb="FFC1DA81"/>
      </patternFill>
    </fill>
    <fill>
      <patternFill patternType="solid">
        <fgColor rgb="FFFEE783"/>
        <bgColor rgb="FFFEE783"/>
      </patternFill>
    </fill>
    <fill>
      <patternFill patternType="solid">
        <fgColor rgb="FFFEDA80"/>
        <bgColor rgb="FFFEDA80"/>
      </patternFill>
    </fill>
    <fill>
      <patternFill patternType="solid">
        <fgColor rgb="FFFBA175"/>
        <bgColor rgb="FFFBA175"/>
      </patternFill>
    </fill>
    <fill>
      <patternFill patternType="solid">
        <fgColor rgb="FFCFDE82"/>
        <bgColor rgb="FFCFDE82"/>
      </patternFill>
    </fill>
    <fill>
      <patternFill patternType="solid">
        <fgColor rgb="FFFDC57C"/>
        <bgColor rgb="FFFDC57C"/>
      </patternFill>
    </fill>
    <fill>
      <patternFill patternType="solid">
        <fgColor rgb="FFFCC27C"/>
        <bgColor rgb="FFFCC27C"/>
      </patternFill>
    </fill>
    <fill>
      <patternFill patternType="solid">
        <fgColor rgb="FFFA9974"/>
        <bgColor rgb="FFFA9974"/>
      </patternFill>
    </fill>
    <fill>
      <patternFill patternType="solid">
        <fgColor rgb="FFFBA977"/>
        <bgColor rgb="FFFBA977"/>
      </patternFill>
    </fill>
    <fill>
      <patternFill patternType="solid">
        <fgColor rgb="FFACD380"/>
        <bgColor rgb="FFACD380"/>
      </patternFill>
    </fill>
    <fill>
      <patternFill patternType="solid">
        <fgColor rgb="FFF98670"/>
        <bgColor rgb="FFF98670"/>
      </patternFill>
    </fill>
    <fill>
      <patternFill patternType="solid">
        <fgColor rgb="FFFBAF78"/>
        <bgColor rgb="FFFBAF78"/>
      </patternFill>
    </fill>
    <fill>
      <patternFill patternType="solid">
        <fgColor rgb="FFFCBA7A"/>
        <bgColor rgb="FFFCBA7A"/>
      </patternFill>
    </fill>
    <fill>
      <patternFill patternType="solid">
        <fgColor rgb="FFFBA075"/>
        <bgColor rgb="FFFBA075"/>
      </patternFill>
    </fill>
    <fill>
      <patternFill patternType="solid">
        <fgColor rgb="FFFDCD7E"/>
        <bgColor rgb="FFFDCD7E"/>
      </patternFill>
    </fill>
    <fill>
      <patternFill patternType="solid">
        <fgColor rgb="FFFDD17F"/>
        <bgColor rgb="FFFDD17F"/>
      </patternFill>
    </fill>
    <fill>
      <patternFill patternType="solid">
        <fgColor rgb="FFF98A71"/>
        <bgColor rgb="FFF98A71"/>
      </patternFill>
    </fill>
    <fill>
      <patternFill patternType="solid">
        <fgColor rgb="FFECE683"/>
        <bgColor rgb="FFECE683"/>
      </patternFill>
    </fill>
    <fill>
      <patternFill patternType="solid">
        <fgColor rgb="FF94CD7E"/>
        <bgColor rgb="FF94CD7E"/>
      </patternFill>
    </fill>
    <fill>
      <patternFill patternType="solid">
        <fgColor rgb="FFB8D8F5"/>
        <bgColor rgb="FFB8D8F5"/>
      </patternFill>
    </fill>
    <fill>
      <patternFill patternType="solid">
        <fgColor rgb="FFCFDD82"/>
        <bgColor rgb="FFCFDD82"/>
      </patternFill>
    </fill>
    <fill>
      <patternFill patternType="solid">
        <fgColor rgb="FFC5DB81"/>
        <bgColor rgb="FFC5DB81"/>
      </patternFill>
    </fill>
    <fill>
      <patternFill patternType="solid">
        <fgColor rgb="FFFDCA7D"/>
        <bgColor rgb="FFFDCA7D"/>
      </patternFill>
    </fill>
    <fill>
      <patternFill patternType="solid">
        <fgColor rgb="FFC9DC81"/>
        <bgColor rgb="FFC9DC81"/>
      </patternFill>
    </fill>
    <fill>
      <patternFill patternType="solid">
        <fgColor rgb="FFF9EA84"/>
        <bgColor rgb="FFF9EA84"/>
      </patternFill>
    </fill>
    <fill>
      <patternFill patternType="solid">
        <fgColor rgb="FF9ECF7F"/>
        <bgColor rgb="FF9ECF7F"/>
      </patternFill>
    </fill>
    <fill>
      <patternFill patternType="solid">
        <fgColor rgb="FFFBA877"/>
        <bgColor rgb="FFFBA877"/>
      </patternFill>
    </fill>
    <fill>
      <patternFill patternType="solid">
        <fgColor rgb="FFA8D27F"/>
        <bgColor rgb="FFA8D27F"/>
      </patternFill>
    </fill>
    <fill>
      <patternFill patternType="solid">
        <fgColor rgb="FFFBAA77"/>
        <bgColor rgb="FFFBAA77"/>
      </patternFill>
    </fill>
    <fill>
      <patternFill patternType="solid">
        <fgColor rgb="FFFED880"/>
        <bgColor rgb="FFFED880"/>
      </patternFill>
    </fill>
    <fill>
      <patternFill patternType="solid">
        <fgColor rgb="FFFEDC81"/>
        <bgColor rgb="FFFEDC81"/>
      </patternFill>
    </fill>
    <fill>
      <patternFill patternType="solid">
        <fgColor rgb="FFBDD881"/>
        <bgColor rgb="FFBDD881"/>
      </patternFill>
    </fill>
    <fill>
      <patternFill patternType="solid">
        <fgColor rgb="FFF57558"/>
        <bgColor rgb="FFF57558"/>
      </patternFill>
    </fill>
    <fill>
      <patternFill patternType="solid">
        <fgColor rgb="FFB1D580"/>
        <bgColor rgb="FFB1D580"/>
      </patternFill>
    </fill>
    <fill>
      <patternFill patternType="solid">
        <fgColor rgb="FF83C77D"/>
        <bgColor rgb="FF83C77D"/>
      </patternFill>
    </fill>
    <fill>
      <patternFill patternType="solid">
        <fgColor rgb="FFFEE382"/>
        <bgColor rgb="FFFEE382"/>
      </patternFill>
    </fill>
    <fill>
      <patternFill patternType="solid">
        <fgColor rgb="FFB3FFEC"/>
        <bgColor rgb="FFB3FFEC"/>
      </patternFill>
    </fill>
    <fill>
      <patternFill patternType="solid">
        <fgColor rgb="FFB7D780"/>
        <bgColor rgb="FFB7D780"/>
      </patternFill>
    </fill>
    <fill>
      <patternFill patternType="solid">
        <fgColor rgb="FFFDD47F"/>
        <bgColor rgb="FFFDD47F"/>
      </patternFill>
    </fill>
    <fill>
      <patternFill patternType="solid">
        <fgColor rgb="FF93CC7E"/>
        <bgColor rgb="FF93CC7E"/>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rgb="FFFF82FD"/>
      </patternFill>
    </fill>
    <fill>
      <patternFill patternType="solid">
        <fgColor rgb="FFF4B084"/>
      </patternFill>
    </fill>
    <fill>
      <patternFill patternType="solid">
        <fgColor rgb="FFFA5C5F"/>
      </patternFill>
    </fill>
    <fill>
      <patternFill patternType="solid">
        <fgColor rgb="FFFFE699"/>
      </patternFill>
    </fill>
    <fill>
      <patternFill patternType="solid">
        <fgColor rgb="FF9BC2E6"/>
      </patternFill>
    </fill>
    <fill>
      <patternFill patternType="solid">
        <fgColor rgb="FF00B050"/>
      </patternFill>
    </fill>
    <fill>
      <patternFill patternType="solid">
        <fgColor rgb="FF00B050"/>
        <bgColor rgb="FF00B050"/>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s>
  <borders count="44">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s>
  <cellStyleXfs count="3">
    <xf numFmtId="0" fontId="0" fillId="0" borderId="0"/>
    <xf numFmtId="0" fontId="1" fillId="2" borderId="1" applyNumberFormat="0" applyProtection="0"/>
    <xf numFmtId="0" fontId="172" fillId="199" borderId="0" applyNumberFormat="0" applyBorder="0" applyAlignment="0" applyProtection="0"/>
  </cellStyleXfs>
  <cellXfs count="897">
    <xf numFmtId="0" fontId="0" fillId="0" borderId="0" xfId="0"/>
    <xf numFmtId="0" fontId="2" fillId="0" borderId="0" xfId="0" applyFont="1"/>
    <xf numFmtId="0" fontId="3" fillId="0" borderId="0" xfId="0" applyFont="1" applyAlignment="1">
      <alignment horizontal="left"/>
    </xf>
    <xf numFmtId="0" fontId="2" fillId="0" borderId="0" xfId="0" applyFont="1" applyAlignment="1">
      <alignment horizontal="left"/>
    </xf>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9"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0" fillId="0" borderId="0" xfId="0"/>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0" fillId="0" borderId="0" xfId="0"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xf>
    <xf numFmtId="0" fontId="25" fillId="14" borderId="10" xfId="0" applyFont="1" applyFill="1" applyBorder="1" applyAlignment="1">
      <alignment horizontal="center"/>
    </xf>
    <xf numFmtId="0" fontId="25" fillId="15" borderId="0" xfId="0" applyFont="1" applyFill="1" applyAlignment="1">
      <alignment horizontal="center"/>
    </xf>
    <xf numFmtId="0" fontId="25" fillId="15" borderId="12" xfId="0" applyFont="1" applyFill="1" applyBorder="1" applyAlignment="1">
      <alignment horizontal="center"/>
    </xf>
    <xf numFmtId="0" fontId="25" fillId="16" borderId="0" xfId="0" applyFont="1" applyFill="1" applyAlignment="1">
      <alignment horizontal="center"/>
    </xf>
    <xf numFmtId="0" fontId="25" fillId="16" borderId="12" xfId="0" applyFont="1" applyFill="1" applyBorder="1" applyAlignment="1">
      <alignment horizontal="center"/>
    </xf>
    <xf numFmtId="0" fontId="25" fillId="17" borderId="0" xfId="0" applyFont="1" applyFill="1" applyAlignment="1">
      <alignment horizontal="center"/>
    </xf>
    <xf numFmtId="0" fontId="25" fillId="17" borderId="12" xfId="0" applyFont="1" applyFill="1" applyBorder="1" applyAlignment="1">
      <alignment horizontal="center"/>
    </xf>
    <xf numFmtId="0" fontId="25" fillId="18" borderId="0" xfId="0" applyFont="1" applyFill="1" applyAlignment="1">
      <alignment horizontal="center"/>
    </xf>
    <xf numFmtId="0" fontId="25" fillId="18" borderId="12" xfId="0" applyFont="1" applyFill="1" applyBorder="1" applyAlignment="1">
      <alignment horizontal="center"/>
    </xf>
    <xf numFmtId="0" fontId="25" fillId="19" borderId="0" xfId="0" applyFont="1" applyFill="1" applyAlignment="1">
      <alignment horizontal="center"/>
    </xf>
    <xf numFmtId="0" fontId="25" fillId="19" borderId="12" xfId="0" applyFont="1" applyFill="1" applyBorder="1" applyAlignment="1">
      <alignment horizontal="center"/>
    </xf>
    <xf numFmtId="0" fontId="25" fillId="20" borderId="0" xfId="0" applyFont="1" applyFill="1" applyAlignment="1">
      <alignment horizontal="center"/>
    </xf>
    <xf numFmtId="0" fontId="25" fillId="20" borderId="14" xfId="0" applyFont="1" applyFill="1" applyBorder="1" applyAlignment="1">
      <alignment horizontal="center"/>
    </xf>
    <xf numFmtId="0" fontId="25" fillId="5" borderId="0" xfId="0" applyFont="1" applyFill="1" applyAlignment="1">
      <alignment horizontal="left"/>
    </xf>
    <xf numFmtId="0" fontId="23" fillId="22" borderId="0" xfId="0" applyFont="1" applyFill="1" applyAlignment="1">
      <alignment horizontal="center"/>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0" fillId="14" borderId="0" xfId="0" applyFill="1" applyAlignment="1">
      <alignment horizontal="left"/>
    </xf>
    <xf numFmtId="0" fontId="25" fillId="15" borderId="0" xfId="0" applyFont="1" applyFill="1" applyAlignment="1">
      <alignment horizontal="center"/>
    </xf>
    <xf numFmtId="0" fontId="0" fillId="15" borderId="0" xfId="0" applyFill="1" applyAlignment="1">
      <alignment horizontal="left"/>
    </xf>
    <xf numFmtId="0" fontId="25" fillId="16" borderId="0" xfId="0" applyFont="1" applyFill="1" applyAlignment="1">
      <alignment horizontal="center"/>
    </xf>
    <xf numFmtId="0" fontId="0" fillId="16" borderId="0" xfId="0" applyFill="1" applyAlignment="1">
      <alignment horizontal="left"/>
    </xf>
    <xf numFmtId="0" fontId="25" fillId="17" borderId="0" xfId="0" applyFont="1" applyFill="1" applyAlignment="1">
      <alignment horizontal="center"/>
    </xf>
    <xf numFmtId="0" fontId="0" fillId="17" borderId="0" xfId="0" applyFill="1" applyAlignment="1">
      <alignment horizontal="left"/>
    </xf>
    <xf numFmtId="0" fontId="25" fillId="18" borderId="0" xfId="0" applyFont="1" applyFill="1" applyAlignment="1">
      <alignment horizontal="center" wrapText="1"/>
    </xf>
    <xf numFmtId="0" fontId="25" fillId="18" borderId="0" xfId="0" applyFont="1" applyFill="1" applyAlignment="1">
      <alignment horizontal="center"/>
    </xf>
    <xf numFmtId="0" fontId="0" fillId="18" borderId="0" xfId="0" applyFill="1" applyAlignment="1">
      <alignment horizontal="left"/>
    </xf>
    <xf numFmtId="0" fontId="25" fillId="19" borderId="0" xfId="0" applyFont="1" applyFill="1" applyAlignment="1">
      <alignment horizontal="center"/>
    </xf>
    <xf numFmtId="0" fontId="0" fillId="19" borderId="0" xfId="0" applyFill="1" applyAlignment="1">
      <alignment horizontal="left"/>
    </xf>
    <xf numFmtId="0" fontId="25" fillId="20" borderId="0" xfId="0" applyFont="1" applyFill="1" applyAlignment="1">
      <alignment horizontal="center"/>
    </xf>
    <xf numFmtId="0" fontId="0" fillId="20" borderId="0" xfId="0" applyFill="1" applyAlignment="1">
      <alignment horizontal="left"/>
    </xf>
    <xf numFmtId="0" fontId="25" fillId="6" borderId="0" xfId="0" applyFont="1" applyFill="1" applyAlignment="1">
      <alignment horizontal="left"/>
    </xf>
    <xf numFmtId="0" fontId="23" fillId="5" borderId="0" xfId="0" applyFont="1" applyFill="1" applyAlignment="1">
      <alignment horizontal="center"/>
    </xf>
    <xf numFmtId="0" fontId="0" fillId="0" borderId="0" xfId="0" applyAlignment="1">
      <alignment horizontal="left"/>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18" borderId="13" xfId="0" applyFont="1" applyFill="1" applyBorder="1" applyAlignment="1">
      <alignment horizontal="center"/>
    </xf>
    <xf numFmtId="0" fontId="25" fillId="19"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2" xfId="0" applyFont="1" applyFill="1" applyBorder="1" applyAlignment="1">
      <alignment horizontal="center"/>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2" xfId="0" applyFont="1" applyFill="1" applyBorder="1" applyAlignment="1">
      <alignment horizont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xf>
    <xf numFmtId="0" fontId="0" fillId="25" borderId="13" xfId="0" applyFill="1" applyBorder="1" applyAlignment="1">
      <alignment horizontal="left" vertical="center"/>
    </xf>
    <xf numFmtId="0" fontId="25" fillId="26" borderId="12" xfId="0" applyFont="1" applyFill="1" applyBorder="1" applyAlignment="1">
      <alignment horizontal="center"/>
    </xf>
    <xf numFmtId="0" fontId="25" fillId="26" borderId="13" xfId="0" applyFont="1" applyFill="1" applyBorder="1" applyAlignment="1">
      <alignment horizontal="center"/>
    </xf>
    <xf numFmtId="0" fontId="25" fillId="26" borderId="0" xfId="0" applyFont="1" applyFill="1" applyAlignment="1">
      <alignment horizontal="center"/>
    </xf>
    <xf numFmtId="0" fontId="12" fillId="26" borderId="13" xfId="0" applyFont="1" applyFill="1" applyBorder="1" applyAlignment="1">
      <alignment horizontal="center" vertical="center" wrapText="1"/>
    </xf>
    <xf numFmtId="0" fontId="0" fillId="26" borderId="13" xfId="0" applyFill="1" applyBorder="1" applyAlignment="1">
      <alignment horizontal="left" vertical="center"/>
    </xf>
    <xf numFmtId="0" fontId="25" fillId="26" borderId="14" xfId="0" applyFont="1" applyFill="1" applyBorder="1" applyAlignment="1">
      <alignment horizontal="center"/>
    </xf>
    <xf numFmtId="0" fontId="25" fillId="26" borderId="15" xfId="0" applyFont="1" applyFill="1" applyBorder="1" applyAlignment="1">
      <alignment horizontal="center"/>
    </xf>
    <xf numFmtId="0" fontId="25" fillId="26" borderId="17" xfId="0" applyFont="1" applyFill="1" applyBorder="1" applyAlignment="1">
      <alignment horizontal="center"/>
    </xf>
    <xf numFmtId="0" fontId="0" fillId="26" borderId="15" xfId="0" applyFill="1" applyBorder="1" applyAlignment="1">
      <alignment horizontal="left" vertical="center"/>
    </xf>
    <xf numFmtId="0" fontId="26" fillId="0" borderId="0" xfId="0" applyFont="1"/>
    <xf numFmtId="0" fontId="27" fillId="27" borderId="4" xfId="0" applyFont="1" applyFill="1" applyBorder="1" applyAlignment="1">
      <alignment horizontal="center"/>
    </xf>
    <xf numFmtId="0" fontId="27" fillId="27" borderId="14" xfId="0" applyFont="1" applyFill="1" applyBorder="1" applyAlignment="1">
      <alignment horizontal="center"/>
    </xf>
    <xf numFmtId="0" fontId="27" fillId="27" borderId="0" xfId="0" applyFont="1" applyFill="1" applyAlignment="1">
      <alignment horizontal="center"/>
    </xf>
    <xf numFmtId="0" fontId="28" fillId="28" borderId="12" xfId="0" applyFont="1" applyFill="1" applyBorder="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34" borderId="0" xfId="0" applyFont="1" applyFill="1" applyAlignment="1">
      <alignment horizontal="center" vertical="center"/>
    </xf>
    <xf numFmtId="0" fontId="28" fillId="20" borderId="0" xfId="0" applyFont="1" applyFill="1" applyAlignment="1">
      <alignment horizontal="center" vertical="center"/>
    </xf>
    <xf numFmtId="0" fontId="28" fillId="35" borderId="0" xfId="0" applyFont="1" applyFill="1" applyAlignment="1">
      <alignment horizontal="center" vertical="center"/>
    </xf>
    <xf numFmtId="0" fontId="28" fillId="36" borderId="0" xfId="0" applyFont="1" applyFill="1" applyAlignment="1">
      <alignment horizontal="center" vertical="center"/>
    </xf>
    <xf numFmtId="0" fontId="29" fillId="37" borderId="0" xfId="0" applyFont="1" applyFill="1" applyAlignment="1">
      <alignment horizontal="center" vertical="center"/>
    </xf>
    <xf numFmtId="0" fontId="29" fillId="15" borderId="0" xfId="0" applyFont="1" applyFill="1" applyAlignment="1">
      <alignment horizontal="center" vertical="center"/>
    </xf>
    <xf numFmtId="0" fontId="3" fillId="38" borderId="13" xfId="0" applyFont="1" applyFill="1" applyBorder="1" applyAlignment="1">
      <alignment horizontal="left"/>
    </xf>
    <xf numFmtId="0" fontId="31" fillId="38" borderId="11" xfId="0" applyFont="1" applyFill="1" applyBorder="1" applyAlignment="1">
      <alignment horizontal="center"/>
    </xf>
    <xf numFmtId="0" fontId="31" fillId="39" borderId="18" xfId="0" applyFont="1" applyFill="1" applyBorder="1" applyAlignment="1">
      <alignment horizontal="center"/>
    </xf>
    <xf numFmtId="0" fontId="31" fillId="40" borderId="15" xfId="0" applyFont="1" applyFill="1" applyBorder="1" applyAlignment="1">
      <alignment horizontal="center"/>
    </xf>
    <xf numFmtId="0" fontId="31" fillId="0" borderId="0" xfId="0" applyFont="1" applyAlignment="1">
      <alignment horizontal="center"/>
    </xf>
    <xf numFmtId="0" fontId="31" fillId="0" borderId="13" xfId="0" applyFont="1" applyBorder="1" applyAlignment="1">
      <alignment horizontal="center"/>
    </xf>
    <xf numFmtId="49" fontId="32" fillId="0" borderId="0" xfId="0" applyNumberFormat="1" applyFont="1" applyAlignment="1">
      <alignment horizontal="center"/>
    </xf>
    <xf numFmtId="49" fontId="33" fillId="0" borderId="0" xfId="0" applyNumberFormat="1" applyFont="1" applyAlignment="1">
      <alignment horizontal="center"/>
    </xf>
    <xf numFmtId="9" fontId="31" fillId="41" borderId="14" xfId="0" applyNumberFormat="1" applyFont="1" applyFill="1" applyBorder="1" applyAlignment="1">
      <alignment horizontal="center"/>
    </xf>
    <xf numFmtId="9" fontId="31" fillId="30" borderId="17" xfId="0" applyNumberFormat="1" applyFont="1" applyFill="1" applyBorder="1" applyAlignment="1">
      <alignment horizontal="center"/>
    </xf>
    <xf numFmtId="9" fontId="31" fillId="42" borderId="19" xfId="0" applyNumberFormat="1" applyFont="1" applyFill="1" applyBorder="1" applyAlignment="1">
      <alignment horizontal="center"/>
    </xf>
    <xf numFmtId="9" fontId="31" fillId="43" borderId="19" xfId="0" applyNumberFormat="1" applyFont="1" applyFill="1" applyBorder="1" applyAlignment="1">
      <alignment horizontal="center"/>
    </xf>
    <xf numFmtId="9" fontId="31" fillId="23" borderId="19" xfId="0" applyNumberFormat="1" applyFont="1" applyFill="1" applyBorder="1" applyAlignment="1">
      <alignment horizontal="center"/>
    </xf>
    <xf numFmtId="9" fontId="31" fillId="44" borderId="19" xfId="0" applyNumberFormat="1" applyFont="1" applyFill="1" applyBorder="1" applyAlignment="1">
      <alignment horizontal="center"/>
    </xf>
    <xf numFmtId="9" fontId="31" fillId="16" borderId="19" xfId="0" applyNumberFormat="1" applyFont="1" applyFill="1" applyBorder="1" applyAlignment="1">
      <alignment horizontal="center"/>
    </xf>
    <xf numFmtId="9" fontId="31" fillId="45" borderId="19" xfId="0" applyNumberFormat="1" applyFont="1" applyFill="1" applyBorder="1" applyAlignment="1">
      <alignment horizontal="center"/>
    </xf>
    <xf numFmtId="9" fontId="31" fillId="46" borderId="18" xfId="0" applyNumberFormat="1" applyFont="1" applyFill="1" applyBorder="1" applyAlignment="1">
      <alignment horizontal="center"/>
    </xf>
    <xf numFmtId="164" fontId="23" fillId="0" borderId="0" xfId="0" applyNumberFormat="1" applyFont="1" applyAlignment="1">
      <alignment horizontal="center"/>
    </xf>
    <xf numFmtId="0" fontId="34" fillId="0" borderId="0" xfId="0" applyFont="1" applyAlignment="1">
      <alignment horizontal="right"/>
    </xf>
    <xf numFmtId="1" fontId="34" fillId="0" borderId="0" xfId="0" applyNumberFormat="1" applyFont="1" applyAlignment="1">
      <alignment horizontal="right"/>
    </xf>
    <xf numFmtId="49" fontId="34" fillId="0" borderId="0" xfId="0" applyNumberFormat="1" applyFont="1" applyAlignment="1">
      <alignment horizontal="right" vertical="center" wrapText="1"/>
    </xf>
    <xf numFmtId="0" fontId="31" fillId="0" borderId="0" xfId="0" applyFont="1" applyAlignment="1">
      <alignment horizontal="center" vertical="center"/>
    </xf>
    <xf numFmtId="164" fontId="35" fillId="47" borderId="0" xfId="0" applyNumberFormat="1" applyFont="1" applyFill="1" applyAlignment="1">
      <alignment horizontal="center" vertical="center"/>
    </xf>
    <xf numFmtId="164" fontId="35" fillId="0" borderId="0" xfId="0" applyNumberFormat="1" applyFont="1" applyAlignment="1">
      <alignment horizontal="center" vertical="center"/>
    </xf>
    <xf numFmtId="1" fontId="31" fillId="0" borderId="0" xfId="0" applyNumberFormat="1" applyFont="1" applyAlignment="1">
      <alignment horizontal="center"/>
    </xf>
    <xf numFmtId="164" fontId="23" fillId="48" borderId="0" xfId="0" applyNumberFormat="1" applyFont="1" applyFill="1" applyAlignment="1">
      <alignment horizontal="center"/>
    </xf>
    <xf numFmtId="0" fontId="23" fillId="0" borderId="0" xfId="0" applyFont="1" applyAlignment="1">
      <alignment horizontal="left"/>
    </xf>
    <xf numFmtId="0" fontId="34" fillId="0" borderId="0" xfId="0" applyFont="1" applyAlignment="1">
      <alignment horizontal="left"/>
    </xf>
    <xf numFmtId="0" fontId="34" fillId="37" borderId="0" xfId="0" applyFont="1" applyFill="1" applyAlignment="1">
      <alignment horizontal="left"/>
    </xf>
    <xf numFmtId="0" fontId="23" fillId="49" borderId="0" xfId="0" applyFont="1" applyFill="1" applyAlignment="1">
      <alignment horizontal="left"/>
    </xf>
    <xf numFmtId="0" fontId="23" fillId="37" borderId="0" xfId="0" applyFont="1" applyFill="1" applyAlignment="1">
      <alignment horizontal="left"/>
    </xf>
    <xf numFmtId="0" fontId="31" fillId="38" borderId="13" xfId="0" applyFont="1" applyFill="1" applyBorder="1" applyAlignment="1">
      <alignment horizontal="center"/>
    </xf>
    <xf numFmtId="1" fontId="36" fillId="0" borderId="0" xfId="0" applyNumberFormat="1" applyFont="1" applyAlignment="1">
      <alignment horizontal="left"/>
    </xf>
    <xf numFmtId="0" fontId="34" fillId="50" borderId="0" xfId="0" applyFont="1" applyFill="1" applyAlignment="1">
      <alignment horizontal="right"/>
    </xf>
    <xf numFmtId="49" fontId="23" fillId="0" borderId="0" xfId="0" applyNumberFormat="1" applyFont="1" applyAlignment="1">
      <alignment horizontal="center"/>
    </xf>
    <xf numFmtId="1" fontId="23" fillId="51" borderId="0" xfId="0" applyNumberFormat="1" applyFont="1" applyFill="1" applyAlignment="1">
      <alignment horizontal="center"/>
    </xf>
    <xf numFmtId="0" fontId="23" fillId="49" borderId="0" xfId="0" applyFont="1" applyFill="1" applyAlignment="1">
      <alignment horizontal="center"/>
    </xf>
    <xf numFmtId="0" fontId="34" fillId="37" borderId="0" xfId="0" applyFont="1" applyFill="1" applyAlignment="1">
      <alignment horizontal="right"/>
    </xf>
    <xf numFmtId="1" fontId="0" fillId="52" borderId="0" xfId="0" applyNumberFormat="1" applyFill="1" applyAlignment="1">
      <alignment horizontal="center"/>
    </xf>
    <xf numFmtId="0" fontId="31" fillId="38" borderId="15" xfId="0" applyFont="1" applyFill="1" applyBorder="1" applyAlignment="1">
      <alignment horizontal="center"/>
    </xf>
    <xf numFmtId="164" fontId="23" fillId="53" borderId="0" xfId="0" applyNumberFormat="1" applyFont="1" applyFill="1" applyAlignment="1">
      <alignment horizontal="center"/>
    </xf>
    <xf numFmtId="0" fontId="34" fillId="54" borderId="0" xfId="0" applyFont="1" applyFill="1" applyAlignment="1">
      <alignment horizontal="right"/>
    </xf>
    <xf numFmtId="1" fontId="23" fillId="55" borderId="0" xfId="0" applyNumberFormat="1" applyFont="1" applyFill="1" applyAlignment="1">
      <alignment horizontal="center"/>
    </xf>
    <xf numFmtId="0" fontId="3" fillId="38" borderId="12" xfId="0" applyFont="1" applyFill="1" applyBorder="1" applyAlignment="1">
      <alignment horizontal="left"/>
    </xf>
    <xf numFmtId="0" fontId="31" fillId="39" borderId="4" xfId="0" applyFont="1" applyFill="1" applyBorder="1" applyAlignment="1">
      <alignment horizontal="center"/>
    </xf>
    <xf numFmtId="0" fontId="31" fillId="40" borderId="4" xfId="0" applyFont="1" applyFill="1" applyBorder="1" applyAlignment="1">
      <alignment horizontal="center"/>
    </xf>
    <xf numFmtId="9" fontId="31" fillId="41" borderId="9" xfId="0" applyNumberFormat="1" applyFont="1" applyFill="1" applyBorder="1" applyAlignment="1">
      <alignment horizontal="center"/>
    </xf>
    <xf numFmtId="9" fontId="31" fillId="30" borderId="19" xfId="0" applyNumberFormat="1" applyFont="1" applyFill="1" applyBorder="1" applyAlignment="1">
      <alignment horizontal="center"/>
    </xf>
    <xf numFmtId="0" fontId="34" fillId="56" borderId="0" xfId="0" applyFont="1" applyFill="1" applyAlignment="1">
      <alignment horizontal="right"/>
    </xf>
    <xf numFmtId="1" fontId="23" fillId="57" borderId="0" xfId="0" applyNumberFormat="1" applyFont="1" applyFill="1" applyAlignment="1">
      <alignment horizontal="center"/>
    </xf>
    <xf numFmtId="0" fontId="34" fillId="58" borderId="0" xfId="0" applyFont="1" applyFill="1" applyAlignment="1">
      <alignment horizontal="right"/>
    </xf>
    <xf numFmtId="1" fontId="23" fillId="59" borderId="0" xfId="0" applyNumberFormat="1" applyFont="1" applyFill="1" applyAlignment="1">
      <alignment horizontal="center"/>
    </xf>
    <xf numFmtId="1" fontId="0" fillId="60" borderId="0" xfId="0" applyNumberFormat="1" applyFill="1" applyAlignment="1">
      <alignment horizontal="center"/>
    </xf>
    <xf numFmtId="0" fontId="34" fillId="61" borderId="0" xfId="0" applyFont="1" applyFill="1" applyAlignment="1">
      <alignment horizontal="right"/>
    </xf>
    <xf numFmtId="1" fontId="23" fillId="62" borderId="0" xfId="0" applyNumberFormat="1" applyFont="1" applyFill="1" applyAlignment="1">
      <alignment horizontal="center"/>
    </xf>
    <xf numFmtId="0" fontId="34" fillId="63" borderId="0" xfId="0" applyFont="1" applyFill="1" applyAlignment="1">
      <alignment horizontal="right"/>
    </xf>
    <xf numFmtId="0" fontId="34" fillId="64" borderId="0" xfId="0" applyFont="1" applyFill="1" applyAlignment="1">
      <alignment horizontal="right"/>
    </xf>
    <xf numFmtId="0" fontId="34" fillId="65" borderId="0" xfId="0" applyFont="1" applyFill="1" applyAlignment="1">
      <alignment horizontal="right"/>
    </xf>
    <xf numFmtId="1" fontId="23" fillId="66" borderId="0" xfId="0" applyNumberFormat="1" applyFont="1" applyFill="1" applyAlignment="1">
      <alignment horizontal="center"/>
    </xf>
    <xf numFmtId="164" fontId="23" fillId="67" borderId="0" xfId="0" applyNumberFormat="1" applyFont="1" applyFill="1" applyAlignment="1">
      <alignment horizontal="center"/>
    </xf>
    <xf numFmtId="1" fontId="23" fillId="68" borderId="0" xfId="0" applyNumberFormat="1" applyFont="1" applyFill="1" applyAlignment="1">
      <alignment horizontal="center"/>
    </xf>
    <xf numFmtId="1" fontId="23" fillId="69" borderId="0" xfId="0" applyNumberFormat="1" applyFont="1" applyFill="1" applyAlignment="1">
      <alignment horizontal="center"/>
    </xf>
    <xf numFmtId="164" fontId="23" fillId="70" borderId="0" xfId="0" applyNumberFormat="1" applyFont="1" applyFill="1" applyAlignment="1">
      <alignment horizontal="center"/>
    </xf>
    <xf numFmtId="0" fontId="34" fillId="71" borderId="0" xfId="0" applyFont="1" applyFill="1" applyAlignment="1">
      <alignment horizontal="right"/>
    </xf>
    <xf numFmtId="1" fontId="23" fillId="72" borderId="0" xfId="0" applyNumberFormat="1" applyFont="1" applyFill="1" applyAlignment="1">
      <alignment horizontal="center"/>
    </xf>
    <xf numFmtId="1" fontId="23" fillId="73" borderId="0" xfId="0" applyNumberFormat="1" applyFont="1" applyFill="1" applyAlignment="1">
      <alignment horizontal="center"/>
    </xf>
    <xf numFmtId="0" fontId="34" fillId="74" borderId="0" xfId="0" applyFont="1" applyFill="1" applyAlignment="1">
      <alignment horizontal="right"/>
    </xf>
    <xf numFmtId="1" fontId="23" fillId="54" borderId="0" xfId="0" applyNumberFormat="1" applyFont="1" applyFill="1" applyAlignment="1">
      <alignment horizontal="center"/>
    </xf>
    <xf numFmtId="0" fontId="34" fillId="75" borderId="0" xfId="0" applyFont="1" applyFill="1" applyAlignment="1">
      <alignment horizontal="right"/>
    </xf>
    <xf numFmtId="1" fontId="23" fillId="76" borderId="0" xfId="0" applyNumberFormat="1" applyFont="1" applyFill="1" applyAlignment="1">
      <alignment horizontal="center"/>
    </xf>
    <xf numFmtId="1" fontId="23" fillId="47" borderId="0" xfId="0" applyNumberFormat="1" applyFont="1" applyFill="1" applyAlignment="1">
      <alignment horizontal="center"/>
    </xf>
    <xf numFmtId="0" fontId="34" fillId="77" borderId="0" xfId="0" applyFont="1" applyFill="1" applyAlignment="1">
      <alignment horizontal="right"/>
    </xf>
    <xf numFmtId="1" fontId="23" fillId="78" borderId="0" xfId="0" applyNumberFormat="1" applyFont="1" applyFill="1" applyAlignment="1">
      <alignment horizontal="center"/>
    </xf>
    <xf numFmtId="0" fontId="34" fillId="79" borderId="0" xfId="0" applyFont="1" applyFill="1" applyAlignment="1">
      <alignment horizontal="right"/>
    </xf>
    <xf numFmtId="0" fontId="34" fillId="80" borderId="0" xfId="0" applyFont="1" applyFill="1" applyAlignment="1">
      <alignment horizontal="right"/>
    </xf>
    <xf numFmtId="1" fontId="23" fillId="48" borderId="0" xfId="0" applyNumberFormat="1" applyFont="1" applyFill="1" applyAlignment="1">
      <alignment horizontal="center"/>
    </xf>
    <xf numFmtId="0" fontId="34" fillId="81" borderId="0" xfId="0" applyFont="1" applyFill="1" applyAlignment="1">
      <alignment horizontal="right"/>
    </xf>
    <xf numFmtId="1" fontId="23" fillId="82" borderId="0" xfId="0" applyNumberFormat="1" applyFont="1" applyFill="1" applyAlignment="1">
      <alignment horizontal="center"/>
    </xf>
    <xf numFmtId="0" fontId="34" fillId="83" borderId="0" xfId="0" applyFont="1" applyFill="1" applyAlignment="1">
      <alignment horizontal="right"/>
    </xf>
    <xf numFmtId="1" fontId="23" fillId="77" borderId="0" xfId="0" applyNumberFormat="1" applyFont="1" applyFill="1" applyAlignment="1">
      <alignment horizontal="center"/>
    </xf>
    <xf numFmtId="0" fontId="34" fillId="84" borderId="0" xfId="0" applyFont="1" applyFill="1" applyAlignment="1">
      <alignment horizontal="right"/>
    </xf>
    <xf numFmtId="9" fontId="31" fillId="23" borderId="17" xfId="0" applyNumberFormat="1" applyFont="1" applyFill="1" applyBorder="1" applyAlignment="1">
      <alignment horizontal="center"/>
    </xf>
    <xf numFmtId="0" fontId="34" fillId="85" borderId="0" xfId="0" applyFont="1" applyFill="1" applyAlignment="1">
      <alignment horizontal="right"/>
    </xf>
    <xf numFmtId="0" fontId="34" fillId="86" borderId="0" xfId="0" applyFont="1" applyFill="1" applyAlignment="1">
      <alignment horizontal="right"/>
    </xf>
    <xf numFmtId="1" fontId="23" fillId="87" borderId="0" xfId="0" applyNumberFormat="1" applyFont="1" applyFill="1" applyAlignment="1">
      <alignment horizontal="center"/>
    </xf>
    <xf numFmtId="1" fontId="23" fillId="88" borderId="0" xfId="0" applyNumberFormat="1" applyFont="1" applyFill="1" applyAlignment="1">
      <alignment horizontal="center"/>
    </xf>
    <xf numFmtId="0" fontId="31" fillId="89" borderId="11" xfId="0" applyFont="1" applyFill="1" applyBorder="1" applyAlignment="1">
      <alignment horizontal="center"/>
    </xf>
    <xf numFmtId="0" fontId="31" fillId="89" borderId="13" xfId="0" applyFont="1" applyFill="1" applyBorder="1" applyAlignment="1">
      <alignment horizontal="center"/>
    </xf>
    <xf numFmtId="1" fontId="23" fillId="90" borderId="0" xfId="0" applyNumberFormat="1" applyFont="1" applyFill="1" applyAlignment="1">
      <alignment horizontal="center"/>
    </xf>
    <xf numFmtId="0" fontId="31" fillId="89" borderId="15" xfId="0" applyFont="1" applyFill="1" applyBorder="1" applyAlignment="1">
      <alignment horizontal="center"/>
    </xf>
    <xf numFmtId="1" fontId="23" fillId="91" borderId="0" xfId="0" applyNumberFormat="1" applyFont="1" applyFill="1" applyAlignment="1">
      <alignment horizontal="center"/>
    </xf>
    <xf numFmtId="1" fontId="23" fillId="92" borderId="0" xfId="0" applyNumberFormat="1" applyFont="1" applyFill="1" applyAlignment="1">
      <alignment horizontal="center"/>
    </xf>
    <xf numFmtId="0" fontId="34" fillId="93" borderId="0" xfId="0" applyFont="1" applyFill="1" applyAlignment="1">
      <alignment horizontal="right"/>
    </xf>
    <xf numFmtId="0" fontId="31" fillId="34" borderId="0" xfId="0" applyFont="1" applyFill="1" applyAlignment="1">
      <alignment horizontal="left"/>
    </xf>
    <xf numFmtId="0" fontId="31" fillId="34" borderId="11" xfId="0" applyFont="1" applyFill="1" applyBorder="1" applyAlignment="1">
      <alignment horizontal="center"/>
    </xf>
    <xf numFmtId="0" fontId="31" fillId="34" borderId="13" xfId="0" applyFont="1" applyFill="1" applyBorder="1" applyAlignment="1">
      <alignment horizontal="center"/>
    </xf>
    <xf numFmtId="0" fontId="34" fillId="94" borderId="0" xfId="0" applyFont="1" applyFill="1" applyAlignment="1">
      <alignment horizontal="right"/>
    </xf>
    <xf numFmtId="1" fontId="23" fillId="95" borderId="0" xfId="0" applyNumberFormat="1" applyFont="1" applyFill="1" applyAlignment="1">
      <alignment horizontal="center"/>
    </xf>
    <xf numFmtId="0" fontId="31" fillId="34" borderId="15" xfId="0" applyFont="1" applyFill="1" applyBorder="1" applyAlignment="1">
      <alignment horizontal="center"/>
    </xf>
    <xf numFmtId="164" fontId="23" fillId="47" borderId="0" xfId="0" applyNumberFormat="1" applyFont="1" applyFill="1" applyAlignment="1">
      <alignment horizontal="center"/>
    </xf>
    <xf numFmtId="0" fontId="34" fillId="96" borderId="0" xfId="0" applyFont="1" applyFill="1" applyAlignment="1">
      <alignment horizontal="right"/>
    </xf>
    <xf numFmtId="1" fontId="23" fillId="97" borderId="0" xfId="0" applyNumberFormat="1" applyFont="1" applyFill="1" applyAlignment="1">
      <alignment horizontal="center"/>
    </xf>
    <xf numFmtId="164" fontId="35" fillId="98" borderId="0" xfId="0" applyNumberFormat="1" applyFont="1" applyFill="1" applyAlignment="1">
      <alignment horizontal="center" vertical="center"/>
    </xf>
    <xf numFmtId="164" fontId="35" fillId="48" borderId="0" xfId="0" applyNumberFormat="1" applyFont="1" applyFill="1" applyAlignment="1">
      <alignment horizontal="center" vertical="center"/>
    </xf>
    <xf numFmtId="0" fontId="34" fillId="99" borderId="0" xfId="0" applyFont="1" applyFill="1" applyAlignment="1">
      <alignment horizontal="right"/>
    </xf>
    <xf numFmtId="0" fontId="37" fillId="36" borderId="0" xfId="0" applyFont="1" applyFill="1" applyAlignment="1">
      <alignment horizontal="left" vertical="center"/>
    </xf>
    <xf numFmtId="0" fontId="31" fillId="36" borderId="11" xfId="0" applyFont="1" applyFill="1" applyBorder="1" applyAlignment="1">
      <alignment horizontal="center"/>
    </xf>
    <xf numFmtId="0" fontId="31" fillId="36" borderId="13" xfId="0" applyFont="1" applyFill="1" applyBorder="1" applyAlignment="1">
      <alignment horizontal="center"/>
    </xf>
    <xf numFmtId="0" fontId="31" fillId="36" borderId="15" xfId="0" applyFont="1" applyFill="1" applyBorder="1" applyAlignment="1">
      <alignment horizontal="center"/>
    </xf>
    <xf numFmtId="0" fontId="34" fillId="48" borderId="0" xfId="0" applyFont="1" applyFill="1" applyAlignment="1">
      <alignment horizontal="right"/>
    </xf>
    <xf numFmtId="0" fontId="34" fillId="100" borderId="0" xfId="0" applyFont="1" applyFill="1" applyAlignment="1">
      <alignment horizontal="right"/>
    </xf>
    <xf numFmtId="0" fontId="34" fillId="101" borderId="0" xfId="0" applyFont="1" applyFill="1" applyAlignment="1">
      <alignment horizontal="right"/>
    </xf>
    <xf numFmtId="0" fontId="34" fillId="47" borderId="0" xfId="0" applyFont="1" applyFill="1" applyAlignment="1">
      <alignment horizontal="right"/>
    </xf>
    <xf numFmtId="1" fontId="23" fillId="0" borderId="0" xfId="0" applyNumberFormat="1" applyFont="1" applyAlignment="1">
      <alignment horizontal="center"/>
    </xf>
    <xf numFmtId="0" fontId="30" fillId="102" borderId="0" xfId="0" quotePrefix="1" applyFont="1" applyFill="1" applyAlignment="1">
      <alignment horizontal="left" vertical="center"/>
    </xf>
    <xf numFmtId="0" fontId="31" fillId="102" borderId="11" xfId="0" applyFont="1" applyFill="1" applyBorder="1" applyAlignment="1">
      <alignment horizontal="center"/>
    </xf>
    <xf numFmtId="1" fontId="23" fillId="103" borderId="0" xfId="0" applyNumberFormat="1" applyFont="1" applyFill="1" applyAlignment="1">
      <alignment horizontal="center"/>
    </xf>
    <xf numFmtId="0" fontId="31" fillId="102" borderId="13" xfId="0" applyFont="1" applyFill="1" applyBorder="1" applyAlignment="1">
      <alignment horizontal="center"/>
    </xf>
    <xf numFmtId="0" fontId="31" fillId="102" borderId="15" xfId="0" applyFont="1" applyFill="1" applyBorder="1" applyAlignment="1">
      <alignment horizontal="center"/>
    </xf>
    <xf numFmtId="0" fontId="34" fillId="49" borderId="0" xfId="0" applyFont="1" applyFill="1" applyAlignment="1">
      <alignment horizontal="left"/>
    </xf>
    <xf numFmtId="164" fontId="23" fillId="104" borderId="0" xfId="0" applyNumberFormat="1" applyFont="1" applyFill="1" applyAlignment="1">
      <alignment horizontal="center"/>
    </xf>
    <xf numFmtId="0" fontId="30" fillId="102" borderId="0" xfId="0" applyFont="1" applyFill="1" applyAlignment="1">
      <alignment horizontal="left" vertical="center"/>
    </xf>
    <xf numFmtId="0" fontId="34" fillId="105" borderId="0" xfId="0" applyFont="1" applyFill="1" applyAlignment="1">
      <alignment horizontal="right"/>
    </xf>
    <xf numFmtId="0" fontId="31" fillId="106" borderId="0" xfId="0" applyFont="1" applyFill="1" applyAlignment="1">
      <alignment horizontal="left"/>
    </xf>
    <xf numFmtId="0" fontId="31" fillId="106" borderId="11" xfId="0" applyFont="1" applyFill="1" applyBorder="1" applyAlignment="1">
      <alignment horizontal="center"/>
    </xf>
    <xf numFmtId="0" fontId="31" fillId="106" borderId="13" xfId="0" applyFont="1" applyFill="1" applyBorder="1" applyAlignment="1">
      <alignment horizontal="center"/>
    </xf>
    <xf numFmtId="0" fontId="31" fillId="106" borderId="15" xfId="0" applyFont="1" applyFill="1" applyBorder="1" applyAlignment="1">
      <alignment horizontal="center"/>
    </xf>
    <xf numFmtId="0" fontId="34" fillId="107" borderId="0" xfId="0" applyFont="1" applyFill="1" applyAlignment="1">
      <alignment horizontal="right"/>
    </xf>
    <xf numFmtId="0" fontId="34" fillId="108" borderId="0" xfId="0" applyFont="1" applyFill="1" applyAlignment="1">
      <alignment horizontal="right"/>
    </xf>
    <xf numFmtId="1" fontId="23" fillId="98" borderId="0" xfId="0" applyNumberFormat="1" applyFont="1" applyFill="1" applyAlignment="1">
      <alignment horizontal="center"/>
    </xf>
    <xf numFmtId="0" fontId="34" fillId="109" borderId="0" xfId="0" applyFont="1" applyFill="1" applyAlignment="1">
      <alignment horizontal="right"/>
    </xf>
    <xf numFmtId="0" fontId="31" fillId="0" borderId="17" xfId="0" applyFont="1" applyBorder="1" applyAlignment="1">
      <alignment horizontal="center"/>
    </xf>
    <xf numFmtId="0" fontId="31" fillId="0" borderId="15" xfId="0" applyFont="1" applyBorder="1" applyAlignment="1">
      <alignment horizontal="center"/>
    </xf>
    <xf numFmtId="49" fontId="32" fillId="0" borderId="17" xfId="0" applyNumberFormat="1" applyFont="1" applyBorder="1" applyAlignment="1">
      <alignment horizontal="center"/>
    </xf>
    <xf numFmtId="0" fontId="28" fillId="27" borderId="16" xfId="0" applyFont="1" applyFill="1" applyBorder="1" applyAlignment="1">
      <alignment horizontal="center" vertical="center"/>
    </xf>
    <xf numFmtId="0" fontId="38" fillId="27" borderId="0" xfId="0" applyFont="1" applyFill="1" applyAlignment="1">
      <alignment horizontal="left" vertical="center"/>
    </xf>
    <xf numFmtId="0" fontId="3" fillId="41" borderId="9" xfId="0" applyFont="1" applyFill="1" applyBorder="1" applyAlignment="1">
      <alignment horizontal="center"/>
    </xf>
    <xf numFmtId="0" fontId="3" fillId="30" borderId="19" xfId="0" applyFont="1" applyFill="1" applyBorder="1" applyAlignment="1">
      <alignment horizontal="center"/>
    </xf>
    <xf numFmtId="0" fontId="3" fillId="42" borderId="19" xfId="0" applyFont="1" applyFill="1" applyBorder="1" applyAlignment="1">
      <alignment horizontal="center"/>
    </xf>
    <xf numFmtId="0" fontId="3" fillId="43" borderId="19" xfId="0" applyFont="1" applyFill="1" applyBorder="1" applyAlignment="1">
      <alignment horizontal="center"/>
    </xf>
    <xf numFmtId="0" fontId="3" fillId="23" borderId="19" xfId="0" applyFont="1" applyFill="1" applyBorder="1" applyAlignment="1">
      <alignment horizontal="center"/>
    </xf>
    <xf numFmtId="0" fontId="3" fillId="25" borderId="19" xfId="0" applyFont="1" applyFill="1" applyBorder="1" applyAlignment="1">
      <alignment horizontal="center"/>
    </xf>
    <xf numFmtId="0" fontId="3" fillId="16" borderId="19" xfId="0" applyFont="1" applyFill="1" applyBorder="1" applyAlignment="1">
      <alignment horizontal="center"/>
    </xf>
    <xf numFmtId="0" fontId="3" fillId="45" borderId="19" xfId="0" applyFont="1" applyFill="1" applyBorder="1" applyAlignment="1">
      <alignment horizontal="center"/>
    </xf>
    <xf numFmtId="0" fontId="3" fillId="46" borderId="18" xfId="0" applyFont="1" applyFill="1" applyBorder="1" applyAlignment="1">
      <alignment horizontal="center"/>
    </xf>
    <xf numFmtId="9" fontId="34" fillId="0" borderId="0" xfId="0" applyNumberFormat="1" applyFont="1" applyAlignment="1">
      <alignment horizontal="right"/>
    </xf>
    <xf numFmtId="0" fontId="26" fillId="0" borderId="0" xfId="0" applyFont="1" applyAlignment="1">
      <alignment horizontal="left"/>
    </xf>
    <xf numFmtId="0" fontId="36" fillId="0" borderId="0" xfId="0" applyFont="1" applyAlignment="1">
      <alignment horizontal="left"/>
    </xf>
    <xf numFmtId="0" fontId="8" fillId="0" borderId="0" xfId="0" applyFont="1" applyAlignment="1">
      <alignment horizontal="left" wrapText="1"/>
    </xf>
    <xf numFmtId="0" fontId="31" fillId="110" borderId="0" xfId="0" applyFont="1" applyFill="1" applyAlignment="1">
      <alignment horizontal="left"/>
    </xf>
    <xf numFmtId="0" fontId="31" fillId="110" borderId="11" xfId="0" applyFont="1" applyFill="1" applyBorder="1" applyAlignment="1">
      <alignment horizontal="center"/>
    </xf>
    <xf numFmtId="0" fontId="31" fillId="110" borderId="13" xfId="0" applyFont="1" applyFill="1" applyBorder="1" applyAlignment="1">
      <alignment horizontal="center"/>
    </xf>
    <xf numFmtId="0" fontId="31" fillId="110" borderId="15" xfId="0" applyFont="1" applyFill="1" applyBorder="1" applyAlignment="1">
      <alignment horizontal="center"/>
    </xf>
    <xf numFmtId="0" fontId="31" fillId="110" borderId="20" xfId="0" applyFont="1" applyFill="1" applyBorder="1" applyAlignment="1">
      <alignment horizontal="center"/>
    </xf>
    <xf numFmtId="0" fontId="31" fillId="110" borderId="21" xfId="0" applyFont="1" applyFill="1" applyBorder="1" applyAlignment="1">
      <alignment horizontal="center"/>
    </xf>
    <xf numFmtId="0" fontId="39" fillId="0" borderId="0" xfId="0" applyFont="1" applyAlignment="1">
      <alignment horizontal="center" vertical="center"/>
    </xf>
    <xf numFmtId="49" fontId="40" fillId="111" borderId="0" xfId="0" applyNumberFormat="1" applyFont="1" applyFill="1" applyAlignment="1">
      <alignment horizontal="center" vertical="center"/>
    </xf>
    <xf numFmtId="0" fontId="17" fillId="0" borderId="0" xfId="0" applyFont="1" applyAlignment="1">
      <alignment horizontal="center" vertical="center"/>
    </xf>
    <xf numFmtId="49" fontId="17" fillId="111" borderId="0" xfId="0" applyNumberFormat="1" applyFont="1" applyFill="1" applyAlignment="1">
      <alignment horizontal="center" vertical="center"/>
    </xf>
    <xf numFmtId="0" fontId="42" fillId="113" borderId="0" xfId="0" applyFont="1" applyFill="1" applyAlignment="1">
      <alignment horizontal="center" vertical="center"/>
    </xf>
    <xf numFmtId="0" fontId="17" fillId="114" borderId="0" xfId="0" applyFont="1" applyFill="1" applyAlignment="1">
      <alignment horizontal="center" vertical="center"/>
    </xf>
    <xf numFmtId="0" fontId="43" fillId="115" borderId="0" xfId="0" applyFont="1" applyFill="1" applyAlignment="1">
      <alignment horizontal="center" vertical="center"/>
    </xf>
    <xf numFmtId="0" fontId="17" fillId="116" borderId="0" xfId="0" applyFont="1" applyFill="1" applyAlignment="1">
      <alignment horizontal="center" vertical="center"/>
    </xf>
    <xf numFmtId="0" fontId="44" fillId="117" borderId="0" xfId="0" applyFont="1" applyFill="1" applyAlignment="1">
      <alignment horizontal="center" vertical="center" wrapText="1"/>
    </xf>
    <xf numFmtId="0" fontId="17" fillId="118" borderId="0" xfId="0" applyFont="1" applyFill="1" applyAlignment="1">
      <alignment horizontal="center" vertical="center"/>
    </xf>
    <xf numFmtId="0" fontId="43" fillId="119" borderId="0" xfId="0" applyFont="1" applyFill="1" applyAlignment="1">
      <alignment horizontal="center" vertical="center"/>
    </xf>
    <xf numFmtId="0" fontId="17" fillId="120" borderId="0" xfId="0" applyFont="1" applyFill="1" applyAlignment="1">
      <alignment horizontal="center" vertical="center"/>
    </xf>
    <xf numFmtId="0" fontId="44" fillId="121" borderId="0" xfId="0" applyFont="1" applyFill="1" applyAlignment="1">
      <alignment horizontal="center" vertical="center"/>
    </xf>
    <xf numFmtId="0" fontId="17" fillId="122" borderId="0" xfId="0" applyFont="1" applyFill="1" applyAlignment="1">
      <alignment horizontal="center" vertical="center"/>
    </xf>
    <xf numFmtId="0" fontId="44" fillId="123" borderId="0" xfId="0" applyFont="1" applyFill="1" applyAlignment="1">
      <alignment horizontal="center" vertical="center"/>
    </xf>
    <xf numFmtId="0" fontId="17" fillId="124" borderId="0" xfId="0" applyFont="1" applyFill="1" applyAlignment="1">
      <alignment horizontal="center" vertical="center"/>
    </xf>
    <xf numFmtId="0" fontId="44" fillId="125" borderId="12" xfId="0" applyFont="1" applyFill="1" applyBorder="1" applyAlignment="1">
      <alignment horizontal="center" vertical="center"/>
    </xf>
    <xf numFmtId="0" fontId="17" fillId="5" borderId="0" xfId="0" applyFont="1" applyFill="1" applyAlignment="1">
      <alignment horizontal="center" vertical="center"/>
    </xf>
    <xf numFmtId="0" fontId="17" fillId="126" borderId="0" xfId="0" applyFont="1" applyFill="1" applyAlignment="1">
      <alignment horizontal="center" vertical="center"/>
    </xf>
    <xf numFmtId="0" fontId="17" fillId="127" borderId="0" xfId="0" applyFont="1" applyFill="1" applyAlignment="1">
      <alignment horizontal="center" vertical="center"/>
    </xf>
    <xf numFmtId="0" fontId="17" fillId="128" borderId="0" xfId="0" applyFont="1" applyFill="1" applyAlignment="1">
      <alignment horizontal="center" vertical="center"/>
    </xf>
    <xf numFmtId="49" fontId="45" fillId="123" borderId="0" xfId="0" applyNumberFormat="1" applyFont="1" applyFill="1" applyAlignment="1">
      <alignment horizontal="center" vertical="center"/>
    </xf>
    <xf numFmtId="0" fontId="17" fillId="129" borderId="0" xfId="0" applyFont="1" applyFill="1" applyAlignment="1">
      <alignment horizontal="center" vertical="center"/>
    </xf>
    <xf numFmtId="0" fontId="17" fillId="130" borderId="0" xfId="0" applyFont="1" applyFill="1" applyAlignment="1">
      <alignment horizontal="center" vertical="center"/>
    </xf>
    <xf numFmtId="49" fontId="40" fillId="123" borderId="0" xfId="0" applyNumberFormat="1" applyFont="1" applyFill="1" applyAlignment="1">
      <alignment horizontal="center" vertical="center"/>
    </xf>
    <xf numFmtId="0" fontId="46" fillId="117" borderId="22" xfId="0" applyFont="1" applyFill="1" applyBorder="1" applyAlignment="1">
      <alignment horizontal="center" vertical="center" wrapText="1"/>
    </xf>
    <xf numFmtId="0" fontId="46" fillId="117" borderId="23" xfId="0" applyFont="1" applyFill="1" applyBorder="1" applyAlignment="1">
      <alignment horizontal="center" vertical="center" wrapText="1"/>
    </xf>
    <xf numFmtId="0" fontId="46" fillId="117" borderId="24" xfId="0" applyFont="1" applyFill="1" applyBorder="1" applyAlignment="1">
      <alignment horizontal="center" vertical="center" wrapText="1"/>
    </xf>
    <xf numFmtId="0" fontId="46" fillId="117" borderId="0" xfId="0" applyFont="1" applyFill="1" applyAlignment="1">
      <alignment horizontal="center" vertical="center" wrapText="1"/>
    </xf>
    <xf numFmtId="0" fontId="46" fillId="131" borderId="0" xfId="0" applyFont="1" applyFill="1" applyAlignment="1">
      <alignment horizontal="center" vertical="center" wrapText="1"/>
    </xf>
    <xf numFmtId="0" fontId="17" fillId="114" borderId="25" xfId="0" applyFont="1" applyFill="1" applyBorder="1" applyAlignment="1">
      <alignment horizontal="center" vertical="center"/>
    </xf>
    <xf numFmtId="0" fontId="17" fillId="123" borderId="0" xfId="0" applyFont="1" applyFill="1" applyAlignment="1">
      <alignment horizontal="center" vertical="center"/>
    </xf>
    <xf numFmtId="0" fontId="17" fillId="129" borderId="26" xfId="0" applyFont="1" applyFill="1" applyBorder="1" applyAlignment="1">
      <alignment horizontal="center" vertical="center"/>
    </xf>
    <xf numFmtId="0" fontId="46" fillId="0" borderId="25" xfId="0" applyFont="1" applyBorder="1" applyAlignment="1">
      <alignment horizontal="center" vertical="center" wrapText="1"/>
    </xf>
    <xf numFmtId="0" fontId="46" fillId="0" borderId="0" xfId="0" applyFont="1" applyAlignment="1">
      <alignment horizontal="center" vertical="center" wrapText="1"/>
    </xf>
    <xf numFmtId="0" fontId="46" fillId="0" borderId="26" xfId="0" applyFont="1" applyBorder="1" applyAlignment="1">
      <alignment horizontal="center" vertical="center" wrapText="1"/>
    </xf>
    <xf numFmtId="0" fontId="17" fillId="60" borderId="0" xfId="0" applyFont="1" applyFill="1" applyAlignment="1">
      <alignment horizontal="center" vertical="center"/>
    </xf>
    <xf numFmtId="0" fontId="47" fillId="0" borderId="25" xfId="0" applyFont="1" applyBorder="1" applyAlignment="1">
      <alignment horizontal="center" vertical="center" wrapText="1"/>
    </xf>
    <xf numFmtId="0" fontId="47" fillId="0" borderId="0" xfId="0" applyFont="1" applyAlignment="1">
      <alignment horizontal="center" vertical="center" wrapText="1"/>
    </xf>
    <xf numFmtId="0" fontId="47" fillId="0" borderId="26" xfId="0" applyFont="1" applyBorder="1" applyAlignment="1">
      <alignment horizontal="center" vertical="center" wrapText="1"/>
    </xf>
    <xf numFmtId="0" fontId="17" fillId="132" borderId="0" xfId="0" applyFont="1" applyFill="1" applyAlignment="1">
      <alignment horizontal="center" vertical="center"/>
    </xf>
    <xf numFmtId="0" fontId="48" fillId="0" borderId="25" xfId="0" applyFont="1" applyBorder="1" applyAlignment="1">
      <alignment horizontal="center" vertical="center" wrapText="1"/>
    </xf>
    <xf numFmtId="0" fontId="48" fillId="0" borderId="0" xfId="0" applyFont="1" applyAlignment="1">
      <alignment horizontal="center" vertical="center" wrapText="1"/>
    </xf>
    <xf numFmtId="0" fontId="48" fillId="0" borderId="26" xfId="0" applyFont="1" applyBorder="1" applyAlignment="1">
      <alignment horizontal="center" vertical="center" wrapText="1"/>
    </xf>
    <xf numFmtId="0" fontId="17" fillId="17" borderId="0" xfId="0" applyFont="1" applyFill="1" applyAlignment="1">
      <alignment horizontal="center" vertical="center"/>
    </xf>
    <xf numFmtId="0" fontId="49" fillId="0" borderId="25" xfId="0" applyFont="1" applyBorder="1" applyAlignment="1">
      <alignment horizontal="center" vertical="center" wrapText="1"/>
    </xf>
    <xf numFmtId="0" fontId="49" fillId="0" borderId="0" xfId="0" applyFont="1" applyAlignment="1">
      <alignment horizontal="center" vertical="center" wrapText="1"/>
    </xf>
    <xf numFmtId="0" fontId="49" fillId="0" borderId="26" xfId="0" applyFont="1" applyBorder="1" applyAlignment="1">
      <alignment horizontal="center" vertical="center" wrapText="1"/>
    </xf>
    <xf numFmtId="0" fontId="17" fillId="133" borderId="0" xfId="0" applyFont="1" applyFill="1" applyAlignment="1">
      <alignment horizontal="center" vertical="center"/>
    </xf>
    <xf numFmtId="0" fontId="50" fillId="0" borderId="25" xfId="0" applyFont="1" applyBorder="1" applyAlignment="1">
      <alignment horizontal="center" vertical="center" wrapText="1"/>
    </xf>
    <xf numFmtId="0" fontId="50" fillId="0" borderId="0" xfId="0" applyFont="1" applyAlignment="1">
      <alignment horizontal="center" vertical="center" wrapText="1"/>
    </xf>
    <xf numFmtId="0" fontId="50" fillId="0" borderId="26" xfId="0"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6" xfId="0" applyNumberFormat="1" applyFont="1" applyBorder="1" applyAlignment="1">
      <alignment horizontal="center" vertical="center" wrapText="1"/>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2" fillId="0" borderId="25" xfId="0" applyNumberFormat="1" applyFont="1" applyBorder="1" applyAlignment="1">
      <alignment horizontal="center" vertical="center" wrapText="1"/>
    </xf>
    <xf numFmtId="9" fontId="52" fillId="0" borderId="0" xfId="0" applyNumberFormat="1" applyFont="1" applyAlignment="1">
      <alignment horizontal="center" vertical="center" wrapText="1"/>
    </xf>
    <xf numFmtId="9" fontId="52" fillId="0" borderId="26" xfId="0" applyNumberFormat="1" applyFont="1" applyBorder="1" applyAlignment="1">
      <alignment horizontal="center" vertical="center" wrapText="1"/>
    </xf>
    <xf numFmtId="9" fontId="53" fillId="0" borderId="25" xfId="0" applyNumberFormat="1" applyFont="1" applyBorder="1" applyAlignment="1">
      <alignment horizontal="center" vertical="center" wrapText="1"/>
    </xf>
    <xf numFmtId="9" fontId="53" fillId="0" borderId="0" xfId="0" applyNumberFormat="1" applyFont="1" applyAlignment="1">
      <alignment horizontal="center" vertical="center" wrapText="1"/>
    </xf>
    <xf numFmtId="9" fontId="53"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54" fillId="0" borderId="25" xfId="0" applyNumberFormat="1" applyFont="1" applyBorder="1" applyAlignment="1">
      <alignment horizontal="center" vertical="center" wrapText="1"/>
    </xf>
    <xf numFmtId="9" fontId="54" fillId="0" borderId="0" xfId="0" applyNumberFormat="1" applyFont="1" applyAlignment="1">
      <alignment horizontal="center" vertical="center" wrapText="1"/>
    </xf>
    <xf numFmtId="9" fontId="54" fillId="0" borderId="26" xfId="0" applyNumberFormat="1" applyFont="1" applyBorder="1" applyAlignment="1">
      <alignment horizontal="center" vertical="center" wrapText="1"/>
    </xf>
    <xf numFmtId="9" fontId="55" fillId="0" borderId="25" xfId="0" applyNumberFormat="1" applyFont="1" applyBorder="1" applyAlignment="1">
      <alignment horizontal="center" vertical="center" wrapText="1"/>
    </xf>
    <xf numFmtId="9" fontId="55" fillId="0" borderId="0" xfId="0" applyNumberFormat="1" applyFont="1" applyAlignment="1">
      <alignment horizontal="center" vertical="center" wrapText="1"/>
    </xf>
    <xf numFmtId="9" fontId="55" fillId="0" borderId="26" xfId="0" applyNumberFormat="1" applyFont="1" applyBorder="1" applyAlignment="1">
      <alignment horizontal="center" vertical="center" wrapText="1"/>
    </xf>
    <xf numFmtId="9" fontId="56" fillId="0" borderId="25" xfId="0" applyNumberFormat="1" applyFont="1" applyBorder="1" applyAlignment="1">
      <alignment horizontal="center" vertical="center" wrapText="1"/>
    </xf>
    <xf numFmtId="9" fontId="56" fillId="0" borderId="0" xfId="0" applyNumberFormat="1" applyFont="1" applyAlignment="1">
      <alignment horizontal="center" vertical="center" wrapText="1"/>
    </xf>
    <xf numFmtId="9" fontId="56" fillId="0" borderId="28"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9"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9" xfId="0" applyNumberFormat="1" applyFont="1" applyBorder="1" applyAlignment="1">
      <alignment horizontal="center" vertical="center" wrapText="1"/>
    </xf>
    <xf numFmtId="0" fontId="49" fillId="0" borderId="29" xfId="0" applyFont="1" applyBorder="1" applyAlignment="1">
      <alignment horizontal="center" vertical="center" wrapText="1"/>
    </xf>
    <xf numFmtId="0" fontId="57" fillId="0" borderId="25" xfId="0" applyFont="1" applyBorder="1" applyAlignment="1">
      <alignment horizontal="center" vertical="center" wrapText="1"/>
    </xf>
    <xf numFmtId="0" fontId="57" fillId="0" borderId="0" xfId="0" applyFont="1" applyAlignment="1">
      <alignment horizontal="center" vertical="center" wrapText="1"/>
    </xf>
    <xf numFmtId="0" fontId="57" fillId="0" borderId="29" xfId="0" applyFont="1" applyBorder="1" applyAlignment="1">
      <alignment horizontal="center" vertical="center" wrapText="1"/>
    </xf>
    <xf numFmtId="0" fontId="17" fillId="52" borderId="0" xfId="0" applyFont="1" applyFill="1" applyAlignment="1">
      <alignment horizontal="center" vertical="center"/>
    </xf>
    <xf numFmtId="49" fontId="54" fillId="0" borderId="25" xfId="0" applyNumberFormat="1" applyFont="1" applyBorder="1" applyAlignment="1">
      <alignment horizontal="center" vertical="center" wrapText="1"/>
    </xf>
    <xf numFmtId="49" fontId="54" fillId="0" borderId="0" xfId="0" applyNumberFormat="1" applyFont="1" applyAlignment="1">
      <alignment horizontal="center" vertical="center" wrapText="1"/>
    </xf>
    <xf numFmtId="9" fontId="49" fillId="0" borderId="29" xfId="0" applyNumberFormat="1" applyFont="1" applyBorder="1" applyAlignment="1">
      <alignment horizontal="center" vertical="center" wrapText="1"/>
    </xf>
    <xf numFmtId="0" fontId="58" fillId="0" borderId="25" xfId="0" applyFont="1" applyBorder="1" applyAlignment="1">
      <alignment horizontal="center" vertical="center" wrapText="1"/>
    </xf>
    <xf numFmtId="0" fontId="58" fillId="0" borderId="0" xfId="0" applyFont="1" applyAlignment="1">
      <alignment horizontal="center" vertical="center" wrapText="1"/>
    </xf>
    <xf numFmtId="0" fontId="58"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9" fillId="0" borderId="29" xfId="0" applyFont="1" applyBorder="1" applyAlignment="1">
      <alignment horizontal="center" vertical="center"/>
    </xf>
    <xf numFmtId="0" fontId="17" fillId="125" borderId="25" xfId="0" applyFont="1" applyFill="1" applyBorder="1" applyAlignment="1">
      <alignment horizontal="center" vertical="center"/>
    </xf>
    <xf numFmtId="0" fontId="17" fillId="125" borderId="0" xfId="0" applyFont="1" applyFill="1" applyAlignment="1">
      <alignment horizontal="center" vertical="center"/>
    </xf>
    <xf numFmtId="0" fontId="17" fillId="125" borderId="29" xfId="0" applyFont="1" applyFill="1" applyBorder="1" applyAlignment="1">
      <alignment horizontal="center" vertical="center"/>
    </xf>
    <xf numFmtId="0" fontId="17" fillId="129" borderId="30" xfId="0" applyFont="1" applyFill="1" applyBorder="1" applyAlignment="1">
      <alignment horizontal="center" vertical="center"/>
    </xf>
    <xf numFmtId="0" fontId="17" fillId="0" borderId="26" xfId="0" applyFont="1" applyBorder="1" applyAlignment="1">
      <alignment horizontal="center" vertical="center"/>
    </xf>
    <xf numFmtId="9" fontId="56" fillId="0" borderId="26" xfId="0" applyNumberFormat="1" applyFont="1" applyBorder="1" applyAlignment="1">
      <alignment horizontal="center" vertical="center" wrapText="1"/>
    </xf>
    <xf numFmtId="9" fontId="47" fillId="0" borderId="26" xfId="0" applyNumberFormat="1" applyFont="1" applyBorder="1" applyAlignment="1">
      <alignment horizontal="center" vertical="center" wrapText="1"/>
    </xf>
    <xf numFmtId="9" fontId="50" fillId="0" borderId="26" xfId="0" applyNumberFormat="1" applyFont="1" applyBorder="1" applyAlignment="1">
      <alignment horizontal="center" vertical="center" wrapText="1"/>
    </xf>
    <xf numFmtId="0" fontId="57" fillId="0" borderId="26" xfId="0" applyFont="1" applyBorder="1" applyAlignment="1">
      <alignment horizontal="center" vertical="center" wrapText="1"/>
    </xf>
    <xf numFmtId="0" fontId="10" fillId="0" borderId="26" xfId="0" applyFont="1" applyBorder="1" applyAlignment="1">
      <alignment horizontal="center" vertical="center"/>
    </xf>
    <xf numFmtId="0" fontId="39" fillId="0" borderId="26" xfId="0" applyFont="1" applyBorder="1" applyAlignment="1">
      <alignment horizontal="center" vertical="center"/>
    </xf>
    <xf numFmtId="0" fontId="39" fillId="0" borderId="25" xfId="0" applyFont="1" applyBorder="1" applyAlignment="1">
      <alignment horizontal="center" vertical="center"/>
    </xf>
    <xf numFmtId="0" fontId="17" fillId="125" borderId="26" xfId="0" applyFont="1" applyFill="1" applyBorder="1" applyAlignment="1">
      <alignment horizontal="center" vertical="center"/>
    </xf>
    <xf numFmtId="0" fontId="58" fillId="0" borderId="26" xfId="0" applyFont="1" applyBorder="1" applyAlignment="1">
      <alignment horizontal="center" vertical="center" wrapText="1"/>
    </xf>
    <xf numFmtId="0" fontId="46" fillId="119" borderId="25" xfId="0" applyFont="1" applyFill="1" applyBorder="1" applyAlignment="1">
      <alignment horizontal="center" vertical="center" wrapText="1"/>
    </xf>
    <xf numFmtId="0" fontId="46" fillId="119" borderId="0" xfId="0" applyFont="1" applyFill="1" applyAlignment="1">
      <alignment horizontal="center" vertical="center" wrapText="1"/>
    </xf>
    <xf numFmtId="0" fontId="46" fillId="119" borderId="26" xfId="0" applyFont="1" applyFill="1" applyBorder="1" applyAlignment="1">
      <alignment horizontal="center" vertical="center" wrapText="1"/>
    </xf>
    <xf numFmtId="0" fontId="46" fillId="123" borderId="25" xfId="0" applyFont="1" applyFill="1" applyBorder="1" applyAlignment="1">
      <alignment horizontal="center" vertical="center" wrapText="1"/>
    </xf>
    <xf numFmtId="0" fontId="46" fillId="123" borderId="0" xfId="0" applyFont="1" applyFill="1" applyAlignment="1">
      <alignment horizontal="center" vertical="center" wrapText="1"/>
    </xf>
    <xf numFmtId="0" fontId="46" fillId="123" borderId="26" xfId="0" applyFont="1" applyFill="1" applyBorder="1" applyAlignment="1">
      <alignment horizontal="center" vertical="center" wrapText="1"/>
    </xf>
    <xf numFmtId="0" fontId="46" fillId="115" borderId="25" xfId="0" applyFont="1" applyFill="1" applyBorder="1" applyAlignment="1">
      <alignment horizontal="center" vertical="center" wrapText="1"/>
    </xf>
    <xf numFmtId="0" fontId="46" fillId="115" borderId="0" xfId="0" applyFont="1" applyFill="1" applyAlignment="1">
      <alignment horizontal="center" vertical="center" wrapText="1"/>
    </xf>
    <xf numFmtId="0" fontId="46" fillId="115" borderId="26" xfId="0" applyFont="1" applyFill="1" applyBorder="1" applyAlignment="1">
      <alignment horizontal="center" vertical="center" wrapText="1"/>
    </xf>
    <xf numFmtId="0" fontId="10" fillId="0" borderId="0" xfId="0" applyFont="1" applyAlignment="1">
      <alignment horizontal="center" vertical="center" wrapText="1"/>
    </xf>
    <xf numFmtId="0" fontId="46" fillId="121" borderId="0" xfId="0" applyFont="1" applyFill="1" applyAlignment="1">
      <alignment horizontal="center" vertical="center"/>
    </xf>
    <xf numFmtId="9" fontId="59" fillId="0" borderId="25" xfId="0" applyNumberFormat="1" applyFont="1" applyBorder="1" applyAlignment="1">
      <alignment horizontal="center" vertical="center" wrapText="1"/>
    </xf>
    <xf numFmtId="0" fontId="60" fillId="0" borderId="0" xfId="0" applyFont="1" applyAlignment="1">
      <alignment horizontal="center"/>
    </xf>
    <xf numFmtId="0" fontId="10" fillId="0" borderId="31" xfId="0" applyFont="1" applyBorder="1" applyAlignment="1">
      <alignment horizontal="center" vertical="center"/>
    </xf>
    <xf numFmtId="0" fontId="61" fillId="113" borderId="0" xfId="0" applyFont="1" applyFill="1" applyAlignment="1">
      <alignment horizontal="center" vertical="center"/>
    </xf>
    <xf numFmtId="0" fontId="62" fillId="113" borderId="0" xfId="0" applyFont="1" applyFill="1" applyAlignment="1">
      <alignment horizontal="center" vertical="center"/>
    </xf>
    <xf numFmtId="0" fontId="63" fillId="113" borderId="0" xfId="0" applyFont="1" applyFill="1" applyAlignment="1">
      <alignment horizontal="center"/>
    </xf>
    <xf numFmtId="0" fontId="64" fillId="0" borderId="0" xfId="0" applyFont="1" applyAlignment="1">
      <alignment horizontal="center" vertical="center" wrapText="1"/>
    </xf>
    <xf numFmtId="0" fontId="65" fillId="0" borderId="0" xfId="0" applyFont="1" applyAlignment="1">
      <alignment horizontal="center" vertical="center" wrapText="1"/>
    </xf>
    <xf numFmtId="0" fontId="66" fillId="0" borderId="0" xfId="0" applyFont="1" applyAlignment="1">
      <alignment horizontal="center" vertical="center" wrapText="1"/>
    </xf>
    <xf numFmtId="0" fontId="60" fillId="0" borderId="0" xfId="0" applyFont="1" applyAlignment="1">
      <alignment horizontal="center" vertical="center" wrapText="1"/>
    </xf>
    <xf numFmtId="0" fontId="67" fillId="0" borderId="0" xfId="0"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9" fillId="0" borderId="0" xfId="0" applyNumberFormat="1" applyFont="1" applyAlignment="1">
      <alignment horizontal="center" vertical="center" wrapText="1"/>
    </xf>
    <xf numFmtId="9" fontId="70" fillId="0" borderId="0" xfId="0" applyNumberFormat="1" applyFont="1" applyAlignment="1">
      <alignment horizontal="center" vertical="center" wrapText="1"/>
    </xf>
    <xf numFmtId="9" fontId="59" fillId="0" borderId="0" xfId="0" applyNumberFormat="1" applyFont="1" applyAlignment="1">
      <alignment horizontal="center" vertical="center" wrapText="1"/>
    </xf>
    <xf numFmtId="9" fontId="71" fillId="0" borderId="0" xfId="0" applyNumberFormat="1" applyFont="1" applyAlignment="1">
      <alignment horizontal="center" vertical="center" wrapText="1"/>
    </xf>
    <xf numFmtId="9" fontId="72" fillId="0" borderId="0" xfId="0" applyNumberFormat="1" applyFont="1" applyAlignment="1">
      <alignment horizontal="center" vertical="center" wrapText="1"/>
    </xf>
    <xf numFmtId="9" fontId="73"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0" fontId="74" fillId="0" borderId="0" xfId="0" applyFont="1" applyAlignment="1">
      <alignment horizontal="center" vertical="center" wrapText="1"/>
    </xf>
    <xf numFmtId="0" fontId="60" fillId="0" borderId="0" xfId="0" applyFont="1" applyAlignment="1">
      <alignment horizontal="center" vertical="center"/>
    </xf>
    <xf numFmtId="49" fontId="75" fillId="0" borderId="0" xfId="0" applyNumberFormat="1" applyFont="1" applyAlignment="1">
      <alignment horizontal="center" vertical="center" wrapText="1"/>
    </xf>
    <xf numFmtId="0" fontId="76" fillId="0" borderId="0" xfId="0" applyFont="1" applyAlignment="1">
      <alignment horizontal="center" vertical="center" wrapText="1"/>
    </xf>
    <xf numFmtId="0" fontId="77"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9"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9" fillId="0" borderId="33" xfId="0" applyFont="1" applyBorder="1" applyAlignment="1">
      <alignment horizontal="center" vertical="center" wrapText="1"/>
    </xf>
    <xf numFmtId="0" fontId="77" fillId="0" borderId="0" xfId="0" applyFont="1" applyAlignment="1">
      <alignment horizontal="center" vertical="center" wrapText="1"/>
    </xf>
    <xf numFmtId="49" fontId="47" fillId="0" borderId="0" xfId="0" applyNumberFormat="1" applyFont="1" applyAlignment="1">
      <alignment horizontal="center" vertical="center" wrapText="1"/>
    </xf>
    <xf numFmtId="0" fontId="17" fillId="0" borderId="34" xfId="0" applyFont="1" applyBorder="1" applyAlignment="1">
      <alignment horizontal="center" vertical="center"/>
    </xf>
    <xf numFmtId="0" fontId="39" fillId="0" borderId="0" xfId="0" applyFont="1" applyAlignment="1">
      <alignment horizontal="center" vertical="center" wrapText="1"/>
    </xf>
    <xf numFmtId="0" fontId="79" fillId="0" borderId="0" xfId="0" applyFont="1" applyAlignment="1">
      <alignment horizontal="center" vertical="center"/>
    </xf>
    <xf numFmtId="0" fontId="80" fillId="0" borderId="0" xfId="0" applyFont="1"/>
    <xf numFmtId="0" fontId="81" fillId="0" borderId="0" xfId="0" applyFont="1"/>
    <xf numFmtId="0" fontId="20" fillId="0" borderId="0" xfId="0" applyFont="1"/>
    <xf numFmtId="0" fontId="39" fillId="0" borderId="11" xfId="0" applyFont="1" applyBorder="1" applyAlignment="1">
      <alignment horizontal="center" vertical="center"/>
    </xf>
    <xf numFmtId="0" fontId="39" fillId="0" borderId="13" xfId="0" applyFont="1" applyBorder="1" applyAlignment="1">
      <alignment horizontal="center" vertical="center"/>
    </xf>
    <xf numFmtId="0" fontId="39" fillId="0" borderId="15" xfId="0" applyFont="1" applyBorder="1" applyAlignment="1">
      <alignment horizontal="center" vertical="center"/>
    </xf>
    <xf numFmtId="0" fontId="17" fillId="115" borderId="0" xfId="0" applyFont="1" applyFill="1" applyAlignment="1">
      <alignment horizontal="center" vertical="center"/>
    </xf>
    <xf numFmtId="17" fontId="47" fillId="0" borderId="0" xfId="0" applyNumberFormat="1" applyFont="1" applyAlignment="1">
      <alignment horizontal="center" vertical="center" wrapText="1"/>
    </xf>
    <xf numFmtId="0" fontId="60" fillId="0" borderId="0" xfId="0" applyFont="1" applyAlignment="1">
      <alignment horizontal="center" wrapText="1"/>
    </xf>
    <xf numFmtId="0" fontId="82" fillId="0" borderId="0" xfId="0" applyFont="1" applyAlignment="1">
      <alignment horizontal="center" vertical="center"/>
    </xf>
    <xf numFmtId="9" fontId="75" fillId="0" borderId="0" xfId="0" applyNumberFormat="1" applyFont="1" applyAlignment="1">
      <alignment horizontal="center" vertical="center" wrapText="1"/>
    </xf>
    <xf numFmtId="0" fontId="1" fillId="2" borderId="1" xfId="1" applyFont="1" applyFill="1" applyBorder="1" applyAlignment="1">
      <alignment horizontal="center" vertical="center" wrapText="1"/>
    </xf>
    <xf numFmtId="46" fontId="49" fillId="0" borderId="0" xfId="0" applyNumberFormat="1" applyFont="1" applyAlignment="1">
      <alignment horizontal="center" vertical="center" wrapText="1"/>
    </xf>
    <xf numFmtId="9" fontId="46" fillId="0" borderId="0" xfId="0" applyNumberFormat="1" applyFont="1" applyAlignment="1">
      <alignment horizontal="center" vertical="center" wrapText="1"/>
    </xf>
    <xf numFmtId="49" fontId="64" fillId="0" borderId="0" xfId="0" applyNumberFormat="1" applyFont="1" applyAlignment="1">
      <alignment horizontal="center" wrapText="1"/>
    </xf>
    <xf numFmtId="0" fontId="85" fillId="2" borderId="1" xfId="1" applyFont="1" applyFill="1" applyBorder="1" applyAlignment="1">
      <alignment horizontal="center" vertical="center" wrapText="1"/>
    </xf>
    <xf numFmtId="0" fontId="1" fillId="0" borderId="0" xfId="1" applyFont="1" applyFill="1" applyBorder="1" applyAlignment="1">
      <alignment horizontal="center" vertical="center" wrapText="1"/>
    </xf>
    <xf numFmtId="0" fontId="86" fillId="0" borderId="0" xfId="0" applyFont="1" applyAlignment="1">
      <alignment horizontal="center" vertical="center" wrapText="1"/>
    </xf>
    <xf numFmtId="9" fontId="39" fillId="0" borderId="0" xfId="0" applyNumberFormat="1" applyFont="1" applyAlignment="1">
      <alignment horizontal="center" vertical="center"/>
    </xf>
    <xf numFmtId="0" fontId="19" fillId="0" borderId="0" xfId="0" applyFont="1" applyAlignment="1">
      <alignment horizontal="left" vertical="center" wrapText="1"/>
    </xf>
    <xf numFmtId="0" fontId="87" fillId="137" borderId="4" xfId="0" applyFont="1" applyFill="1" applyBorder="1" applyAlignment="1">
      <alignment horizontal="center"/>
    </xf>
    <xf numFmtId="0" fontId="88" fillId="0" borderId="0" xfId="0" applyFont="1"/>
    <xf numFmtId="0" fontId="89" fillId="138" borderId="0" xfId="0" applyFont="1" applyFill="1" applyAlignment="1">
      <alignment horizontal="center"/>
    </xf>
    <xf numFmtId="0" fontId="90" fillId="0" borderId="0" xfId="0" applyFont="1"/>
    <xf numFmtId="0" fontId="89" fillId="131" borderId="0" xfId="0" applyFont="1" applyFill="1" applyAlignment="1">
      <alignment horizontal="center"/>
    </xf>
    <xf numFmtId="0" fontId="89" fillId="139" borderId="0" xfId="0" applyFont="1" applyFill="1" applyAlignment="1">
      <alignment horizontal="center"/>
    </xf>
    <xf numFmtId="0" fontId="89" fillId="140" borderId="0" xfId="0" applyFont="1" applyFill="1" applyAlignment="1">
      <alignment horizontal="center"/>
    </xf>
    <xf numFmtId="0" fontId="89" fillId="141" borderId="0" xfId="0" applyFont="1" applyFill="1" applyAlignment="1">
      <alignment horizontal="center"/>
    </xf>
    <xf numFmtId="0" fontId="89" fillId="142" borderId="0" xfId="0" applyFont="1" applyFill="1" applyAlignment="1">
      <alignment horizontal="center"/>
    </xf>
    <xf numFmtId="0" fontId="90" fillId="0" borderId="0" xfId="0" applyFont="1" applyAlignment="1">
      <alignment wrapText="1"/>
    </xf>
    <xf numFmtId="0" fontId="91" fillId="0" borderId="0" xfId="0" applyFont="1"/>
    <xf numFmtId="0" fontId="92" fillId="0" borderId="0" xfId="0" applyFont="1"/>
    <xf numFmtId="2" fontId="0" fillId="0" borderId="0" xfId="0" applyNumberFormat="1"/>
    <xf numFmtId="0" fontId="14" fillId="0" borderId="0" xfId="0" applyFont="1" applyAlignment="1">
      <alignment horizontal="left" vertical="center"/>
    </xf>
    <xf numFmtId="0" fontId="19" fillId="0" borderId="0" xfId="0" applyFont="1" applyAlignment="1">
      <alignment vertical="center"/>
    </xf>
    <xf numFmtId="0" fontId="14" fillId="143" borderId="0" xfId="0" applyFont="1" applyFill="1"/>
    <xf numFmtId="0" fontId="14" fillId="0" borderId="0" xfId="0" applyFont="1" applyAlignment="1">
      <alignment horizontal="left"/>
    </xf>
    <xf numFmtId="0" fontId="14" fillId="144" borderId="0" xfId="0" applyFont="1" applyFill="1" applyAlignment="1">
      <alignment horizontal="left"/>
    </xf>
    <xf numFmtId="0" fontId="14" fillId="143" borderId="0" xfId="0" applyFont="1" applyFill="1" applyAlignment="1">
      <alignment horizontal="left"/>
    </xf>
    <xf numFmtId="0" fontId="14" fillId="0" borderId="0" xfId="0" applyFont="1" applyAlignment="1">
      <alignment horizontal="left" wrapText="1"/>
    </xf>
    <xf numFmtId="0" fontId="100" fillId="0" borderId="0" xfId="0" applyFont="1" applyAlignment="1">
      <alignment horizontal="left"/>
    </xf>
    <xf numFmtId="0" fontId="20" fillId="0" borderId="0" xfId="0" applyFont="1" applyAlignment="1">
      <alignment horizontal="left"/>
    </xf>
    <xf numFmtId="0" fontId="21" fillId="0" borderId="0" xfId="0" applyFont="1" applyAlignment="1">
      <alignment horizontal="left"/>
    </xf>
    <xf numFmtId="0" fontId="21" fillId="144" borderId="0" xfId="0" applyFont="1" applyFill="1" applyAlignment="1">
      <alignment horizontal="left"/>
    </xf>
    <xf numFmtId="0" fontId="80" fillId="144" borderId="0" xfId="0" applyFont="1" applyFill="1" applyAlignment="1">
      <alignment horizontal="left"/>
    </xf>
    <xf numFmtId="0" fontId="81" fillId="144" borderId="0" xfId="0" applyFont="1" applyFill="1" applyAlignment="1">
      <alignment horizontal="left"/>
    </xf>
    <xf numFmtId="0" fontId="20" fillId="144" borderId="0" xfId="0" applyFont="1" applyFill="1" applyAlignment="1">
      <alignment horizontal="left"/>
    </xf>
    <xf numFmtId="0" fontId="101" fillId="144" borderId="0" xfId="0" applyFont="1" applyFill="1" applyAlignment="1">
      <alignment horizontal="left"/>
    </xf>
    <xf numFmtId="0" fontId="99" fillId="144" borderId="0" xfId="0" applyFont="1" applyFill="1" applyAlignment="1">
      <alignment horizontal="left"/>
    </xf>
    <xf numFmtId="0" fontId="100" fillId="144" borderId="0" xfId="0" applyFont="1" applyFill="1" applyAlignment="1">
      <alignment horizontal="left"/>
    </xf>
    <xf numFmtId="0" fontId="14" fillId="27" borderId="0" xfId="0" applyFont="1" applyFill="1" applyAlignment="1">
      <alignment horizontal="left" vertical="center"/>
    </xf>
    <xf numFmtId="0" fontId="102" fillId="144" borderId="0" xfId="0" applyFont="1" applyFill="1" applyAlignment="1">
      <alignment horizontal="left"/>
    </xf>
    <xf numFmtId="0" fontId="81" fillId="0" borderId="0" xfId="0" applyFont="1" applyAlignment="1">
      <alignment horizontal="left" vertical="center"/>
    </xf>
    <xf numFmtId="0" fontId="19" fillId="0" borderId="0" xfId="0" applyFont="1" applyAlignment="1">
      <alignment horizontal="left"/>
    </xf>
    <xf numFmtId="0" fontId="19" fillId="144" borderId="0" xfId="0" applyFont="1" applyFill="1" applyAlignment="1">
      <alignment horizontal="left"/>
    </xf>
    <xf numFmtId="0" fontId="14" fillId="145" borderId="0" xfId="0" applyFont="1" applyFill="1"/>
    <xf numFmtId="0" fontId="14" fillId="146" borderId="0" xfId="0" applyFont="1" applyFill="1" applyAlignment="1">
      <alignment horizontal="left"/>
    </xf>
    <xf numFmtId="0" fontId="14" fillId="145" borderId="0" xfId="0" applyFont="1" applyFill="1" applyAlignment="1">
      <alignment horizontal="left" vertical="center"/>
    </xf>
    <xf numFmtId="0" fontId="14" fillId="146" borderId="0" xfId="0" applyFont="1" applyFill="1" applyAlignment="1">
      <alignment horizontal="left" vertical="center"/>
    </xf>
    <xf numFmtId="0" fontId="103" fillId="144" borderId="0" xfId="0" applyFont="1" applyFill="1" applyAlignment="1">
      <alignment horizontal="left"/>
    </xf>
    <xf numFmtId="0" fontId="104" fillId="144" borderId="0" xfId="0" applyFont="1" applyFill="1" applyAlignment="1">
      <alignment horizontal="left"/>
    </xf>
    <xf numFmtId="0" fontId="76" fillId="0" borderId="20" xfId="0" applyFont="1" applyBorder="1" applyAlignment="1">
      <alignment horizontal="center" wrapText="1"/>
    </xf>
    <xf numFmtId="0" fontId="76" fillId="0" borderId="20" xfId="0" applyFont="1" applyBorder="1" applyAlignment="1">
      <alignment horizontal="left" wrapText="1"/>
    </xf>
    <xf numFmtId="0" fontId="16" fillId="0" borderId="0" xfId="0" applyFont="1" applyAlignment="1">
      <alignment horizontal="left"/>
    </xf>
    <xf numFmtId="0" fontId="3" fillId="0" borderId="12" xfId="0" applyFont="1" applyBorder="1" applyAlignment="1">
      <alignment horizontal="center" wrapText="1"/>
    </xf>
    <xf numFmtId="0" fontId="21" fillId="0" borderId="0" xfId="0" applyFont="1"/>
    <xf numFmtId="49" fontId="0" fillId="0" borderId="0" xfId="0" applyNumberFormat="1"/>
    <xf numFmtId="49" fontId="23" fillId="37"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2" borderId="0" xfId="0" applyNumberFormat="1" applyFont="1" applyFill="1" applyAlignment="1">
      <alignment horizontal="left"/>
    </xf>
    <xf numFmtId="49" fontId="23" fillId="19" borderId="0" xfId="0" applyNumberFormat="1" applyFont="1" applyFill="1" applyAlignment="1">
      <alignment horizontal="left"/>
    </xf>
    <xf numFmtId="49" fontId="23" fillId="25"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4" borderId="0" xfId="0" applyNumberFormat="1" applyFont="1" applyFill="1" applyAlignment="1">
      <alignment horizontal="left"/>
    </xf>
    <xf numFmtId="49" fontId="23" fillId="0" borderId="0" xfId="0" applyNumberFormat="1" applyFont="1" applyAlignment="1">
      <alignment horizontal="left" wrapText="1"/>
    </xf>
    <xf numFmtId="49" fontId="23" fillId="147" borderId="0" xfId="0" applyNumberFormat="1" applyFont="1" applyFill="1" applyAlignment="1">
      <alignment horizontal="left"/>
    </xf>
    <xf numFmtId="0" fontId="106" fillId="0" borderId="0" xfId="0" applyFont="1" applyAlignment="1">
      <alignment horizontal="center"/>
    </xf>
    <xf numFmtId="0" fontId="107" fillId="0" borderId="0" xfId="0" applyFont="1" applyAlignment="1">
      <alignment horizontal="center"/>
    </xf>
    <xf numFmtId="0" fontId="108" fillId="0" borderId="0" xfId="0" applyFont="1" applyAlignment="1">
      <alignment horizontal="center"/>
    </xf>
    <xf numFmtId="0" fontId="109" fillId="0" borderId="0" xfId="0" applyFont="1" applyAlignment="1">
      <alignment horizontal="center"/>
    </xf>
    <xf numFmtId="0" fontId="110" fillId="0" borderId="0" xfId="0" applyFont="1" applyAlignment="1">
      <alignment horizontal="center"/>
    </xf>
    <xf numFmtId="0" fontId="111" fillId="0" borderId="0" xfId="0" applyFont="1" applyAlignment="1">
      <alignment horizontal="left"/>
    </xf>
    <xf numFmtId="0" fontId="112" fillId="0" borderId="0" xfId="0" applyFont="1" applyAlignment="1">
      <alignment horizontal="center"/>
    </xf>
    <xf numFmtId="0" fontId="113" fillId="0" borderId="0" xfId="0" applyFont="1" applyAlignment="1">
      <alignment horizontal="center"/>
    </xf>
    <xf numFmtId="0" fontId="0" fillId="148"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146" borderId="0" xfId="0" applyFont="1" applyFill="1" applyAlignment="1">
      <alignment horizontal="center"/>
    </xf>
    <xf numFmtId="0" fontId="3" fillId="49" borderId="0" xfId="0" applyFont="1" applyFill="1" applyAlignment="1">
      <alignment horizontal="center"/>
    </xf>
    <xf numFmtId="0" fontId="3" fillId="34" borderId="0" xfId="0" applyFont="1" applyFill="1" applyAlignment="1">
      <alignment horizontal="center"/>
    </xf>
    <xf numFmtId="0" fontId="3" fillId="46" borderId="0" xfId="0" applyFont="1" applyFill="1" applyAlignment="1">
      <alignment horizontal="center"/>
    </xf>
    <xf numFmtId="0" fontId="3" fillId="150" borderId="0" xfId="0" applyFont="1" applyFill="1" applyAlignment="1">
      <alignment horizontal="center"/>
    </xf>
    <xf numFmtId="0" fontId="3" fillId="147" borderId="0" xfId="0" applyFont="1" applyFill="1" applyAlignment="1">
      <alignment horizontal="center"/>
    </xf>
    <xf numFmtId="0" fontId="114" fillId="3" borderId="0" xfId="0" applyFont="1" applyFill="1" applyAlignment="1">
      <alignment horizontal="center"/>
    </xf>
    <xf numFmtId="0" fontId="3" fillId="153" borderId="0" xfId="0" applyFont="1" applyFill="1" applyAlignment="1">
      <alignment horizontal="center"/>
    </xf>
    <xf numFmtId="0" fontId="3" fillId="154" borderId="0" xfId="0" applyFont="1" applyFill="1" applyAlignment="1">
      <alignment horizontal="center"/>
    </xf>
    <xf numFmtId="0" fontId="3" fillId="155" borderId="34" xfId="0" applyFont="1" applyFill="1" applyBorder="1" applyAlignment="1">
      <alignment horizontal="center"/>
    </xf>
    <xf numFmtId="0" fontId="3" fillId="156" borderId="0" xfId="0" applyFont="1" applyFill="1" applyAlignment="1">
      <alignment horizontal="center"/>
    </xf>
    <xf numFmtId="0" fontId="3" fillId="37" borderId="0" xfId="0" applyFont="1" applyFill="1" applyAlignment="1">
      <alignment horizontal="center"/>
    </xf>
    <xf numFmtId="0" fontId="3" fillId="157" borderId="0" xfId="0" applyFont="1" applyFill="1" applyAlignment="1">
      <alignment horizontal="center"/>
    </xf>
    <xf numFmtId="0" fontId="3" fillId="158" borderId="0" xfId="0" applyFont="1" applyFill="1" applyAlignment="1">
      <alignment horizontal="center"/>
    </xf>
    <xf numFmtId="0" fontId="115" fillId="159" borderId="4" xfId="0" applyFont="1" applyFill="1" applyBorder="1" applyAlignment="1">
      <alignment horizontal="center"/>
    </xf>
    <xf numFmtId="0" fontId="116" fillId="160" borderId="4" xfId="0" applyFont="1" applyFill="1" applyBorder="1" applyAlignment="1">
      <alignment horizontal="center"/>
    </xf>
    <xf numFmtId="0" fontId="117" fillId="161" borderId="0" xfId="0" applyFont="1" applyFill="1" applyAlignment="1">
      <alignment horizontal="center"/>
    </xf>
    <xf numFmtId="0" fontId="115" fillId="137" borderId="18" xfId="0" applyFont="1" applyFill="1" applyBorder="1" applyAlignment="1">
      <alignment vertical="center"/>
    </xf>
    <xf numFmtId="0" fontId="116" fillId="162" borderId="4" xfId="0" applyFont="1" applyFill="1" applyBorder="1" applyAlignment="1">
      <alignment horizontal="center"/>
    </xf>
    <xf numFmtId="0" fontId="117" fillId="163" borderId="4" xfId="0" applyFont="1" applyFill="1" applyBorder="1" applyAlignment="1">
      <alignment horizontal="center"/>
    </xf>
    <xf numFmtId="0" fontId="87" fillId="137" borderId="4" xfId="0" quotePrefix="1" applyFont="1" applyFill="1" applyBorder="1" applyAlignment="1">
      <alignment horizontal="center"/>
    </xf>
    <xf numFmtId="0" fontId="116" fillId="164" borderId="4" xfId="0" applyFont="1" applyFill="1" applyBorder="1" applyAlignment="1">
      <alignment horizontal="center"/>
    </xf>
    <xf numFmtId="0" fontId="118" fillId="165" borderId="4" xfId="0" applyFont="1" applyFill="1" applyBorder="1" applyAlignment="1">
      <alignment horizontal="center"/>
    </xf>
    <xf numFmtId="0" fontId="116" fillId="166" borderId="4" xfId="0" applyFont="1" applyFill="1" applyBorder="1" applyAlignment="1">
      <alignment horizontal="center"/>
    </xf>
    <xf numFmtId="0" fontId="118" fillId="167" borderId="4" xfId="0" applyFont="1" applyFill="1" applyBorder="1" applyAlignment="1">
      <alignment horizontal="center"/>
    </xf>
    <xf numFmtId="0" fontId="116" fillId="168" borderId="4" xfId="0" applyFont="1" applyFill="1" applyBorder="1" applyAlignment="1">
      <alignment horizontal="center"/>
    </xf>
    <xf numFmtId="0" fontId="118" fillId="169" borderId="4" xfId="0" applyFont="1" applyFill="1" applyBorder="1" applyAlignment="1">
      <alignment horizontal="center"/>
    </xf>
    <xf numFmtId="0" fontId="117" fillId="169" borderId="4" xfId="0" applyFont="1" applyFill="1" applyBorder="1" applyAlignment="1">
      <alignment horizontal="center"/>
    </xf>
    <xf numFmtId="0" fontId="116" fillId="170" borderId="4" xfId="0" applyFont="1" applyFill="1" applyBorder="1" applyAlignment="1">
      <alignment horizontal="center"/>
    </xf>
    <xf numFmtId="0" fontId="118" fillId="171" borderId="4" xfId="0" applyFont="1" applyFill="1" applyBorder="1" applyAlignment="1">
      <alignment horizontal="center"/>
    </xf>
    <xf numFmtId="0" fontId="119" fillId="0" borderId="0" xfId="0" applyFont="1"/>
    <xf numFmtId="0" fontId="120" fillId="27" borderId="4" xfId="0" applyFont="1" applyFill="1" applyBorder="1" applyAlignment="1">
      <alignment horizontal="center"/>
    </xf>
    <xf numFmtId="0" fontId="120" fillId="46" borderId="11" xfId="0" applyFont="1" applyFill="1" applyBorder="1" applyAlignment="1">
      <alignment horizontal="center" vertical="center"/>
    </xf>
    <xf numFmtId="0" fontId="120" fillId="43" borderId="11" xfId="0" quotePrefix="1" applyFont="1" applyFill="1" applyBorder="1" applyAlignment="1">
      <alignment horizontal="center" vertical="center"/>
    </xf>
    <xf numFmtId="0" fontId="120" fillId="34" borderId="11" xfId="0" quotePrefix="1" applyFont="1" applyFill="1" applyBorder="1" applyAlignment="1">
      <alignment horizontal="center" vertical="center"/>
    </xf>
    <xf numFmtId="0" fontId="120" fillId="172" borderId="11" xfId="0" quotePrefix="1" applyFont="1" applyFill="1" applyBorder="1" applyAlignment="1">
      <alignment horizontal="center" vertical="center"/>
    </xf>
    <xf numFmtId="0" fontId="120" fillId="26" borderId="11" xfId="0" applyFont="1" applyFill="1" applyBorder="1" applyAlignment="1">
      <alignment horizontal="center" vertical="center"/>
    </xf>
    <xf numFmtId="0" fontId="120" fillId="173" borderId="11" xfId="0" applyFont="1" applyFill="1" applyBorder="1" applyAlignment="1">
      <alignment horizontal="center" vertical="center"/>
    </xf>
    <xf numFmtId="0" fontId="119" fillId="0" borderId="0" xfId="0" applyFont="1" applyAlignment="1">
      <alignment horizontal="left"/>
    </xf>
    <xf numFmtId="0" fontId="90" fillId="0" borderId="0" xfId="0" applyFont="1" applyAlignment="1">
      <alignment horizontal="left"/>
    </xf>
    <xf numFmtId="0" fontId="121" fillId="0" borderId="13" xfId="0" quotePrefix="1" applyFont="1" applyBorder="1" applyAlignment="1">
      <alignment horizontal="center" vertical="center"/>
    </xf>
    <xf numFmtId="0" fontId="121" fillId="0" borderId="13" xfId="0" applyFont="1" applyBorder="1" applyAlignment="1">
      <alignment horizontal="center" vertical="center"/>
    </xf>
    <xf numFmtId="0" fontId="121" fillId="0" borderId="13" xfId="0" quotePrefix="1" applyFont="1" applyBorder="1" applyAlignment="1">
      <alignment horizontal="center" vertical="center" wrapText="1"/>
    </xf>
    <xf numFmtId="0" fontId="121" fillId="0" borderId="12" xfId="0" quotePrefix="1" applyFont="1" applyBorder="1" applyAlignment="1">
      <alignment horizontal="center" vertical="center"/>
    </xf>
    <xf numFmtId="0" fontId="120" fillId="174" borderId="9" xfId="0" applyFont="1" applyFill="1" applyBorder="1" applyAlignment="1">
      <alignment horizontal="left"/>
    </xf>
    <xf numFmtId="0" fontId="122" fillId="0" borderId="12" xfId="0" quotePrefix="1" applyFont="1" applyBorder="1" applyAlignment="1">
      <alignment horizontal="center" vertical="center" wrapText="1"/>
    </xf>
    <xf numFmtId="0" fontId="122" fillId="0" borderId="12" xfId="0" applyFont="1" applyBorder="1" applyAlignment="1">
      <alignment horizontal="center" vertical="center"/>
    </xf>
    <xf numFmtId="0" fontId="0" fillId="174" borderId="9" xfId="0" applyFill="1" applyBorder="1" applyAlignment="1">
      <alignment horizontal="left"/>
    </xf>
    <xf numFmtId="0" fontId="0" fillId="0" borderId="0" xfId="0" quotePrefix="1" applyAlignment="1">
      <alignment horizontal="left"/>
    </xf>
    <xf numFmtId="0" fontId="121" fillId="0" borderId="20" xfId="0" quotePrefix="1" applyFont="1" applyBorder="1" applyAlignment="1">
      <alignment horizontal="center" vertical="center" wrapText="1"/>
    </xf>
    <xf numFmtId="0" fontId="121" fillId="0" borderId="20" xfId="0" applyFont="1" applyBorder="1" applyAlignment="1">
      <alignment horizontal="center" vertical="center" wrapText="1"/>
    </xf>
    <xf numFmtId="0" fontId="120" fillId="46" borderId="21" xfId="0" quotePrefix="1" applyFont="1" applyFill="1" applyBorder="1" applyAlignment="1">
      <alignment horizontal="center" vertical="center"/>
    </xf>
    <xf numFmtId="0" fontId="120" fillId="43" borderId="15" xfId="0" applyFont="1" applyFill="1" applyBorder="1" applyAlignment="1">
      <alignment horizontal="center" vertical="center"/>
    </xf>
    <xf numFmtId="0" fontId="120" fillId="34" borderId="14" xfId="0" applyFont="1" applyFill="1" applyBorder="1" applyAlignment="1">
      <alignment horizontal="center" vertical="center"/>
    </xf>
    <xf numFmtId="0" fontId="120" fillId="172" borderId="14" xfId="0" quotePrefix="1" applyFont="1" applyFill="1" applyBorder="1" applyAlignment="1">
      <alignment horizontal="center" vertical="center" wrapText="1"/>
    </xf>
    <xf numFmtId="0" fontId="120" fillId="26" borderId="14" xfId="0" quotePrefix="1" applyFont="1" applyFill="1" applyBorder="1" applyAlignment="1">
      <alignment horizontal="center" vertical="center" wrapText="1"/>
    </xf>
    <xf numFmtId="0" fontId="120" fillId="173" borderId="14" xfId="0" quotePrefix="1" applyFont="1" applyFill="1" applyBorder="1" applyAlignment="1">
      <alignment horizontal="center" vertical="center" wrapText="1"/>
    </xf>
    <xf numFmtId="0" fontId="120" fillId="175" borderId="0" xfId="0" quotePrefix="1" applyFont="1" applyFill="1" applyAlignment="1">
      <alignment horizontal="left" vertical="center"/>
    </xf>
    <xf numFmtId="0" fontId="120" fillId="176" borderId="0" xfId="0" quotePrefix="1" applyFont="1" applyFill="1" applyAlignment="1">
      <alignment horizontal="left" vertical="center"/>
    </xf>
    <xf numFmtId="0" fontId="120" fillId="177" borderId="0" xfId="0" quotePrefix="1" applyFont="1" applyFill="1" applyAlignment="1">
      <alignment horizontal="left" vertical="center"/>
    </xf>
    <xf numFmtId="0" fontId="120" fillId="172" borderId="0" xfId="0" applyFont="1" applyFill="1" applyAlignment="1">
      <alignment horizontal="left" vertical="center"/>
    </xf>
    <xf numFmtId="0" fontId="120" fillId="26" borderId="0" xfId="0" applyFont="1" applyFill="1" applyAlignment="1">
      <alignment horizontal="left" vertical="center"/>
    </xf>
    <xf numFmtId="0" fontId="120" fillId="173" borderId="0" xfId="0" applyFont="1" applyFill="1" applyAlignment="1">
      <alignment horizontal="left" vertical="center"/>
    </xf>
    <xf numFmtId="0" fontId="118" fillId="174" borderId="12" xfId="0" quotePrefix="1" applyFont="1" applyFill="1" applyBorder="1" applyAlignment="1">
      <alignment horizontal="left" vertical="center" wrapText="1"/>
    </xf>
    <xf numFmtId="0" fontId="118" fillId="174" borderId="12" xfId="0" applyFont="1" applyFill="1" applyBorder="1" applyAlignment="1">
      <alignment horizontal="left" vertical="center"/>
    </xf>
    <xf numFmtId="0" fontId="118" fillId="174" borderId="12" xfId="0" quotePrefix="1" applyFont="1" applyFill="1" applyBorder="1" applyAlignment="1">
      <alignment horizontal="left" vertical="center"/>
    </xf>
    <xf numFmtId="0" fontId="120" fillId="176" borderId="0" xfId="0" applyFont="1" applyFill="1" applyAlignment="1">
      <alignment horizontal="left" vertical="center"/>
    </xf>
    <xf numFmtId="0" fontId="120" fillId="177" borderId="0" xfId="0" applyFont="1" applyFill="1" applyAlignment="1">
      <alignment horizontal="left" vertical="center"/>
    </xf>
    <xf numFmtId="0" fontId="120" fillId="172" borderId="0" xfId="0" quotePrefix="1" applyFont="1" applyFill="1" applyAlignment="1">
      <alignment horizontal="left" vertical="center"/>
    </xf>
    <xf numFmtId="0" fontId="120" fillId="26" borderId="0" xfId="0" quotePrefix="1" applyFont="1" applyFill="1" applyAlignment="1">
      <alignment horizontal="left" vertical="center"/>
    </xf>
    <xf numFmtId="0" fontId="120" fillId="173" borderId="0" xfId="0" quotePrefix="1" applyFont="1" applyFill="1" applyAlignment="1">
      <alignment horizontal="left" vertical="center"/>
    </xf>
    <xf numFmtId="0" fontId="119" fillId="0" borderId="4" xfId="0" applyFont="1" applyBorder="1"/>
    <xf numFmtId="0" fontId="90" fillId="0" borderId="0" xfId="0" quotePrefix="1" applyFont="1" applyAlignment="1">
      <alignment horizontal="left"/>
    </xf>
    <xf numFmtId="0" fontId="123" fillId="0" borderId="0" xfId="0" applyFont="1" applyAlignment="1">
      <alignment horizontal="left"/>
    </xf>
    <xf numFmtId="0" fontId="119" fillId="0" borderId="9" xfId="0" applyFont="1" applyBorder="1"/>
    <xf numFmtId="0" fontId="119" fillId="0" borderId="0" xfId="0" quotePrefix="1" applyFont="1"/>
    <xf numFmtId="0" fontId="124" fillId="0" borderId="0" xfId="0" applyFont="1" applyAlignment="1">
      <alignment horizontal="left"/>
    </xf>
    <xf numFmtId="0" fontId="126" fillId="179" borderId="1" xfId="1" applyFont="1" applyFill="1" applyBorder="1" applyAlignment="1">
      <alignment horizontal="center" vertical="center" wrapText="1"/>
    </xf>
    <xf numFmtId="0" fontId="126" fillId="180" borderId="1" xfId="1" applyFont="1" applyFill="1" applyBorder="1" applyAlignment="1">
      <alignment horizontal="center" vertical="center" wrapText="1"/>
    </xf>
    <xf numFmtId="0" fontId="126" fillId="5" borderId="1" xfId="1" applyFont="1" applyFill="1" applyBorder="1" applyAlignment="1">
      <alignment horizontal="center" vertical="center" wrapText="1"/>
    </xf>
    <xf numFmtId="0" fontId="126" fillId="181" borderId="1" xfId="1" applyFont="1" applyFill="1" applyBorder="1" applyAlignment="1">
      <alignment horizontal="center" vertical="center" wrapText="1"/>
    </xf>
    <xf numFmtId="0" fontId="127" fillId="0" borderId="0" xfId="0" applyFont="1" applyAlignment="1">
      <alignment horizontal="center" wrapText="1"/>
    </xf>
    <xf numFmtId="0" fontId="128" fillId="0" borderId="0" xfId="0" applyFont="1" applyAlignment="1">
      <alignment horizontal="center" wrapText="1"/>
    </xf>
    <xf numFmtId="49" fontId="129" fillId="0" borderId="0" xfId="0" applyNumberFormat="1" applyFont="1" applyAlignment="1">
      <alignment horizontal="center" vertical="center" wrapText="1"/>
    </xf>
    <xf numFmtId="49" fontId="130"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70" fillId="0" borderId="0" xfId="0" applyNumberFormat="1" applyFont="1" applyAlignment="1">
      <alignment horizontal="center" vertical="center" wrapText="1"/>
    </xf>
    <xf numFmtId="49" fontId="72" fillId="0" borderId="0" xfId="0" applyNumberFormat="1" applyFont="1" applyAlignment="1">
      <alignment horizontal="center" vertical="center" wrapText="1"/>
    </xf>
    <xf numFmtId="49" fontId="73"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131" fillId="0" borderId="0" xfId="0" applyNumberFormat="1" applyFont="1" applyAlignment="1">
      <alignment horizontal="center" vertical="center" wrapText="1"/>
    </xf>
    <xf numFmtId="49" fontId="74" fillId="0" borderId="0" xfId="0" applyNumberFormat="1" applyFont="1" applyAlignment="1">
      <alignment horizontal="center" vertical="center" wrapText="1"/>
    </xf>
    <xf numFmtId="49" fontId="132" fillId="0" borderId="0" xfId="0" applyNumberFormat="1" applyFont="1" applyAlignment="1">
      <alignment horizontal="center" vertical="center" wrapText="1"/>
    </xf>
    <xf numFmtId="49" fontId="75" fillId="0" borderId="0" xfId="0" applyNumberFormat="1" applyFont="1" applyAlignment="1">
      <alignment horizontal="center" wrapText="1"/>
    </xf>
    <xf numFmtId="9" fontId="60" fillId="0" borderId="0" xfId="0" applyNumberFormat="1" applyFont="1" applyAlignment="1">
      <alignment horizontal="center" wrapText="1"/>
    </xf>
    <xf numFmtId="0" fontId="77" fillId="0" borderId="0" xfId="0" applyFont="1" applyAlignment="1">
      <alignment horizontal="center"/>
    </xf>
    <xf numFmtId="0" fontId="82" fillId="0" borderId="0" xfId="0" applyFont="1" applyAlignment="1">
      <alignment horizontal="center"/>
    </xf>
    <xf numFmtId="0" fontId="126" fillId="182" borderId="1" xfId="1" applyFont="1" applyFill="1" applyBorder="1" applyAlignment="1">
      <alignment horizontal="center" vertical="center" wrapText="1"/>
    </xf>
    <xf numFmtId="0" fontId="126" fillId="137" borderId="1" xfId="1" applyFont="1" applyFill="1" applyBorder="1" applyAlignment="1">
      <alignment horizontal="center" vertical="center" wrapText="1"/>
    </xf>
    <xf numFmtId="0" fontId="82" fillId="0" borderId="0" xfId="0" applyFont="1" applyAlignment="1">
      <alignment horizontal="center" wrapText="1"/>
    </xf>
    <xf numFmtId="0" fontId="126" fillId="184" borderId="1" xfId="1" applyFont="1" applyFill="1" applyBorder="1" applyAlignment="1">
      <alignment horizontal="center" vertical="center" wrapText="1"/>
    </xf>
    <xf numFmtId="0" fontId="135" fillId="185" borderId="0" xfId="0" applyFont="1" applyFill="1" applyAlignment="1">
      <alignment horizontal="center"/>
    </xf>
    <xf numFmtId="0" fontId="135" fillId="178" borderId="0" xfId="0" applyFont="1" applyFill="1" applyAlignment="1">
      <alignment horizontal="center"/>
    </xf>
    <xf numFmtId="0" fontId="135" fillId="183" borderId="0" xfId="0" applyFont="1" applyFill="1" applyAlignment="1">
      <alignment horizontal="center"/>
    </xf>
    <xf numFmtId="0" fontId="135" fillId="117" borderId="0" xfId="0" applyFont="1" applyFill="1" applyAlignment="1">
      <alignment horizontal="center"/>
    </xf>
    <xf numFmtId="0" fontId="111" fillId="0" borderId="12" xfId="0" applyFont="1" applyBorder="1" applyAlignment="1">
      <alignment horizontal="center"/>
    </xf>
    <xf numFmtId="0" fontId="3" fillId="0" borderId="12" xfId="0" applyFont="1" applyBorder="1" applyAlignment="1">
      <alignment horizontal="center"/>
    </xf>
    <xf numFmtId="0" fontId="111" fillId="145" borderId="0" xfId="0" applyFont="1" applyFill="1" applyAlignment="1">
      <alignment horizontal="center"/>
    </xf>
    <xf numFmtId="0" fontId="23" fillId="186" borderId="0" xfId="0" applyFont="1" applyFill="1" applyAlignment="1">
      <alignment horizontal="center"/>
    </xf>
    <xf numFmtId="0" fontId="111" fillId="186" borderId="0" xfId="0" applyFont="1" applyFill="1" applyAlignment="1">
      <alignment horizontal="center"/>
    </xf>
    <xf numFmtId="0" fontId="111" fillId="7" borderId="36" xfId="0" applyFont="1" applyFill="1" applyBorder="1" applyAlignment="1">
      <alignment horizontal="center"/>
    </xf>
    <xf numFmtId="0" fontId="111" fillId="7" borderId="37" xfId="0" applyFont="1" applyFill="1" applyBorder="1" applyAlignment="1">
      <alignment horizontal="center"/>
    </xf>
    <xf numFmtId="0" fontId="111" fillId="7" borderId="38" xfId="0" applyFont="1" applyFill="1" applyBorder="1" applyAlignment="1">
      <alignment horizontal="center"/>
    </xf>
    <xf numFmtId="0" fontId="111" fillId="7" borderId="0" xfId="0" applyFont="1" applyFill="1" applyAlignment="1">
      <alignment horizontal="center"/>
    </xf>
    <xf numFmtId="0" fontId="111" fillId="7" borderId="39" xfId="0" applyFont="1" applyFill="1" applyBorder="1" applyAlignment="1">
      <alignment horizontal="center"/>
    </xf>
    <xf numFmtId="0" fontId="111" fillId="7" borderId="19" xfId="0" applyFont="1" applyFill="1" applyBorder="1" applyAlignment="1">
      <alignment horizontal="center"/>
    </xf>
    <xf numFmtId="0" fontId="111" fillId="7" borderId="40" xfId="0" applyFont="1" applyFill="1" applyBorder="1" applyAlignment="1">
      <alignment horizontal="center"/>
    </xf>
    <xf numFmtId="0" fontId="111" fillId="7" borderId="41" xfId="0" applyFont="1" applyFill="1" applyBorder="1" applyAlignment="1">
      <alignment horizontal="center"/>
    </xf>
    <xf numFmtId="0" fontId="111" fillId="7" borderId="16" xfId="0" applyFont="1" applyFill="1" applyBorder="1" applyAlignment="1">
      <alignment horizontal="center"/>
    </xf>
    <xf numFmtId="0" fontId="111" fillId="7" borderId="42" xfId="0" applyFont="1" applyFill="1" applyBorder="1" applyAlignment="1">
      <alignment horizontal="center"/>
    </xf>
    <xf numFmtId="0" fontId="111" fillId="124" borderId="36" xfId="0" applyFont="1" applyFill="1" applyBorder="1" applyAlignment="1">
      <alignment horizontal="center"/>
    </xf>
    <xf numFmtId="0" fontId="111" fillId="124" borderId="37" xfId="0" applyFont="1" applyFill="1" applyBorder="1" applyAlignment="1">
      <alignment horizontal="center"/>
    </xf>
    <xf numFmtId="0" fontId="111" fillId="124" borderId="38" xfId="0" applyFont="1" applyFill="1" applyBorder="1" applyAlignment="1">
      <alignment horizontal="center"/>
    </xf>
    <xf numFmtId="0" fontId="111" fillId="124" borderId="0" xfId="0" applyFont="1" applyFill="1" applyAlignment="1">
      <alignment horizontal="center"/>
    </xf>
    <xf numFmtId="0" fontId="111" fillId="124" borderId="39" xfId="0" applyFont="1" applyFill="1" applyBorder="1" applyAlignment="1">
      <alignment horizontal="center"/>
    </xf>
    <xf numFmtId="0" fontId="111" fillId="124" borderId="19" xfId="0" applyFont="1" applyFill="1" applyBorder="1" applyAlignment="1">
      <alignment horizontal="center"/>
    </xf>
    <xf numFmtId="0" fontId="111" fillId="124" borderId="40" xfId="0" applyFont="1" applyFill="1" applyBorder="1" applyAlignment="1">
      <alignment horizontal="center"/>
    </xf>
    <xf numFmtId="0" fontId="111" fillId="124" borderId="19" xfId="0" applyFont="1" applyFill="1" applyBorder="1" applyAlignment="1">
      <alignment horizontal="center" wrapText="1"/>
    </xf>
    <xf numFmtId="0" fontId="111" fillId="124" borderId="41" xfId="0" applyFont="1" applyFill="1" applyBorder="1" applyAlignment="1">
      <alignment horizontal="center"/>
    </xf>
    <xf numFmtId="0" fontId="111" fillId="124" borderId="16" xfId="0" applyFont="1" applyFill="1" applyBorder="1" applyAlignment="1">
      <alignment horizontal="center"/>
    </xf>
    <xf numFmtId="0" fontId="111" fillId="124" borderId="42" xfId="0" applyFont="1" applyFill="1" applyBorder="1" applyAlignment="1">
      <alignment horizontal="center"/>
    </xf>
    <xf numFmtId="0" fontId="23" fillId="187" borderId="36" xfId="0" applyFont="1" applyFill="1" applyBorder="1" applyAlignment="1">
      <alignment horizontal="center"/>
    </xf>
    <xf numFmtId="0" fontId="23" fillId="187" borderId="37" xfId="0" applyFont="1" applyFill="1" applyBorder="1" applyAlignment="1">
      <alignment horizontal="center"/>
    </xf>
    <xf numFmtId="0" fontId="23" fillId="187" borderId="38" xfId="0" applyFont="1" applyFill="1" applyBorder="1" applyAlignment="1">
      <alignment horizontal="center"/>
    </xf>
    <xf numFmtId="0" fontId="23" fillId="187" borderId="0" xfId="0" applyFont="1" applyFill="1" applyAlignment="1">
      <alignment horizontal="center"/>
    </xf>
    <xf numFmtId="0" fontId="23" fillId="187" borderId="39" xfId="0" applyFont="1" applyFill="1" applyBorder="1" applyAlignment="1">
      <alignment horizontal="center"/>
    </xf>
    <xf numFmtId="0" fontId="23" fillId="187" borderId="19" xfId="0" applyFont="1" applyFill="1" applyBorder="1" applyAlignment="1">
      <alignment horizontal="center"/>
    </xf>
    <xf numFmtId="0" fontId="23" fillId="187" borderId="40" xfId="0" applyFont="1" applyFill="1" applyBorder="1" applyAlignment="1">
      <alignment horizontal="center"/>
    </xf>
    <xf numFmtId="0" fontId="23" fillId="187" borderId="19" xfId="0" applyFont="1" applyFill="1" applyBorder="1" applyAlignment="1">
      <alignment horizontal="center" wrapText="1"/>
    </xf>
    <xf numFmtId="0" fontId="23" fillId="187" borderId="41" xfId="0" applyFont="1" applyFill="1" applyBorder="1" applyAlignment="1">
      <alignment horizontal="center"/>
    </xf>
    <xf numFmtId="0" fontId="23" fillId="187" borderId="16" xfId="0" applyFont="1" applyFill="1" applyBorder="1" applyAlignment="1">
      <alignment horizontal="center"/>
    </xf>
    <xf numFmtId="0" fontId="23" fillId="187" borderId="42" xfId="0" applyFont="1" applyFill="1" applyBorder="1" applyAlignment="1">
      <alignment horizontal="center"/>
    </xf>
    <xf numFmtId="16" fontId="0" fillId="0" borderId="0" xfId="0" applyNumberFormat="1"/>
    <xf numFmtId="0" fontId="0" fillId="189" borderId="12" xfId="0" applyFill="1" applyBorder="1" applyAlignment="1">
      <alignment horizontal="center"/>
    </xf>
    <xf numFmtId="0" fontId="0" fillId="189" borderId="0" xfId="0" applyFill="1" applyAlignment="1">
      <alignment horizontal="center"/>
    </xf>
    <xf numFmtId="0" fontId="0" fillId="190" borderId="0" xfId="0" applyFill="1" applyAlignment="1">
      <alignment horizontal="center" wrapText="1"/>
    </xf>
    <xf numFmtId="0" fontId="0" fillId="190" borderId="12" xfId="0" applyFill="1" applyBorder="1"/>
    <xf numFmtId="0" fontId="0" fillId="190" borderId="0" xfId="0" applyFill="1"/>
    <xf numFmtId="0" fontId="0" fillId="192" borderId="0" xfId="0" applyFill="1" applyAlignment="1">
      <alignment horizontal="center"/>
    </xf>
    <xf numFmtId="0" fontId="0" fillId="192" borderId="12" xfId="0" applyFill="1" applyBorder="1" applyAlignment="1">
      <alignment horizontal="center"/>
    </xf>
    <xf numFmtId="1" fontId="0" fillId="0" borderId="0" xfId="0" applyNumberFormat="1"/>
    <xf numFmtId="0" fontId="0" fillId="192" borderId="0" xfId="0" applyFill="1" applyAlignment="1">
      <alignment horizontal="center" wrapText="1"/>
    </xf>
    <xf numFmtId="0" fontId="0" fillId="192" borderId="12" xfId="0" applyFill="1" applyBorder="1" applyAlignment="1">
      <alignment horizontal="center" wrapText="1"/>
    </xf>
    <xf numFmtId="0" fontId="0" fillId="193" borderId="0" xfId="0" applyFill="1" applyAlignment="1">
      <alignment horizontal="center"/>
    </xf>
    <xf numFmtId="0" fontId="0" fillId="193" borderId="12" xfId="0" applyFill="1" applyBorder="1" applyAlignment="1">
      <alignment horizontal="center"/>
    </xf>
    <xf numFmtId="0" fontId="0" fillId="193" borderId="0" xfId="0" applyFill="1" applyAlignment="1">
      <alignment horizontal="center" wrapText="1"/>
    </xf>
    <xf numFmtId="0" fontId="0" fillId="194" borderId="0" xfId="0" applyFill="1" applyAlignment="1">
      <alignment horizontal="center"/>
    </xf>
    <xf numFmtId="0" fontId="0" fillId="194" borderId="12" xfId="0" applyFill="1" applyBorder="1" applyAlignment="1">
      <alignment horizontal="center"/>
    </xf>
    <xf numFmtId="0" fontId="0" fillId="196" borderId="0" xfId="0" applyFill="1" applyAlignment="1">
      <alignment horizontal="center"/>
    </xf>
    <xf numFmtId="0" fontId="0" fillId="196" borderId="12" xfId="0" applyFill="1" applyBorder="1" applyAlignment="1">
      <alignment horizontal="center"/>
    </xf>
    <xf numFmtId="0" fontId="0" fillId="196" borderId="0" xfId="0" applyFill="1"/>
    <xf numFmtId="0" fontId="0" fillId="196" borderId="12" xfId="0" applyFill="1" applyBorder="1"/>
    <xf numFmtId="0" fontId="0" fillId="182" borderId="0" xfId="0" applyFill="1"/>
    <xf numFmtId="0" fontId="0" fillId="182" borderId="12" xfId="0" applyFill="1" applyBorder="1"/>
    <xf numFmtId="0" fontId="0" fillId="0" borderId="0" xfId="0" applyAlignment="1">
      <alignment vertical="center"/>
    </xf>
    <xf numFmtId="0" fontId="139" fillId="27" borderId="0" xfId="0" applyFont="1" applyFill="1"/>
    <xf numFmtId="0" fontId="3" fillId="0" borderId="0" xfId="0" applyFont="1"/>
    <xf numFmtId="0" fontId="140" fillId="0" borderId="0" xfId="0" applyFont="1"/>
    <xf numFmtId="0" fontId="4" fillId="0" borderId="0" xfId="0" applyFont="1"/>
    <xf numFmtId="0" fontId="93" fillId="0" borderId="0" xfId="0" applyFont="1"/>
    <xf numFmtId="0" fontId="141" fillId="0" borderId="0" xfId="0" applyFont="1"/>
    <xf numFmtId="0" fontId="94" fillId="0" borderId="0" xfId="0" applyFont="1"/>
    <xf numFmtId="0" fontId="95" fillId="0" borderId="0" xfId="0" applyFont="1"/>
    <xf numFmtId="0" fontId="4" fillId="0" borderId="0" xfId="0" applyFont="1" applyAlignment="1">
      <alignment wrapText="1"/>
    </xf>
    <xf numFmtId="0" fontId="96" fillId="0" borderId="0" xfId="0" applyFont="1"/>
    <xf numFmtId="0" fontId="97" fillId="0" borderId="0" xfId="0" applyFont="1"/>
    <xf numFmtId="0" fontId="98" fillId="0" borderId="0" xfId="0" applyFont="1"/>
    <xf numFmtId="0" fontId="99" fillId="0" borderId="0" xfId="0" applyFont="1"/>
    <xf numFmtId="0" fontId="142" fillId="0" borderId="0" xfId="0" applyFont="1"/>
    <xf numFmtId="0" fontId="101" fillId="0" borderId="0" xfId="0" applyFont="1"/>
    <xf numFmtId="0" fontId="4" fillId="198" borderId="0" xfId="0" applyFont="1" applyFill="1"/>
    <xf numFmtId="0" fontId="105" fillId="0" borderId="0" xfId="0" applyFont="1"/>
    <xf numFmtId="49" fontId="143" fillId="0" borderId="0" xfId="0" applyNumberFormat="1" applyFont="1"/>
    <xf numFmtId="49" fontId="144" fillId="0" borderId="0" xfId="0" applyNumberFormat="1" applyFont="1" applyAlignment="1">
      <alignment horizontal="left"/>
    </xf>
    <xf numFmtId="49" fontId="145" fillId="0" borderId="0" xfId="0" applyNumberFormat="1" applyFont="1"/>
    <xf numFmtId="0" fontId="144" fillId="0" borderId="0" xfId="0" applyFont="1" applyAlignment="1">
      <alignment horizontal="center"/>
    </xf>
    <xf numFmtId="0" fontId="146" fillId="0" borderId="0" xfId="0" applyFont="1" applyAlignment="1">
      <alignment horizontal="center"/>
    </xf>
    <xf numFmtId="0" fontId="147" fillId="0" borderId="0" xfId="0" applyFont="1"/>
    <xf numFmtId="0" fontId="148" fillId="27" borderId="0" xfId="0" applyFont="1" applyFill="1"/>
    <xf numFmtId="0" fontId="149" fillId="0" borderId="43" xfId="0" applyFont="1" applyBorder="1" applyAlignment="1">
      <alignment wrapText="1"/>
    </xf>
    <xf numFmtId="0" fontId="147" fillId="0" borderId="0" xfId="0" applyFont="1" applyAlignment="1">
      <alignment horizontal="center"/>
    </xf>
    <xf numFmtId="0" fontId="150" fillId="0" borderId="0" xfId="0" applyFont="1"/>
    <xf numFmtId="0" fontId="151" fillId="0" borderId="0" xfId="0" applyFont="1"/>
    <xf numFmtId="0" fontId="152" fillId="0" borderId="0" xfId="0" applyFont="1"/>
    <xf numFmtId="0" fontId="153" fillId="0" borderId="0" xfId="0" applyFont="1"/>
    <xf numFmtId="0" fontId="154" fillId="0" borderId="0" xfId="0" applyFont="1"/>
    <xf numFmtId="0" fontId="155" fillId="0" borderId="0" xfId="0" applyFont="1"/>
    <xf numFmtId="0" fontId="156" fillId="0" borderId="0" xfId="0" applyFont="1"/>
    <xf numFmtId="0" fontId="157" fillId="0" borderId="0" xfId="0" applyFont="1"/>
    <xf numFmtId="0" fontId="158" fillId="0" borderId="0" xfId="0" applyFont="1"/>
    <xf numFmtId="0" fontId="152" fillId="0" borderId="0" xfId="0" applyFont="1" applyAlignment="1">
      <alignment wrapText="1"/>
    </xf>
    <xf numFmtId="0" fontId="159" fillId="0" borderId="0" xfId="0" applyFont="1"/>
    <xf numFmtId="0" fontId="160" fillId="0" borderId="0" xfId="0" applyFont="1"/>
    <xf numFmtId="0" fontId="161" fillId="0" borderId="0" xfId="0" applyFont="1" applyAlignment="1">
      <alignment readingOrder="1"/>
    </xf>
    <xf numFmtId="0" fontId="162" fillId="0" borderId="0" xfId="0" applyFont="1" applyAlignment="1">
      <alignment readingOrder="1"/>
    </xf>
    <xf numFmtId="0" fontId="3" fillId="0" borderId="12" xfId="0" applyFont="1" applyBorder="1" applyAlignment="1">
      <alignment horizontal="center" wrapText="1"/>
    </xf>
    <xf numFmtId="0" fontId="2" fillId="0" borderId="0" xfId="0" applyFont="1" applyAlignment="1">
      <alignment horizontal="left"/>
    </xf>
    <xf numFmtId="0" fontId="163" fillId="0" borderId="0" xfId="0" applyFont="1" applyAlignment="1">
      <alignment horizontal="center"/>
    </xf>
    <xf numFmtId="0" fontId="164" fillId="0" borderId="0" xfId="0" applyFont="1"/>
    <xf numFmtId="0" fontId="165" fillId="0" borderId="0" xfId="0" applyFont="1" applyAlignment="1">
      <alignment wrapText="1"/>
    </xf>
    <xf numFmtId="0" fontId="152" fillId="0" borderId="0" xfId="0" applyFont="1" applyAlignment="1">
      <alignment horizontal="left" vertical="center"/>
    </xf>
    <xf numFmtId="0" fontId="166" fillId="0" borderId="0" xfId="0" applyFont="1"/>
    <xf numFmtId="0" fontId="167" fillId="0" borderId="0" xfId="0" applyFont="1" applyAlignment="1">
      <alignment horizontal="center"/>
    </xf>
    <xf numFmtId="0" fontId="168" fillId="0" borderId="0" xfId="0" applyFont="1"/>
    <xf numFmtId="0" fontId="169" fillId="0" borderId="0" xfId="0" applyFont="1"/>
    <xf numFmtId="0" fontId="165" fillId="0" borderId="0" xfId="0" applyFont="1" applyAlignment="1">
      <alignment readingOrder="1"/>
    </xf>
    <xf numFmtId="0" fontId="149" fillId="0" borderId="43" xfId="0" applyFont="1" applyBorder="1" applyAlignment="1">
      <alignment horizontal="center" wrapText="1"/>
    </xf>
    <xf numFmtId="0" fontId="170" fillId="0" borderId="0" xfId="0" applyFont="1"/>
    <xf numFmtId="0" fontId="171" fillId="0" borderId="0" xfId="0" applyFont="1"/>
    <xf numFmtId="0" fontId="172" fillId="199" borderId="4" xfId="2" applyBorder="1" applyAlignment="1">
      <alignment horizontal="center" vertical="top"/>
    </xf>
    <xf numFmtId="0" fontId="172" fillId="199" borderId="0" xfId="2"/>
    <xf numFmtId="0" fontId="145" fillId="0" borderId="0" xfId="0" applyFont="1"/>
    <xf numFmtId="0" fontId="0" fillId="0" borderId="0" xfId="0" applyFont="1"/>
    <xf numFmtId="9" fontId="172" fillId="199" borderId="4" xfId="2" applyNumberFormat="1" applyBorder="1" applyAlignment="1">
      <alignment horizontal="center" vertical="top"/>
    </xf>
    <xf numFmtId="9" fontId="0" fillId="0" borderId="0" xfId="0" applyNumberFormat="1"/>
    <xf numFmtId="0" fontId="173" fillId="0" borderId="0" xfId="0" applyFont="1"/>
    <xf numFmtId="49" fontId="144" fillId="0" borderId="0" xfId="0" applyNumberFormat="1" applyFont="1" applyAlignment="1">
      <alignment horizontal="left" wrapText="1"/>
    </xf>
    <xf numFmtId="0" fontId="2" fillId="0" borderId="0" xfId="0" applyFont="1" applyAlignment="1">
      <alignment horizontal="left"/>
    </xf>
    <xf numFmtId="0" fontId="175" fillId="0" borderId="0" xfId="0" applyFont="1"/>
    <xf numFmtId="0" fontId="2" fillId="0" borderId="0" xfId="0" applyFont="1" applyAlignment="1">
      <alignment horizontal="left"/>
    </xf>
    <xf numFmtId="0" fontId="25" fillId="19" borderId="12" xfId="0" applyFont="1" applyFill="1" applyBorder="1" applyAlignment="1">
      <alignment horizontal="center"/>
    </xf>
    <xf numFmtId="0" fontId="25" fillId="19" borderId="0" xfId="0" applyFont="1" applyFill="1" applyAlignment="1">
      <alignment horizontal="center"/>
    </xf>
    <xf numFmtId="0" fontId="25" fillId="20" borderId="14" xfId="0" applyFont="1" applyFill="1" applyBorder="1" applyAlignment="1">
      <alignment horizontal="center"/>
    </xf>
    <xf numFmtId="0" fontId="25" fillId="20" borderId="17" xfId="0" applyFont="1" applyFill="1" applyBorder="1" applyAlignment="1">
      <alignment horizontal="center"/>
    </xf>
    <xf numFmtId="0" fontId="23" fillId="21" borderId="0" xfId="0" applyFont="1" applyFill="1" applyAlignment="1">
      <alignment horizontal="center"/>
    </xf>
    <xf numFmtId="0" fontId="23" fillId="23" borderId="0" xfId="0" applyFont="1" applyFill="1" applyAlignment="1">
      <alignment horizontal="center"/>
    </xf>
    <xf numFmtId="0" fontId="23" fillId="24"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6" borderId="12" xfId="0" applyFont="1" applyFill="1" applyBorder="1" applyAlignment="1">
      <alignment horizontal="center"/>
    </xf>
    <xf numFmtId="0" fontId="25" fillId="16" borderId="0" xfId="0" applyFont="1" applyFill="1" applyAlignment="1">
      <alignment horizontal="center"/>
    </xf>
    <xf numFmtId="0" fontId="25" fillId="17" borderId="12" xfId="0" applyFont="1" applyFill="1" applyBorder="1" applyAlignment="1">
      <alignment horizontal="center"/>
    </xf>
    <xf numFmtId="0" fontId="25" fillId="17" borderId="0" xfId="0" applyFont="1" applyFill="1" applyAlignment="1">
      <alignment horizontal="center"/>
    </xf>
    <xf numFmtId="0" fontId="25" fillId="15" borderId="12" xfId="0" applyFont="1" applyFill="1" applyBorder="1" applyAlignment="1">
      <alignment horizontal="center"/>
    </xf>
    <xf numFmtId="0" fontId="25" fillId="15" borderId="0" xfId="0" applyFont="1" applyFill="1" applyAlignment="1">
      <alignment horizontal="center"/>
    </xf>
    <xf numFmtId="0" fontId="23" fillId="13" borderId="0" xfId="0" applyFont="1" applyFill="1" applyAlignment="1">
      <alignment horizontal="center" wrapText="1"/>
    </xf>
    <xf numFmtId="0" fontId="23" fillId="0" borderId="0" xfId="0" applyFont="1" applyAlignment="1">
      <alignment horizontal="center" wrapText="1"/>
    </xf>
    <xf numFmtId="0" fontId="25" fillId="14" borderId="10" xfId="0" applyFont="1" applyFill="1" applyBorder="1" applyAlignment="1">
      <alignment horizontal="center"/>
    </xf>
    <xf numFmtId="0" fontId="25" fillId="14" borderId="16" xfId="0" applyFont="1" applyFill="1" applyBorder="1" applyAlignment="1">
      <alignment horizontal="center"/>
    </xf>
    <xf numFmtId="0" fontId="30" fillId="110" borderId="13" xfId="0" quotePrefix="1" applyFont="1" applyFill="1" applyBorder="1" applyAlignment="1">
      <alignment horizontal="center" vertical="center"/>
    </xf>
    <xf numFmtId="0" fontId="30" fillId="110" borderId="13" xfId="0" quotePrefix="1" applyFont="1" applyFill="1" applyBorder="1" applyAlignment="1">
      <alignment horizontal="left" vertical="top" wrapText="1"/>
    </xf>
    <xf numFmtId="0" fontId="9" fillId="0" borderId="0" xfId="0" applyFont="1" applyAlignment="1">
      <alignment horizontal="left"/>
    </xf>
    <xf numFmtId="0" fontId="9" fillId="0" borderId="0" xfId="0" applyFont="1" applyAlignment="1">
      <alignment horizontal="left" wrapText="1"/>
    </xf>
    <xf numFmtId="0" fontId="30" fillId="110" borderId="11" xfId="0" quotePrefix="1" applyFont="1" applyFill="1" applyBorder="1" applyAlignment="1">
      <alignment horizontal="center" vertical="center"/>
    </xf>
    <xf numFmtId="0" fontId="30" fillId="110" borderId="11" xfId="0" quotePrefix="1" applyFont="1" applyFill="1" applyBorder="1" applyAlignment="1">
      <alignment horizontal="left" vertical="top" wrapText="1"/>
    </xf>
    <xf numFmtId="0" fontId="37" fillId="110" borderId="20" xfId="0" applyFont="1" applyFill="1" applyBorder="1" applyAlignment="1">
      <alignment horizontal="center" vertical="center"/>
    </xf>
    <xf numFmtId="0" fontId="37" fillId="110" borderId="20" xfId="0" applyFont="1" applyFill="1" applyBorder="1" applyAlignment="1">
      <alignment horizontal="left" vertical="top" wrapText="1"/>
    </xf>
    <xf numFmtId="0" fontId="30" fillId="110" borderId="10" xfId="0" quotePrefix="1" applyFont="1" applyFill="1" applyBorder="1" applyAlignment="1">
      <alignment horizontal="center" vertical="center"/>
    </xf>
    <xf numFmtId="0" fontId="30" fillId="110" borderId="10" xfId="0" quotePrefix="1" applyFont="1" applyFill="1" applyBorder="1" applyAlignment="1">
      <alignment horizontal="left" vertical="top" wrapText="1"/>
    </xf>
    <xf numFmtId="0" fontId="30" fillId="106" borderId="11" xfId="0" quotePrefix="1" applyFont="1" applyFill="1" applyBorder="1" applyAlignment="1">
      <alignment horizontal="center" vertical="center"/>
    </xf>
    <xf numFmtId="0" fontId="30" fillId="106" borderId="11" xfId="0" quotePrefix="1" applyFont="1" applyFill="1" applyBorder="1" applyAlignment="1">
      <alignment horizontal="left" vertical="top" wrapText="1"/>
    </xf>
    <xf numFmtId="0" fontId="28" fillId="27" borderId="16" xfId="0" applyFont="1" applyFill="1" applyBorder="1" applyAlignment="1">
      <alignment horizontal="center" vertical="center"/>
    </xf>
    <xf numFmtId="0" fontId="30" fillId="102" borderId="11" xfId="0" quotePrefix="1" applyFont="1" applyFill="1" applyBorder="1" applyAlignment="1">
      <alignment horizontal="center" vertical="center"/>
    </xf>
    <xf numFmtId="0" fontId="30" fillId="102" borderId="11" xfId="0" quotePrefix="1" applyFont="1" applyFill="1" applyBorder="1" applyAlignment="1">
      <alignment horizontal="left" vertical="top" wrapText="1"/>
    </xf>
    <xf numFmtId="0" fontId="37" fillId="106" borderId="20" xfId="0" applyFont="1" applyFill="1" applyBorder="1" applyAlignment="1">
      <alignment horizontal="center" vertical="center"/>
    </xf>
    <xf numFmtId="0" fontId="37" fillId="106" borderId="20" xfId="0" applyFont="1" applyFill="1" applyBorder="1" applyAlignment="1">
      <alignment horizontal="left" vertical="top" wrapText="1"/>
    </xf>
    <xf numFmtId="0" fontId="30" fillId="102" borderId="0" xfId="0" quotePrefix="1" applyFont="1" applyFill="1" applyAlignment="1">
      <alignment horizontal="left" vertical="center"/>
    </xf>
    <xf numFmtId="0" fontId="30" fillId="102" borderId="0" xfId="0" quotePrefix="1" applyFont="1" applyFill="1" applyAlignment="1">
      <alignment horizontal="left" vertical="top" wrapText="1"/>
    </xf>
    <xf numFmtId="0" fontId="37" fillId="102" borderId="0" xfId="0" applyFont="1" applyFill="1" applyAlignment="1">
      <alignment horizontal="center" vertical="center"/>
    </xf>
    <xf numFmtId="0" fontId="37" fillId="102" borderId="0" xfId="0" applyFont="1" applyFill="1" applyAlignment="1">
      <alignment horizontal="left" vertical="top" wrapText="1"/>
    </xf>
    <xf numFmtId="0" fontId="30" fillId="36" borderId="11" xfId="0" quotePrefix="1" applyFont="1" applyFill="1" applyBorder="1" applyAlignment="1">
      <alignment horizontal="center" vertical="center"/>
    </xf>
    <xf numFmtId="0" fontId="30" fillId="36" borderId="11" xfId="0" quotePrefix="1" applyFont="1" applyFill="1" applyBorder="1" applyAlignment="1">
      <alignment horizontal="left" vertical="top" wrapText="1"/>
    </xf>
    <xf numFmtId="0" fontId="37" fillId="36" borderId="20" xfId="0" applyFont="1" applyFill="1" applyBorder="1" applyAlignment="1">
      <alignment horizontal="center" vertical="center"/>
    </xf>
    <xf numFmtId="0" fontId="37" fillId="36" borderId="20" xfId="0" applyFont="1" applyFill="1" applyBorder="1" applyAlignment="1">
      <alignment horizontal="left" vertical="top" wrapText="1"/>
    </xf>
    <xf numFmtId="0" fontId="30" fillId="34" borderId="11" xfId="0" quotePrefix="1" applyFont="1" applyFill="1" applyBorder="1" applyAlignment="1">
      <alignment horizontal="center" vertical="center"/>
    </xf>
    <xf numFmtId="0" fontId="30" fillId="34" borderId="11" xfId="0" quotePrefix="1" applyFont="1" applyFill="1" applyBorder="1" applyAlignment="1">
      <alignment horizontal="left" vertical="top" wrapText="1"/>
    </xf>
    <xf numFmtId="0" fontId="37" fillId="34" borderId="20" xfId="0" applyFont="1" applyFill="1" applyBorder="1" applyAlignment="1">
      <alignment horizontal="center" vertical="center"/>
    </xf>
    <xf numFmtId="0" fontId="37" fillId="34" borderId="20" xfId="0" applyFont="1" applyFill="1" applyBorder="1" applyAlignment="1">
      <alignment horizontal="left" vertical="top" wrapText="1"/>
    </xf>
    <xf numFmtId="0" fontId="37" fillId="89" borderId="12" xfId="0" applyFont="1" applyFill="1" applyBorder="1" applyAlignment="1">
      <alignment horizontal="center" vertical="center"/>
    </xf>
    <xf numFmtId="0" fontId="37" fillId="89" borderId="12" xfId="0" applyFont="1" applyFill="1" applyBorder="1" applyAlignment="1">
      <alignment horizontal="left" vertical="top" wrapText="1"/>
    </xf>
    <xf numFmtId="0" fontId="30" fillId="89" borderId="11" xfId="0" quotePrefix="1" applyFont="1" applyFill="1" applyBorder="1" applyAlignment="1">
      <alignment horizontal="center" vertical="center"/>
    </xf>
    <xf numFmtId="0" fontId="30" fillId="89" borderId="11" xfId="0" quotePrefix="1" applyFont="1" applyFill="1" applyBorder="1" applyAlignment="1">
      <alignment horizontal="left" vertical="top" wrapText="1"/>
    </xf>
    <xf numFmtId="0" fontId="30" fillId="89" borderId="12" xfId="0" quotePrefix="1" applyFont="1" applyFill="1" applyBorder="1" applyAlignment="1">
      <alignment horizontal="left" vertical="center"/>
    </xf>
    <xf numFmtId="0" fontId="30" fillId="89" borderId="12" xfId="0" quotePrefix="1" applyFont="1" applyFill="1" applyBorder="1" applyAlignment="1">
      <alignment horizontal="left" vertical="top" wrapText="1"/>
    </xf>
    <xf numFmtId="0" fontId="30" fillId="38" borderId="12" xfId="0" quotePrefix="1" applyFont="1" applyFill="1" applyBorder="1" applyAlignment="1">
      <alignment horizontal="center" vertical="center"/>
    </xf>
    <xf numFmtId="0" fontId="30" fillId="38" borderId="12" xfId="0" quotePrefix="1" applyFont="1" applyFill="1" applyBorder="1" applyAlignment="1">
      <alignment horizontal="left" vertical="top" wrapText="1"/>
    </xf>
    <xf numFmtId="0" fontId="30" fillId="38" borderId="11" xfId="0" quotePrefix="1" applyFont="1" applyFill="1" applyBorder="1" applyAlignment="1">
      <alignment horizontal="center" vertical="center"/>
    </xf>
    <xf numFmtId="0" fontId="30" fillId="38" borderId="11" xfId="0" quotePrefix="1" applyFont="1" applyFill="1" applyBorder="1" applyAlignment="1">
      <alignment horizontal="left" vertical="top" wrapText="1"/>
    </xf>
    <xf numFmtId="0" fontId="30" fillId="89" borderId="0" xfId="0" quotePrefix="1" applyFont="1" applyFill="1" applyAlignment="1">
      <alignment horizontal="left" vertical="center"/>
    </xf>
    <xf numFmtId="0" fontId="30" fillId="89" borderId="0" xfId="0" quotePrefix="1" applyFont="1" applyFill="1" applyAlignment="1">
      <alignment horizontal="left" vertical="top" wrapText="1"/>
    </xf>
    <xf numFmtId="0" fontId="37" fillId="38" borderId="0" xfId="0" applyFont="1" applyFill="1" applyAlignment="1">
      <alignment horizontal="center" vertical="center"/>
    </xf>
    <xf numFmtId="0" fontId="37" fillId="38" borderId="0" xfId="0" applyFont="1" applyFill="1" applyAlignment="1">
      <alignment horizontal="left" vertical="top" wrapText="1"/>
    </xf>
    <xf numFmtId="0" fontId="30" fillId="38" borderId="13" xfId="0" quotePrefix="1" applyFont="1" applyFill="1" applyBorder="1" applyAlignment="1">
      <alignment horizontal="center" vertical="center"/>
    </xf>
    <xf numFmtId="0" fontId="30" fillId="38" borderId="13" xfId="0" quotePrefix="1" applyFont="1" applyFill="1" applyBorder="1" applyAlignment="1">
      <alignment horizontal="left" vertical="top" wrapText="1"/>
    </xf>
    <xf numFmtId="0" fontId="28" fillId="27" borderId="0" xfId="0" applyFont="1" applyFill="1" applyAlignment="1">
      <alignment horizontal="center" vertical="center"/>
    </xf>
    <xf numFmtId="0" fontId="30" fillId="38" borderId="10" xfId="0" applyFont="1" applyFill="1" applyBorder="1" applyAlignment="1">
      <alignment horizontal="center" vertical="center"/>
    </xf>
    <xf numFmtId="0" fontId="30" fillId="38" borderId="10" xfId="0" applyFont="1" applyFill="1" applyBorder="1" applyAlignment="1">
      <alignment horizontal="left" vertical="top" wrapText="1"/>
    </xf>
    <xf numFmtId="0" fontId="41" fillId="112" borderId="0" xfId="0" applyFont="1" applyFill="1" applyAlignment="1">
      <alignment horizontal="center" vertical="center"/>
    </xf>
    <xf numFmtId="0" fontId="78" fillId="134" borderId="0" xfId="0" applyFont="1" applyFill="1" applyAlignment="1">
      <alignment horizontal="center" vertical="center"/>
    </xf>
    <xf numFmtId="0" fontId="83" fillId="135" borderId="0" xfId="0" applyFont="1" applyFill="1" applyAlignment="1">
      <alignment horizontal="center" vertical="center"/>
    </xf>
    <xf numFmtId="0" fontId="84" fillId="136" borderId="0" xfId="0" applyFont="1" applyFill="1" applyAlignment="1">
      <alignment horizontal="center" vertical="center"/>
    </xf>
    <xf numFmtId="0" fontId="84" fillId="119" borderId="0" xfId="0" applyFont="1" applyFill="1" applyAlignment="1">
      <alignment horizontal="center" vertical="center"/>
    </xf>
    <xf numFmtId="0" fontId="163" fillId="0" borderId="0" xfId="0" applyFont="1" applyAlignment="1">
      <alignment horizontal="center"/>
    </xf>
    <xf numFmtId="0" fontId="0" fillId="0" borderId="0" xfId="0" applyAlignment="1">
      <alignment horizontal="left"/>
    </xf>
    <xf numFmtId="0" fontId="3" fillId="149" borderId="0" xfId="0" applyFont="1" applyFill="1" applyAlignment="1">
      <alignment horizontal="left" wrapText="1"/>
    </xf>
    <xf numFmtId="0" fontId="3" fillId="23" borderId="0" xfId="0" applyFont="1" applyFill="1" applyAlignment="1">
      <alignment horizontal="left" wrapText="1"/>
    </xf>
    <xf numFmtId="0" fontId="3" fillId="151" borderId="0" xfId="0" applyFont="1" applyFill="1" applyAlignment="1">
      <alignment horizontal="left" wrapText="1"/>
    </xf>
    <xf numFmtId="0" fontId="3" fillId="152" borderId="0" xfId="0" applyFont="1" applyFill="1" applyAlignment="1">
      <alignment horizontal="left" wrapText="1"/>
    </xf>
    <xf numFmtId="0" fontId="3" fillId="0" borderId="0" xfId="0" applyFont="1" applyAlignment="1">
      <alignment horizontal="left"/>
    </xf>
    <xf numFmtId="0" fontId="7" fillId="158" borderId="0" xfId="0" applyFont="1" applyFill="1" applyAlignment="1">
      <alignment horizontal="left"/>
    </xf>
    <xf numFmtId="0" fontId="3" fillId="24" borderId="0" xfId="0" applyFont="1" applyFill="1" applyAlignment="1">
      <alignment horizontal="left" wrapText="1"/>
    </xf>
    <xf numFmtId="0" fontId="7" fillId="157" borderId="0" xfId="0" applyFont="1" applyFill="1" applyAlignment="1">
      <alignment horizontal="left"/>
    </xf>
    <xf numFmtId="0" fontId="2" fillId="0" borderId="0" xfId="0" applyFont="1" applyAlignment="1">
      <alignment horizontal="left"/>
    </xf>
    <xf numFmtId="0" fontId="7" fillId="37" borderId="0" xfId="0" applyFont="1" applyFill="1" applyAlignment="1">
      <alignment horizontal="left"/>
    </xf>
    <xf numFmtId="0" fontId="63" fillId="0" borderId="0" xfId="0" applyFont="1" applyAlignment="1">
      <alignment horizontal="left"/>
    </xf>
    <xf numFmtId="0" fontId="7" fillId="156" borderId="0" xfId="0" applyFont="1" applyFill="1" applyAlignment="1">
      <alignment horizontal="left"/>
    </xf>
    <xf numFmtId="0" fontId="7" fillId="155" borderId="35" xfId="0" applyFont="1" applyFill="1" applyBorder="1" applyAlignment="1">
      <alignment horizontal="left"/>
    </xf>
    <xf numFmtId="0" fontId="7" fillId="155" borderId="0" xfId="0" applyFont="1" applyFill="1" applyAlignment="1">
      <alignment horizontal="left"/>
    </xf>
    <xf numFmtId="0" fontId="3" fillId="154" borderId="0" xfId="0" applyFont="1" applyFill="1" applyAlignment="1">
      <alignment horizontal="left"/>
    </xf>
    <xf numFmtId="0" fontId="174" fillId="152" borderId="0" xfId="0" applyFont="1" applyFill="1" applyAlignment="1">
      <alignment horizontal="left" wrapText="1"/>
    </xf>
    <xf numFmtId="0" fontId="7" fillId="153" borderId="0" xfId="0" applyFont="1" applyFill="1" applyAlignment="1">
      <alignment horizontal="left"/>
    </xf>
    <xf numFmtId="0" fontId="114" fillId="3" borderId="0" xfId="0" applyFont="1" applyFill="1" applyAlignment="1">
      <alignment horizontal="left"/>
    </xf>
    <xf numFmtId="0" fontId="125" fillId="178" borderId="0" xfId="0" applyFont="1" applyFill="1" applyAlignment="1">
      <alignment horizontal="center" vertical="center"/>
    </xf>
    <xf numFmtId="0" fontId="133" fillId="179" borderId="0" xfId="0" applyFont="1" applyFill="1" applyAlignment="1">
      <alignment horizontal="center" vertical="center"/>
    </xf>
    <xf numFmtId="0" fontId="134" fillId="183" borderId="0" xfId="0" applyFont="1" applyFill="1" applyAlignment="1">
      <alignment horizontal="center" vertical="center"/>
    </xf>
    <xf numFmtId="0" fontId="0" fillId="197" borderId="0" xfId="0" applyFill="1" applyAlignment="1">
      <alignment horizontal="center" vertical="center" wrapText="1"/>
    </xf>
    <xf numFmtId="0" fontId="0" fillId="195" borderId="0" xfId="0" applyFill="1" applyAlignment="1">
      <alignment horizontal="center" vertical="center" wrapText="1"/>
    </xf>
    <xf numFmtId="0" fontId="0" fillId="131" borderId="0" xfId="0" applyFill="1" applyAlignment="1">
      <alignment horizontal="center" vertical="center" wrapText="1"/>
    </xf>
    <xf numFmtId="0" fontId="0" fillId="123" borderId="0" xfId="0" applyFill="1" applyAlignment="1">
      <alignment horizontal="center" vertical="center" wrapText="1"/>
    </xf>
    <xf numFmtId="0" fontId="0" fillId="191" borderId="0" xfId="0" applyFill="1" applyAlignment="1">
      <alignment horizontal="center" vertical="center" wrapText="1"/>
    </xf>
    <xf numFmtId="0" fontId="0" fillId="12" borderId="0" xfId="0" applyFill="1" applyAlignment="1">
      <alignment horizontal="center" wrapText="1"/>
    </xf>
    <xf numFmtId="0" fontId="0" fillId="190" borderId="0" xfId="0" applyFill="1" applyAlignment="1">
      <alignment horizontal="center" wrapText="1"/>
    </xf>
    <xf numFmtId="0" fontId="0" fillId="188" borderId="12" xfId="0" applyFill="1" applyBorder="1" applyAlignment="1">
      <alignment horizontal="center" wrapText="1"/>
    </xf>
    <xf numFmtId="0" fontId="0" fillId="188" borderId="0" xfId="0" applyFill="1" applyAlignment="1">
      <alignment horizontal="center" wrapText="1"/>
    </xf>
  </cellXfs>
  <cellStyles count="3">
    <cellStyle name="60% - Accent1" xfId="2" builtinId="32"/>
    <cellStyle name="Check Cell" xfId="1" builtinId="23"/>
    <cellStyle name="Normal" xfId="0" builtinId="0"/>
  </cellStyles>
  <dxfs count="5">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style="medium">
          <color auto="1"/>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style="medium">
          <color auto="1"/>
        </left>
        <right/>
        <top style="thin">
          <color auto="1"/>
        </top>
        <bottom style="thin">
          <color auto="1"/>
        </bottom>
        <vertical/>
        <horizontal/>
      </border>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65"/>
  <sheetViews>
    <sheetView topLeftCell="A212" workbookViewId="0">
      <pane xSplit="1" topLeftCell="B1" activePane="topRight" state="frozen"/>
      <selection activeCell="A129" sqref="A129"/>
      <selection pane="topRight" activeCell="B183" sqref="B183"/>
    </sheetView>
  </sheetViews>
  <sheetFormatPr defaultColWidth="9" defaultRowHeight="15"/>
  <cols>
    <col min="1" max="1" width="24.35546875" style="1" customWidth="1"/>
    <col min="2" max="2" width="222.7109375" style="1" customWidth="1"/>
    <col min="3" max="3" width="9" style="1"/>
    <col min="4" max="4" width="36" style="1" bestFit="1" customWidth="1"/>
    <col min="5" max="6" width="9" style="1"/>
    <col min="7" max="7" width="12.2109375" style="1" customWidth="1"/>
    <col min="8" max="9" width="9" style="1"/>
    <col min="10" max="10" width="22.5" style="1" customWidth="1"/>
    <col min="11" max="11" width="11.35546875" style="1" customWidth="1"/>
    <col min="12" max="16384" width="9" style="1"/>
  </cols>
  <sheetData>
    <row r="1" spans="1:11" ht="15.45">
      <c r="A1" s="2" t="s">
        <v>0</v>
      </c>
      <c r="B1" s="2" t="s">
        <v>1</v>
      </c>
      <c r="C1" s="3"/>
      <c r="D1" s="3"/>
      <c r="E1" s="3"/>
      <c r="F1" s="3"/>
      <c r="G1" s="3"/>
      <c r="H1" s="3"/>
      <c r="I1" s="3"/>
      <c r="J1" s="3"/>
      <c r="K1" s="3"/>
    </row>
    <row r="2" spans="1:11">
      <c r="A2" s="3"/>
      <c r="B2" s="3"/>
      <c r="C2" s="3"/>
      <c r="D2" s="3"/>
      <c r="E2" s="3"/>
      <c r="F2" s="3"/>
      <c r="G2" s="3"/>
      <c r="H2" s="3"/>
      <c r="I2" s="3"/>
      <c r="J2" s="3"/>
      <c r="K2" s="3"/>
    </row>
    <row r="3" spans="1:11" ht="15.45">
      <c r="A3" s="2" t="s">
        <v>2</v>
      </c>
      <c r="B3" s="4" t="s">
        <v>5963</v>
      </c>
      <c r="C3" s="3"/>
      <c r="D3" s="3"/>
      <c r="E3" s="3"/>
      <c r="F3" s="3"/>
      <c r="G3" s="3"/>
      <c r="H3" s="3"/>
      <c r="I3" s="3"/>
      <c r="J3" s="3"/>
      <c r="K3" s="3"/>
    </row>
    <row r="4" spans="1:11" ht="15.45">
      <c r="A4" s="2" t="s">
        <v>3</v>
      </c>
      <c r="B4" s="4" t="s">
        <v>4</v>
      </c>
      <c r="C4" s="3"/>
      <c r="D4" s="3"/>
      <c r="E4" s="3"/>
      <c r="F4" s="3"/>
      <c r="G4" s="3"/>
      <c r="H4" s="3"/>
      <c r="I4" s="3"/>
      <c r="J4" s="3"/>
      <c r="K4" s="3"/>
    </row>
    <row r="5" spans="1:11">
      <c r="A5" s="4" t="s">
        <v>5</v>
      </c>
      <c r="B5" s="4" t="s">
        <v>6</v>
      </c>
      <c r="C5" s="3"/>
      <c r="D5" s="3"/>
      <c r="E5" s="3"/>
      <c r="F5" s="3"/>
      <c r="G5" s="3"/>
      <c r="H5" s="3"/>
      <c r="I5" s="3"/>
      <c r="J5" s="3"/>
      <c r="K5" s="3"/>
    </row>
    <row r="6" spans="1:11">
      <c r="A6" s="4" t="s">
        <v>7</v>
      </c>
      <c r="B6" s="4" t="s">
        <v>8</v>
      </c>
      <c r="C6" s="3"/>
      <c r="D6" s="3"/>
      <c r="E6" s="3"/>
      <c r="F6" s="3"/>
      <c r="G6" s="3"/>
      <c r="H6" s="3"/>
      <c r="I6" s="3"/>
      <c r="J6" s="3"/>
      <c r="K6" s="3"/>
    </row>
    <row r="7" spans="1:11">
      <c r="A7" s="4" t="s">
        <v>9</v>
      </c>
      <c r="B7" s="4" t="s">
        <v>10</v>
      </c>
      <c r="C7" s="3"/>
      <c r="D7" s="3"/>
      <c r="E7" s="3"/>
      <c r="F7" s="3"/>
      <c r="G7" s="3"/>
      <c r="H7" s="3"/>
      <c r="I7" s="3"/>
      <c r="J7" s="3"/>
      <c r="K7" s="3"/>
    </row>
    <row r="8" spans="1:11">
      <c r="A8" s="4" t="s">
        <v>11</v>
      </c>
      <c r="B8" s="4" t="s">
        <v>12</v>
      </c>
      <c r="C8" s="3"/>
      <c r="D8" s="3"/>
      <c r="E8" s="3"/>
      <c r="F8" s="3"/>
      <c r="G8" s="3"/>
      <c r="H8" s="3"/>
      <c r="I8" s="3"/>
      <c r="J8" s="3"/>
      <c r="K8" s="3"/>
    </row>
    <row r="9" spans="1:11">
      <c r="A9" s="4" t="s">
        <v>13</v>
      </c>
      <c r="B9" s="4" t="s">
        <v>14</v>
      </c>
      <c r="C9" s="3"/>
      <c r="D9" s="3"/>
      <c r="E9" s="3"/>
      <c r="F9" s="3"/>
      <c r="G9" s="3"/>
      <c r="H9" s="3"/>
      <c r="I9" s="3"/>
      <c r="J9" s="3"/>
      <c r="K9" s="3"/>
    </row>
    <row r="10" spans="1:11">
      <c r="A10" s="4" t="s">
        <v>15</v>
      </c>
      <c r="B10" s="4" t="s">
        <v>16</v>
      </c>
      <c r="C10" s="3"/>
      <c r="D10" s="3"/>
      <c r="E10" s="3"/>
      <c r="F10" s="3"/>
      <c r="G10" s="3"/>
      <c r="H10" s="3"/>
      <c r="I10" s="3"/>
      <c r="J10" s="3"/>
      <c r="K10" s="3"/>
    </row>
    <row r="11" spans="1:11">
      <c r="A11" s="4" t="s">
        <v>17</v>
      </c>
      <c r="B11" s="4" t="s">
        <v>18</v>
      </c>
      <c r="C11" s="3"/>
      <c r="D11" s="3"/>
      <c r="E11" s="3"/>
      <c r="F11" s="3"/>
      <c r="G11" s="3"/>
      <c r="H11" s="3"/>
      <c r="I11" s="3"/>
      <c r="J11" s="3"/>
      <c r="K11" s="3"/>
    </row>
    <row r="12" spans="1:11">
      <c r="A12" s="4" t="s">
        <v>19</v>
      </c>
      <c r="B12" s="4" t="s">
        <v>20</v>
      </c>
      <c r="C12" s="3"/>
      <c r="D12" s="3"/>
      <c r="E12" s="3"/>
      <c r="F12" s="3"/>
      <c r="G12" s="3"/>
      <c r="H12" s="3"/>
      <c r="I12" s="3"/>
      <c r="J12" s="3"/>
      <c r="K12" s="3"/>
    </row>
    <row r="13" spans="1:11">
      <c r="A13" s="4" t="s">
        <v>21</v>
      </c>
      <c r="B13" s="4" t="s">
        <v>22</v>
      </c>
      <c r="C13" s="3"/>
      <c r="D13" s="3"/>
      <c r="E13" s="3"/>
      <c r="F13" s="3"/>
      <c r="G13" s="3"/>
      <c r="H13" s="3"/>
      <c r="I13" s="3"/>
      <c r="J13" s="3"/>
      <c r="K13" s="3"/>
    </row>
    <row r="14" spans="1:11">
      <c r="A14" s="4" t="s">
        <v>23</v>
      </c>
      <c r="B14" s="4" t="s">
        <v>24</v>
      </c>
      <c r="C14" s="3"/>
      <c r="D14" s="3"/>
      <c r="E14" s="3"/>
      <c r="F14" s="3"/>
      <c r="G14" s="3"/>
      <c r="H14" s="3"/>
      <c r="I14" s="3"/>
      <c r="J14" s="3"/>
      <c r="K14" s="3"/>
    </row>
    <row r="15" spans="1:11">
      <c r="A15" s="4" t="s">
        <v>25</v>
      </c>
      <c r="B15" s="4" t="s">
        <v>26</v>
      </c>
      <c r="C15" s="3"/>
      <c r="D15" s="3"/>
      <c r="E15" s="3"/>
      <c r="F15" s="3"/>
      <c r="G15" s="3"/>
      <c r="H15" s="3"/>
      <c r="I15" s="3"/>
      <c r="J15" s="3"/>
      <c r="K15" s="3"/>
    </row>
    <row r="16" spans="1:11">
      <c r="A16" s="4" t="s">
        <v>27</v>
      </c>
      <c r="B16" s="4" t="s">
        <v>28</v>
      </c>
      <c r="C16" s="3"/>
      <c r="D16" s="3"/>
      <c r="E16" s="3"/>
      <c r="F16" s="3"/>
      <c r="G16" s="3"/>
      <c r="H16" s="3"/>
      <c r="I16" s="3"/>
      <c r="J16" s="3"/>
      <c r="K16" s="3"/>
    </row>
    <row r="17" spans="1:11">
      <c r="A17" s="4" t="s">
        <v>29</v>
      </c>
      <c r="B17" s="4" t="s">
        <v>30</v>
      </c>
      <c r="C17" s="3"/>
      <c r="D17" s="3"/>
      <c r="E17" s="3"/>
      <c r="F17" s="3"/>
      <c r="G17" s="3"/>
      <c r="H17" s="3"/>
      <c r="I17" s="3"/>
      <c r="J17" s="3"/>
      <c r="K17" s="3"/>
    </row>
    <row r="18" spans="1:11">
      <c r="A18" s="4" t="s">
        <v>31</v>
      </c>
      <c r="B18" s="4" t="s">
        <v>32</v>
      </c>
      <c r="C18" s="3"/>
      <c r="D18" s="3"/>
      <c r="E18" s="3"/>
      <c r="F18" s="3"/>
      <c r="G18" s="3"/>
      <c r="H18" s="3"/>
      <c r="I18" s="3"/>
      <c r="J18" s="3"/>
      <c r="K18" s="3"/>
    </row>
    <row r="19" spans="1:11">
      <c r="A19" s="4" t="s">
        <v>33</v>
      </c>
      <c r="B19" s="4" t="s">
        <v>34</v>
      </c>
      <c r="C19" s="3"/>
      <c r="D19" s="3"/>
      <c r="E19" s="3"/>
      <c r="F19" s="3"/>
      <c r="G19" s="3"/>
      <c r="H19" s="3"/>
      <c r="I19" s="3"/>
      <c r="J19" s="3"/>
      <c r="K19" s="3"/>
    </row>
    <row r="20" spans="1:11">
      <c r="A20" s="4" t="s">
        <v>35</v>
      </c>
      <c r="B20" s="4" t="s">
        <v>36</v>
      </c>
      <c r="C20" s="3"/>
      <c r="D20" s="3"/>
      <c r="E20" s="3"/>
      <c r="F20" s="3"/>
      <c r="G20" s="3"/>
      <c r="H20" s="3"/>
      <c r="I20" s="3"/>
      <c r="J20" s="3"/>
      <c r="K20" s="3"/>
    </row>
    <row r="21" spans="1:11">
      <c r="A21" s="4" t="s">
        <v>37</v>
      </c>
      <c r="B21" s="4" t="s">
        <v>38</v>
      </c>
      <c r="C21" s="3"/>
      <c r="D21" s="3"/>
      <c r="E21" s="3"/>
      <c r="F21" s="3"/>
      <c r="G21" s="3"/>
      <c r="H21" s="3"/>
      <c r="I21" s="3"/>
      <c r="J21" s="3"/>
      <c r="K21" s="3"/>
    </row>
    <row r="22" spans="1:11">
      <c r="A22" s="4" t="s">
        <v>39</v>
      </c>
      <c r="B22" s="4" t="s">
        <v>40</v>
      </c>
      <c r="C22" s="3"/>
      <c r="D22" s="3"/>
      <c r="E22" s="3"/>
      <c r="F22" s="3"/>
      <c r="G22" s="3"/>
      <c r="H22" s="3"/>
      <c r="I22" s="3"/>
      <c r="J22" s="3"/>
      <c r="K22" s="3"/>
    </row>
    <row r="23" spans="1:11">
      <c r="A23" s="4" t="s">
        <v>6609</v>
      </c>
      <c r="B23" s="4" t="s">
        <v>6610</v>
      </c>
      <c r="C23" s="790"/>
      <c r="D23" s="790"/>
      <c r="E23" s="790"/>
      <c r="F23" s="790"/>
      <c r="G23" s="790"/>
      <c r="H23" s="790"/>
      <c r="I23" s="790"/>
      <c r="J23" s="790"/>
      <c r="K23" s="790"/>
    </row>
    <row r="24" spans="1:11">
      <c r="A24" s="4" t="s">
        <v>41</v>
      </c>
      <c r="B24" s="4" t="s">
        <v>42</v>
      </c>
      <c r="C24" s="3"/>
      <c r="D24" s="3"/>
      <c r="E24" s="3"/>
      <c r="F24" s="3"/>
      <c r="G24" s="3"/>
      <c r="H24" s="3"/>
      <c r="I24" s="3"/>
      <c r="J24" s="3"/>
      <c r="K24" s="3"/>
    </row>
    <row r="25" spans="1:11">
      <c r="A25" s="1" t="s">
        <v>6622</v>
      </c>
      <c r="B25" s="1" t="s">
        <v>6623</v>
      </c>
    </row>
    <row r="26" spans="1:11">
      <c r="A26" s="3"/>
      <c r="B26" s="3"/>
      <c r="C26" s="3"/>
      <c r="D26" s="3"/>
      <c r="E26" s="3"/>
      <c r="F26" s="3"/>
      <c r="G26" s="3"/>
      <c r="H26" s="3"/>
      <c r="I26" s="3"/>
      <c r="J26" s="3"/>
      <c r="K26" s="3"/>
    </row>
    <row r="27" spans="1:11" ht="15.45">
      <c r="A27" s="2" t="s">
        <v>43</v>
      </c>
      <c r="B27" s="3"/>
      <c r="C27" s="3"/>
      <c r="D27" s="3"/>
      <c r="E27" s="3"/>
      <c r="F27" s="3"/>
      <c r="G27" s="3"/>
      <c r="H27" s="3"/>
      <c r="I27" s="3"/>
      <c r="J27" s="3"/>
      <c r="K27" s="3"/>
    </row>
    <row r="28" spans="1:11">
      <c r="A28" s="4" t="s">
        <v>44</v>
      </c>
      <c r="B28" s="4" t="s">
        <v>45</v>
      </c>
      <c r="C28" s="3"/>
      <c r="D28" s="3"/>
      <c r="E28" s="3"/>
      <c r="F28" s="3"/>
      <c r="G28" s="3"/>
      <c r="H28" s="3"/>
      <c r="I28" s="3"/>
      <c r="J28" s="3"/>
      <c r="K28" s="3"/>
    </row>
    <row r="29" spans="1:11">
      <c r="A29" s="4" t="s">
        <v>46</v>
      </c>
      <c r="B29" s="4" t="s">
        <v>47</v>
      </c>
      <c r="C29" s="3"/>
      <c r="D29" s="3"/>
      <c r="E29" s="3"/>
      <c r="F29" s="3"/>
      <c r="G29" s="3"/>
      <c r="H29" s="3"/>
      <c r="I29" s="3"/>
      <c r="J29" s="3"/>
      <c r="K29" s="3"/>
    </row>
    <row r="30" spans="1:11">
      <c r="A30" s="4" t="s">
        <v>48</v>
      </c>
      <c r="B30" s="4" t="s">
        <v>49</v>
      </c>
      <c r="C30" s="3"/>
      <c r="D30" s="3"/>
      <c r="E30" s="3"/>
      <c r="F30" s="3"/>
      <c r="G30" s="3"/>
      <c r="H30" s="3"/>
      <c r="I30" s="3"/>
      <c r="J30" s="3"/>
      <c r="K30" s="3"/>
    </row>
    <row r="31" spans="1:11">
      <c r="A31" s="3"/>
      <c r="B31" s="3"/>
      <c r="C31" s="3"/>
      <c r="D31" s="3"/>
      <c r="E31" s="3"/>
      <c r="F31" s="3"/>
      <c r="G31" s="3"/>
      <c r="H31" s="3"/>
      <c r="I31" s="3"/>
      <c r="J31" s="3"/>
      <c r="K31" s="3"/>
    </row>
    <row r="32" spans="1:11" ht="15.45">
      <c r="A32" s="2" t="s">
        <v>50</v>
      </c>
      <c r="B32" s="4" t="s">
        <v>51</v>
      </c>
      <c r="C32" s="3"/>
      <c r="D32" s="3"/>
      <c r="E32" s="3"/>
      <c r="F32" s="3"/>
      <c r="G32" s="3"/>
      <c r="H32" s="3"/>
      <c r="I32" s="3"/>
      <c r="J32" s="3"/>
      <c r="K32" s="3"/>
    </row>
    <row r="33" spans="1:11">
      <c r="A33" s="4" t="s">
        <v>52</v>
      </c>
      <c r="B33" s="4" t="s">
        <v>53</v>
      </c>
      <c r="C33" s="3"/>
      <c r="D33" s="3"/>
      <c r="E33" s="3"/>
      <c r="F33" s="3"/>
      <c r="G33" s="3"/>
      <c r="H33" s="3"/>
      <c r="I33" s="3"/>
      <c r="J33" s="3"/>
      <c r="K33" s="3"/>
    </row>
    <row r="34" spans="1:11">
      <c r="A34" s="4" t="s">
        <v>54</v>
      </c>
      <c r="B34" s="4" t="s">
        <v>55</v>
      </c>
      <c r="C34" s="3"/>
      <c r="D34" s="3"/>
      <c r="E34" s="3"/>
      <c r="F34" s="3"/>
      <c r="G34" s="3"/>
      <c r="H34" s="3"/>
      <c r="I34" s="3"/>
      <c r="J34" s="3"/>
      <c r="K34" s="3"/>
    </row>
    <row r="35" spans="1:11">
      <c r="A35" s="4" t="s">
        <v>56</v>
      </c>
      <c r="B35" s="4" t="s">
        <v>57</v>
      </c>
      <c r="C35" s="3"/>
      <c r="D35" s="3"/>
      <c r="E35" s="3"/>
      <c r="F35" s="3"/>
      <c r="G35" s="3"/>
      <c r="H35" s="3"/>
      <c r="I35" s="3"/>
      <c r="J35" s="3"/>
      <c r="K35" s="3"/>
    </row>
    <row r="36" spans="1:11">
      <c r="A36" s="4" t="s">
        <v>58</v>
      </c>
      <c r="B36" s="4" t="s">
        <v>59</v>
      </c>
      <c r="C36" s="3"/>
      <c r="D36" s="3"/>
      <c r="E36" s="3"/>
      <c r="F36" s="3"/>
      <c r="G36" s="3"/>
      <c r="H36" s="3"/>
      <c r="I36" s="3"/>
      <c r="J36" s="3"/>
      <c r="K36" s="3"/>
    </row>
    <row r="37" spans="1:11">
      <c r="A37" s="4" t="s">
        <v>60</v>
      </c>
      <c r="B37" s="4" t="s">
        <v>61</v>
      </c>
      <c r="C37" s="3"/>
      <c r="D37" s="3"/>
      <c r="E37" s="3"/>
      <c r="F37" s="3"/>
      <c r="G37" s="3"/>
      <c r="H37" s="3"/>
      <c r="I37" s="3"/>
      <c r="J37" s="3"/>
      <c r="K37" s="3"/>
    </row>
    <row r="38" spans="1:11">
      <c r="A38" s="4" t="s">
        <v>62</v>
      </c>
      <c r="B38" s="4" t="s">
        <v>63</v>
      </c>
      <c r="C38" s="3"/>
      <c r="D38" s="3"/>
      <c r="E38" s="3"/>
      <c r="F38" s="3"/>
      <c r="G38" s="3"/>
      <c r="H38" s="3"/>
      <c r="I38" s="3"/>
      <c r="J38" s="3"/>
      <c r="K38" s="3"/>
    </row>
    <row r="39" spans="1:11">
      <c r="A39" s="4" t="s">
        <v>64</v>
      </c>
      <c r="B39" s="4" t="s">
        <v>65</v>
      </c>
      <c r="C39" s="3"/>
      <c r="D39" s="3"/>
      <c r="E39" s="3"/>
      <c r="F39" s="3"/>
      <c r="G39" s="3"/>
      <c r="H39" s="3"/>
      <c r="I39" s="3"/>
      <c r="J39" s="3"/>
      <c r="K39" s="3"/>
    </row>
    <row r="40" spans="1:11">
      <c r="A40" s="3"/>
      <c r="B40" s="3"/>
      <c r="C40" s="3"/>
      <c r="D40" s="3"/>
      <c r="E40" s="3"/>
      <c r="F40" s="3"/>
      <c r="G40" s="3"/>
      <c r="H40" s="3"/>
      <c r="I40" s="3"/>
      <c r="J40" s="3"/>
      <c r="K40" s="3"/>
    </row>
    <row r="41" spans="1:11">
      <c r="A41" s="3"/>
      <c r="B41" s="3"/>
      <c r="C41" s="3"/>
      <c r="D41" s="3"/>
      <c r="E41" s="3"/>
      <c r="F41" s="3"/>
      <c r="G41" s="3"/>
      <c r="H41" s="3"/>
      <c r="I41" s="3"/>
      <c r="J41" s="3"/>
      <c r="K41" s="3"/>
    </row>
    <row r="42" spans="1:11" ht="15.45">
      <c r="A42" s="2" t="s">
        <v>66</v>
      </c>
      <c r="B42" s="4" t="s">
        <v>67</v>
      </c>
      <c r="C42" s="3"/>
      <c r="D42" s="3"/>
      <c r="E42" s="3"/>
      <c r="F42" s="3"/>
      <c r="G42" s="3"/>
      <c r="H42" s="3"/>
      <c r="I42" s="3"/>
      <c r="J42" s="3"/>
      <c r="K42" s="3"/>
    </row>
    <row r="43" spans="1:11">
      <c r="A43" s="4" t="s">
        <v>68</v>
      </c>
      <c r="B43" s="4" t="s">
        <v>69</v>
      </c>
      <c r="C43" s="3"/>
      <c r="D43" s="3"/>
      <c r="E43" s="3"/>
      <c r="F43" s="3"/>
      <c r="G43" s="3"/>
      <c r="H43" s="3"/>
      <c r="I43" s="3"/>
      <c r="J43" s="3"/>
      <c r="K43" s="3"/>
    </row>
    <row r="44" spans="1:11">
      <c r="A44" s="4" t="s">
        <v>70</v>
      </c>
      <c r="B44" s="4" t="s">
        <v>71</v>
      </c>
      <c r="C44" s="3"/>
      <c r="D44" s="3"/>
      <c r="E44" s="3"/>
      <c r="F44" s="3"/>
      <c r="G44" s="3"/>
      <c r="H44" s="3"/>
      <c r="I44" s="3"/>
      <c r="J44" s="3"/>
      <c r="K44" s="3"/>
    </row>
    <row r="45" spans="1:11">
      <c r="A45" s="4" t="s">
        <v>72</v>
      </c>
      <c r="B45" s="4" t="s">
        <v>73</v>
      </c>
      <c r="C45" s="3"/>
      <c r="D45" s="3"/>
      <c r="E45" s="3"/>
      <c r="F45" s="3"/>
      <c r="G45" s="3"/>
      <c r="H45" s="3"/>
      <c r="I45" s="3"/>
      <c r="J45" s="3"/>
      <c r="K45" s="3"/>
    </row>
    <row r="46" spans="1:11">
      <c r="A46" s="4" t="s">
        <v>74</v>
      </c>
      <c r="B46" s="4" t="s">
        <v>75</v>
      </c>
      <c r="C46" s="3"/>
      <c r="D46" s="3"/>
      <c r="E46" s="3"/>
      <c r="F46" s="3"/>
      <c r="G46" s="3"/>
      <c r="H46" s="3"/>
      <c r="I46" s="3"/>
      <c r="J46" s="3"/>
      <c r="K46" s="3"/>
    </row>
    <row r="47" spans="1:11">
      <c r="A47" s="4" t="s">
        <v>76</v>
      </c>
      <c r="B47" s="4" t="s">
        <v>77</v>
      </c>
      <c r="C47" s="3"/>
      <c r="D47" s="3"/>
      <c r="E47" s="3"/>
      <c r="F47" s="3"/>
      <c r="G47" s="3"/>
      <c r="H47" s="3"/>
      <c r="I47" s="3"/>
      <c r="J47" s="3"/>
      <c r="K47" s="3"/>
    </row>
    <row r="48" spans="1:11">
      <c r="A48" s="4" t="s">
        <v>64</v>
      </c>
      <c r="B48" s="4" t="s">
        <v>78</v>
      </c>
      <c r="C48" s="3"/>
      <c r="D48" s="3"/>
      <c r="E48" s="3"/>
      <c r="F48" s="3"/>
      <c r="G48" s="3"/>
      <c r="H48" s="3"/>
      <c r="I48" s="3"/>
      <c r="J48" s="3"/>
      <c r="K48" s="3"/>
    </row>
    <row r="49" spans="1:11">
      <c r="A49" s="4" t="s">
        <v>79</v>
      </c>
      <c r="B49" s="4" t="s">
        <v>80</v>
      </c>
      <c r="C49" s="3"/>
      <c r="D49" s="3"/>
      <c r="E49" s="3"/>
      <c r="F49" s="3"/>
      <c r="G49" s="3"/>
      <c r="H49" s="3"/>
      <c r="I49" s="3"/>
      <c r="J49" s="3"/>
      <c r="K49" s="3"/>
    </row>
    <row r="50" spans="1:11">
      <c r="A50" s="4" t="s">
        <v>81</v>
      </c>
      <c r="B50" s="4" t="s">
        <v>82</v>
      </c>
      <c r="C50" s="3"/>
      <c r="D50" s="3"/>
      <c r="E50" s="3"/>
      <c r="F50" s="3"/>
      <c r="G50" s="3"/>
      <c r="H50" s="3"/>
      <c r="I50" s="3"/>
      <c r="J50" s="3"/>
      <c r="K50" s="3"/>
    </row>
    <row r="51" spans="1:11">
      <c r="A51" s="4" t="s">
        <v>83</v>
      </c>
      <c r="B51" s="4" t="s">
        <v>84</v>
      </c>
      <c r="C51" s="3"/>
      <c r="D51" s="3"/>
      <c r="E51" s="3"/>
      <c r="F51" s="3"/>
      <c r="G51" s="3"/>
      <c r="H51" s="3"/>
      <c r="I51" s="3"/>
      <c r="J51" s="3"/>
      <c r="K51" s="3"/>
    </row>
    <row r="52" spans="1:11">
      <c r="A52" s="4" t="s">
        <v>85</v>
      </c>
      <c r="B52" s="4" t="s">
        <v>86</v>
      </c>
      <c r="C52" s="3"/>
      <c r="D52" s="3"/>
      <c r="E52" s="3"/>
      <c r="F52" s="3"/>
      <c r="G52" s="3"/>
      <c r="H52" s="3"/>
      <c r="I52" s="3"/>
      <c r="J52" s="3"/>
      <c r="K52" s="3"/>
    </row>
    <row r="53" spans="1:11">
      <c r="A53" s="4" t="s">
        <v>87</v>
      </c>
      <c r="B53" s="4" t="s">
        <v>88</v>
      </c>
      <c r="C53" s="3"/>
      <c r="D53" s="3"/>
      <c r="E53" s="3"/>
      <c r="F53" s="3"/>
      <c r="G53" s="3"/>
      <c r="H53" s="3"/>
      <c r="I53" s="3"/>
      <c r="J53" s="3"/>
      <c r="K53" s="3"/>
    </row>
    <row r="54" spans="1:11">
      <c r="A54" s="4" t="s">
        <v>89</v>
      </c>
      <c r="B54" s="4" t="s">
        <v>90</v>
      </c>
      <c r="C54" s="3"/>
      <c r="D54" s="3"/>
      <c r="E54" s="3"/>
      <c r="F54" s="3"/>
      <c r="G54" s="3"/>
      <c r="H54" s="3"/>
      <c r="I54" s="3"/>
      <c r="J54" s="3"/>
      <c r="K54" s="3"/>
    </row>
    <row r="55" spans="1:11">
      <c r="A55" s="3"/>
      <c r="B55" s="3"/>
      <c r="C55" s="3"/>
      <c r="D55" s="3"/>
      <c r="E55" s="3"/>
      <c r="F55" s="3"/>
      <c r="G55" s="3"/>
      <c r="H55" s="3"/>
      <c r="I55" s="3"/>
      <c r="J55" s="3"/>
      <c r="K55" s="3"/>
    </row>
    <row r="56" spans="1:11" ht="15.45">
      <c r="A56" s="2" t="s">
        <v>91</v>
      </c>
      <c r="B56" s="4" t="s">
        <v>92</v>
      </c>
      <c r="C56" s="3"/>
      <c r="D56" s="3"/>
      <c r="E56" s="3"/>
      <c r="F56" s="3"/>
      <c r="G56" s="3"/>
      <c r="H56" s="3"/>
      <c r="I56" s="3"/>
      <c r="J56" s="3"/>
      <c r="K56" s="3"/>
    </row>
    <row r="57" spans="1:11">
      <c r="A57" s="4" t="s">
        <v>93</v>
      </c>
      <c r="B57" s="4" t="s">
        <v>94</v>
      </c>
      <c r="C57" s="3"/>
      <c r="D57" s="3"/>
      <c r="E57" s="3"/>
      <c r="F57" s="3"/>
      <c r="G57" s="3"/>
      <c r="H57" s="3"/>
      <c r="I57" s="3"/>
      <c r="J57" s="3"/>
      <c r="K57" s="3"/>
    </row>
    <row r="58" spans="1:11">
      <c r="A58" s="4" t="s">
        <v>95</v>
      </c>
      <c r="B58" s="4" t="s">
        <v>96</v>
      </c>
      <c r="C58" s="3"/>
      <c r="D58" s="3"/>
      <c r="E58" s="3"/>
      <c r="F58" s="3"/>
      <c r="G58" s="3"/>
      <c r="H58" s="3"/>
      <c r="I58" s="3"/>
      <c r="J58" s="3"/>
      <c r="K58" s="3"/>
    </row>
    <row r="59" spans="1:11">
      <c r="A59" s="4" t="s">
        <v>97</v>
      </c>
      <c r="B59" s="4" t="s">
        <v>98</v>
      </c>
      <c r="C59" s="3"/>
      <c r="D59" s="3"/>
      <c r="E59" s="3"/>
      <c r="F59" s="3"/>
      <c r="G59" s="3"/>
      <c r="H59" s="3"/>
      <c r="I59" s="3"/>
      <c r="J59" s="3"/>
      <c r="K59" s="3"/>
    </row>
    <row r="60" spans="1:11">
      <c r="A60" s="4" t="s">
        <v>99</v>
      </c>
      <c r="B60" s="4" t="s">
        <v>100</v>
      </c>
      <c r="C60" s="3"/>
      <c r="D60" s="3"/>
      <c r="E60" s="3"/>
      <c r="F60" s="3"/>
      <c r="G60" s="3"/>
      <c r="H60" s="3"/>
      <c r="I60" s="3"/>
      <c r="J60" s="3"/>
      <c r="K60" s="3"/>
    </row>
    <row r="61" spans="1:11">
      <c r="A61" s="4" t="s">
        <v>101</v>
      </c>
      <c r="B61" s="4" t="s">
        <v>102</v>
      </c>
      <c r="C61" s="3"/>
      <c r="D61" s="3"/>
      <c r="E61" s="3"/>
      <c r="F61" s="3"/>
      <c r="G61" s="3"/>
      <c r="H61" s="3"/>
      <c r="I61" s="3"/>
      <c r="J61" s="3"/>
      <c r="K61" s="3"/>
    </row>
    <row r="62" spans="1:11">
      <c r="A62" s="4" t="s">
        <v>103</v>
      </c>
      <c r="B62" s="4" t="s">
        <v>104</v>
      </c>
      <c r="C62" s="3"/>
      <c r="D62" s="3"/>
      <c r="E62" s="3"/>
      <c r="F62" s="3"/>
      <c r="G62" s="3"/>
      <c r="H62" s="3"/>
      <c r="I62" s="3"/>
      <c r="J62" s="3"/>
      <c r="K62" s="3"/>
    </row>
    <row r="63" spans="1:11">
      <c r="A63" s="4" t="s">
        <v>105</v>
      </c>
      <c r="B63" s="4" t="s">
        <v>106</v>
      </c>
      <c r="C63" s="3"/>
      <c r="D63" s="3"/>
      <c r="E63" s="3"/>
      <c r="F63" s="3"/>
      <c r="G63" s="3"/>
      <c r="H63" s="3"/>
      <c r="I63" s="3"/>
      <c r="J63" s="3"/>
      <c r="K63" s="3"/>
    </row>
    <row r="64" spans="1:11">
      <c r="A64" s="4" t="s">
        <v>107</v>
      </c>
      <c r="B64" s="4" t="s">
        <v>108</v>
      </c>
      <c r="C64" s="3"/>
      <c r="D64" s="3"/>
      <c r="E64" s="3"/>
      <c r="F64" s="3"/>
      <c r="G64" s="3"/>
      <c r="H64" s="3"/>
      <c r="I64" s="3"/>
      <c r="J64" s="3"/>
      <c r="K64" s="3"/>
    </row>
    <row r="65" spans="1:11">
      <c r="A65" s="4" t="s">
        <v>109</v>
      </c>
      <c r="B65" s="4" t="s">
        <v>5970</v>
      </c>
      <c r="C65" s="3"/>
      <c r="D65" s="3"/>
      <c r="E65" s="3"/>
      <c r="F65" s="3"/>
      <c r="G65" s="3"/>
      <c r="H65" s="3"/>
      <c r="I65" s="3"/>
      <c r="J65" s="3"/>
      <c r="K65" s="3"/>
    </row>
    <row r="66" spans="1:11">
      <c r="A66" s="4" t="s">
        <v>110</v>
      </c>
      <c r="B66" s="4" t="s">
        <v>111</v>
      </c>
      <c r="C66" s="3"/>
      <c r="D66" s="3"/>
      <c r="E66" s="3"/>
      <c r="F66" s="3"/>
      <c r="G66" s="3"/>
      <c r="H66" s="3"/>
      <c r="I66" s="3"/>
      <c r="J66" s="3"/>
      <c r="K66" s="3"/>
    </row>
    <row r="67" spans="1:11" ht="30">
      <c r="A67" s="4" t="s">
        <v>112</v>
      </c>
      <c r="B67" s="5" t="s">
        <v>113</v>
      </c>
      <c r="C67" s="3"/>
      <c r="D67" s="3"/>
      <c r="E67" s="3"/>
      <c r="F67" s="3"/>
      <c r="G67" s="3"/>
      <c r="H67" s="3"/>
      <c r="I67" s="3"/>
      <c r="J67" s="3"/>
      <c r="K67" s="3"/>
    </row>
    <row r="68" spans="1:11">
      <c r="A68" s="4" t="s">
        <v>114</v>
      </c>
      <c r="B68" s="4" t="s">
        <v>115</v>
      </c>
      <c r="C68" s="3"/>
      <c r="D68" s="3"/>
      <c r="E68" s="3"/>
      <c r="F68" s="3"/>
      <c r="G68" s="3"/>
      <c r="H68" s="3"/>
      <c r="I68" s="3"/>
      <c r="J68" s="3"/>
      <c r="K68" s="3"/>
    </row>
    <row r="69" spans="1:11">
      <c r="A69" s="4" t="s">
        <v>116</v>
      </c>
      <c r="B69" s="4" t="s">
        <v>117</v>
      </c>
      <c r="C69" s="3"/>
      <c r="D69" s="3"/>
      <c r="E69" s="3"/>
      <c r="F69" s="3"/>
      <c r="G69" s="3"/>
      <c r="H69" s="3"/>
      <c r="I69" s="3"/>
      <c r="J69" s="3"/>
      <c r="K69" s="3"/>
    </row>
    <row r="70" spans="1:11">
      <c r="A70" s="4" t="s">
        <v>118</v>
      </c>
      <c r="B70" s="4" t="s">
        <v>119</v>
      </c>
      <c r="C70" s="3"/>
      <c r="D70" s="3"/>
      <c r="E70" s="3"/>
      <c r="F70" s="3"/>
      <c r="G70" s="3"/>
      <c r="H70" s="3"/>
      <c r="I70" s="3"/>
      <c r="J70" s="3"/>
      <c r="K70" s="3"/>
    </row>
    <row r="71" spans="1:11">
      <c r="A71" s="4" t="s">
        <v>120</v>
      </c>
      <c r="B71" s="4" t="s">
        <v>121</v>
      </c>
      <c r="C71" s="3"/>
      <c r="D71" s="3"/>
      <c r="E71" s="3"/>
      <c r="F71" s="3"/>
      <c r="G71" s="3"/>
      <c r="H71" s="3"/>
      <c r="I71" s="3"/>
      <c r="J71" s="3"/>
      <c r="K71" s="3"/>
    </row>
    <row r="72" spans="1:11">
      <c r="A72" s="4" t="s">
        <v>122</v>
      </c>
      <c r="B72" s="4" t="s">
        <v>123</v>
      </c>
      <c r="C72" s="3"/>
      <c r="D72" s="3"/>
      <c r="E72" s="3"/>
      <c r="F72" s="3"/>
      <c r="G72" s="3"/>
      <c r="H72" s="3"/>
      <c r="I72" s="3"/>
      <c r="J72" s="3"/>
      <c r="K72" s="3"/>
    </row>
    <row r="73" spans="1:11">
      <c r="A73" s="3"/>
      <c r="B73" s="3"/>
      <c r="C73" s="3"/>
      <c r="D73" s="3"/>
      <c r="E73" s="3"/>
      <c r="F73" s="3"/>
      <c r="G73" s="3"/>
      <c r="H73" s="3"/>
      <c r="I73" s="3"/>
      <c r="J73" s="3"/>
      <c r="K73" s="3"/>
    </row>
    <row r="74" spans="1:11">
      <c r="A74" s="3"/>
      <c r="B74" s="3"/>
      <c r="C74" s="3"/>
      <c r="D74" s="3"/>
      <c r="E74" s="3"/>
      <c r="F74" s="3"/>
      <c r="G74" s="3"/>
      <c r="H74" s="3"/>
      <c r="I74" s="3"/>
      <c r="J74" s="3"/>
      <c r="K74" s="3"/>
    </row>
    <row r="75" spans="1:11">
      <c r="A75" s="3"/>
      <c r="B75" s="3"/>
      <c r="C75" s="3"/>
      <c r="D75" s="3"/>
      <c r="E75" s="3"/>
      <c r="F75" s="3"/>
      <c r="G75" s="3"/>
      <c r="H75" s="3"/>
      <c r="I75" s="3"/>
      <c r="J75" s="3"/>
      <c r="K75" s="3"/>
    </row>
    <row r="76" spans="1:11" ht="15.45">
      <c r="A76" s="2" t="s">
        <v>124</v>
      </c>
      <c r="B76" s="4" t="s">
        <v>125</v>
      </c>
      <c r="C76" s="3"/>
      <c r="D76" s="3"/>
      <c r="E76" s="3"/>
      <c r="F76" s="3"/>
      <c r="G76" s="3"/>
      <c r="H76" s="3"/>
      <c r="I76" s="3"/>
      <c r="J76" s="3"/>
      <c r="K76" s="3"/>
    </row>
    <row r="77" spans="1:11">
      <c r="A77" s="6" t="s">
        <v>126</v>
      </c>
      <c r="B77" s="4" t="s">
        <v>127</v>
      </c>
      <c r="C77" s="3"/>
      <c r="D77" s="3"/>
      <c r="E77" s="3"/>
      <c r="F77" s="3"/>
      <c r="G77" s="3"/>
      <c r="H77" s="3"/>
      <c r="I77" s="3"/>
      <c r="J77" s="3"/>
      <c r="K77" s="3"/>
    </row>
    <row r="78" spans="1:11">
      <c r="A78" s="6" t="s">
        <v>128</v>
      </c>
      <c r="B78" s="4" t="s">
        <v>6613</v>
      </c>
      <c r="C78" s="3"/>
      <c r="D78" s="3"/>
      <c r="E78" s="3"/>
      <c r="F78" s="3"/>
      <c r="G78" s="3"/>
      <c r="H78" s="3"/>
      <c r="I78" s="3"/>
      <c r="J78" s="3"/>
      <c r="K78" s="3"/>
    </row>
    <row r="79" spans="1:11">
      <c r="A79" s="7" t="s">
        <v>129</v>
      </c>
      <c r="B79" s="4" t="s">
        <v>130</v>
      </c>
      <c r="C79" s="3"/>
      <c r="D79" s="3"/>
      <c r="E79" s="3"/>
      <c r="F79" s="3"/>
      <c r="G79" s="3"/>
      <c r="H79" s="3"/>
      <c r="I79" s="3"/>
      <c r="J79" s="3"/>
      <c r="K79" s="3"/>
    </row>
    <row r="80" spans="1:11" ht="15.45">
      <c r="A80" s="8" t="s">
        <v>131</v>
      </c>
      <c r="B80" s="4" t="s">
        <v>132</v>
      </c>
      <c r="C80" s="3"/>
      <c r="D80" s="3"/>
      <c r="E80" s="3"/>
      <c r="F80" s="3"/>
      <c r="G80" s="3"/>
      <c r="H80" s="3"/>
      <c r="I80" s="3"/>
      <c r="J80" s="3"/>
      <c r="K80" s="3"/>
    </row>
    <row r="81" spans="1:11">
      <c r="A81" s="9" t="s">
        <v>133</v>
      </c>
      <c r="B81" s="4" t="s">
        <v>134</v>
      </c>
      <c r="C81" s="3"/>
      <c r="D81" s="3"/>
      <c r="E81" s="3"/>
      <c r="F81" s="3"/>
      <c r="G81" s="3"/>
      <c r="H81" s="3"/>
      <c r="I81" s="3"/>
      <c r="J81" s="3"/>
      <c r="K81" s="3"/>
    </row>
    <row r="82" spans="1:11">
      <c r="A82" s="4" t="s">
        <v>135</v>
      </c>
      <c r="B82" s="4" t="s">
        <v>136</v>
      </c>
      <c r="C82" s="3"/>
      <c r="D82" s="3"/>
      <c r="E82" s="3"/>
      <c r="F82" s="3"/>
      <c r="G82" s="3"/>
      <c r="H82" s="3"/>
      <c r="I82" s="3"/>
      <c r="J82" s="3"/>
      <c r="K82" s="3"/>
    </row>
    <row r="83" spans="1:11">
      <c r="A83" s="4" t="s">
        <v>137</v>
      </c>
      <c r="B83" s="4" t="s">
        <v>138</v>
      </c>
      <c r="C83" s="3"/>
      <c r="D83" s="3"/>
      <c r="E83" s="3"/>
      <c r="F83" s="3"/>
      <c r="G83" s="3"/>
      <c r="H83" s="3"/>
      <c r="I83" s="3"/>
      <c r="J83" s="3"/>
      <c r="K83" s="3"/>
    </row>
    <row r="84" spans="1:11">
      <c r="A84" s="3"/>
      <c r="B84" s="3"/>
      <c r="C84" s="3"/>
      <c r="D84" s="3"/>
      <c r="E84" s="3"/>
      <c r="F84" s="3"/>
      <c r="G84" s="3"/>
      <c r="H84" s="3"/>
      <c r="I84" s="3"/>
      <c r="J84" s="3"/>
      <c r="K84" s="3"/>
    </row>
    <row r="85" spans="1:11" ht="15.45">
      <c r="A85" s="8" t="s">
        <v>139</v>
      </c>
      <c r="B85" s="4" t="s">
        <v>140</v>
      </c>
      <c r="C85" s="3"/>
      <c r="D85" s="3"/>
      <c r="E85" s="3"/>
      <c r="F85" s="3"/>
      <c r="G85" s="3"/>
      <c r="H85" s="3"/>
      <c r="I85" s="3"/>
      <c r="J85" s="3"/>
      <c r="K85" s="3"/>
    </row>
    <row r="86" spans="1:11" ht="15.45">
      <c r="A86" s="10"/>
      <c r="B86" s="3"/>
      <c r="C86" s="3"/>
      <c r="D86" s="3"/>
      <c r="E86" s="3"/>
      <c r="F86" s="3"/>
      <c r="G86" s="3"/>
      <c r="H86" s="3"/>
      <c r="I86" s="3"/>
      <c r="J86" s="3"/>
      <c r="K86" s="3"/>
    </row>
    <row r="87" spans="1:11" ht="15.45">
      <c r="A87" s="8" t="s">
        <v>141</v>
      </c>
      <c r="B87" s="3"/>
      <c r="C87" s="3"/>
      <c r="D87" s="3"/>
      <c r="E87" s="3"/>
      <c r="F87" s="3"/>
      <c r="G87" s="3"/>
      <c r="H87" s="3"/>
      <c r="I87" s="3"/>
      <c r="J87" s="3"/>
      <c r="K87" s="3"/>
    </row>
    <row r="88" spans="1:11">
      <c r="A88" s="6" t="s">
        <v>142</v>
      </c>
      <c r="B88" s="4" t="s">
        <v>143</v>
      </c>
      <c r="C88" s="3"/>
      <c r="D88" s="3"/>
      <c r="E88" s="3"/>
      <c r="F88" s="3"/>
      <c r="G88" s="3"/>
      <c r="H88" s="3"/>
      <c r="I88" s="3"/>
      <c r="J88" s="3"/>
      <c r="K88" s="3"/>
    </row>
    <row r="89" spans="1:11">
      <c r="A89" s="6" t="s">
        <v>144</v>
      </c>
      <c r="B89" s="4" t="s">
        <v>145</v>
      </c>
      <c r="C89" s="3"/>
      <c r="D89" s="3"/>
      <c r="E89" s="3"/>
      <c r="F89" s="3"/>
      <c r="G89" s="3"/>
      <c r="H89" s="3"/>
      <c r="I89" s="3"/>
      <c r="J89" s="3"/>
      <c r="K89" s="3"/>
    </row>
    <row r="90" spans="1:11">
      <c r="A90" s="6" t="s">
        <v>146</v>
      </c>
      <c r="B90" s="4" t="s">
        <v>147</v>
      </c>
      <c r="C90" s="3"/>
      <c r="D90" s="3"/>
      <c r="E90" s="3"/>
      <c r="F90" s="3"/>
      <c r="G90" s="3"/>
      <c r="H90" s="3"/>
      <c r="I90" s="3"/>
      <c r="J90" s="3"/>
      <c r="K90" s="3"/>
    </row>
    <row r="91" spans="1:11" ht="30">
      <c r="A91" s="6" t="s">
        <v>148</v>
      </c>
      <c r="B91" s="5" t="s">
        <v>149</v>
      </c>
      <c r="C91" s="3"/>
      <c r="D91" s="3"/>
      <c r="E91" s="3"/>
      <c r="F91" s="3"/>
      <c r="G91" s="3"/>
      <c r="H91" s="3"/>
      <c r="I91" s="3"/>
      <c r="J91" s="3"/>
      <c r="K91" s="3"/>
    </row>
    <row r="92" spans="1:11" ht="30">
      <c r="A92" s="4" t="s">
        <v>150</v>
      </c>
      <c r="B92" s="5" t="s">
        <v>6611</v>
      </c>
      <c r="C92" s="3"/>
      <c r="D92" s="3"/>
      <c r="E92" s="3"/>
      <c r="F92" s="3"/>
      <c r="G92" s="3"/>
      <c r="H92" s="3"/>
      <c r="I92" s="3"/>
      <c r="J92" s="3"/>
      <c r="K92" s="3"/>
    </row>
    <row r="93" spans="1:11">
      <c r="A93" s="4" t="s">
        <v>151</v>
      </c>
      <c r="B93" s="4" t="s">
        <v>5957</v>
      </c>
      <c r="C93" s="3"/>
      <c r="D93" s="3"/>
      <c r="E93" s="3"/>
      <c r="F93" s="3"/>
      <c r="G93" s="3"/>
      <c r="H93" s="3"/>
      <c r="I93" s="3"/>
      <c r="J93" s="3"/>
      <c r="K93" s="3"/>
    </row>
    <row r="94" spans="1:11">
      <c r="A94" s="4" t="s">
        <v>152</v>
      </c>
      <c r="B94" s="4" t="s">
        <v>153</v>
      </c>
      <c r="C94" s="3"/>
      <c r="D94" s="3"/>
      <c r="E94" s="3"/>
      <c r="F94" s="3"/>
      <c r="G94" s="3"/>
      <c r="H94" s="3"/>
      <c r="I94" s="3"/>
      <c r="J94" s="3"/>
      <c r="K94" s="3"/>
    </row>
    <row r="95" spans="1:11">
      <c r="A95" s="4" t="s">
        <v>154</v>
      </c>
      <c r="B95" s="4" t="s">
        <v>155</v>
      </c>
      <c r="C95" s="3"/>
      <c r="D95" s="3"/>
      <c r="E95" s="3"/>
      <c r="F95" s="3"/>
      <c r="G95" s="3"/>
      <c r="H95" s="3"/>
      <c r="I95" s="3"/>
      <c r="J95" s="3"/>
      <c r="K95" s="3"/>
    </row>
    <row r="96" spans="1:11">
      <c r="A96" s="4" t="s">
        <v>156</v>
      </c>
      <c r="B96" s="4" t="s">
        <v>157</v>
      </c>
      <c r="C96" s="3"/>
      <c r="D96" s="3"/>
      <c r="E96" s="3"/>
      <c r="F96" s="3"/>
      <c r="G96" s="3"/>
      <c r="H96" s="3"/>
      <c r="I96" s="3"/>
      <c r="J96" s="3"/>
      <c r="K96" s="3"/>
    </row>
    <row r="97" spans="1:11">
      <c r="A97" s="4" t="s">
        <v>158</v>
      </c>
      <c r="B97" s="4" t="s">
        <v>159</v>
      </c>
      <c r="C97" s="3"/>
      <c r="D97" s="3"/>
      <c r="E97" s="3"/>
      <c r="F97" s="3"/>
      <c r="G97" s="3"/>
      <c r="H97" s="3"/>
      <c r="I97" s="3"/>
      <c r="J97" s="3"/>
      <c r="K97" s="3"/>
    </row>
    <row r="98" spans="1:11">
      <c r="A98" s="4" t="s">
        <v>160</v>
      </c>
      <c r="B98" s="4" t="s">
        <v>161</v>
      </c>
      <c r="C98" s="3"/>
      <c r="D98" s="3"/>
      <c r="E98" s="3"/>
      <c r="F98" s="3"/>
      <c r="G98" s="3"/>
      <c r="H98" s="3"/>
      <c r="I98" s="3"/>
      <c r="J98" s="3"/>
      <c r="K98" s="3"/>
    </row>
    <row r="99" spans="1:11">
      <c r="A99" s="4" t="s">
        <v>162</v>
      </c>
      <c r="B99" s="4" t="s">
        <v>163</v>
      </c>
      <c r="C99" s="3"/>
      <c r="D99" s="3"/>
      <c r="E99" s="3"/>
      <c r="F99" s="3"/>
      <c r="G99" s="3"/>
      <c r="H99" s="3"/>
      <c r="I99" s="3"/>
      <c r="J99" s="3"/>
      <c r="K99" s="3"/>
    </row>
    <row r="100" spans="1:11">
      <c r="A100" s="4" t="s">
        <v>164</v>
      </c>
      <c r="B100" s="4" t="s">
        <v>165</v>
      </c>
      <c r="C100" s="3"/>
      <c r="D100" s="3"/>
      <c r="E100" s="3"/>
      <c r="F100" s="3"/>
      <c r="G100" s="3"/>
      <c r="H100" s="3"/>
      <c r="I100" s="3"/>
      <c r="J100" s="3"/>
      <c r="K100" s="3"/>
    </row>
    <row r="101" spans="1:11">
      <c r="A101" s="4" t="s">
        <v>166</v>
      </c>
      <c r="B101" s="4" t="s">
        <v>167</v>
      </c>
      <c r="C101" s="3"/>
      <c r="D101" s="3"/>
      <c r="E101" s="3"/>
      <c r="F101" s="3"/>
      <c r="G101" s="3"/>
      <c r="H101" s="3"/>
      <c r="I101" s="3"/>
      <c r="J101" s="3"/>
      <c r="K101" s="3"/>
    </row>
    <row r="102" spans="1:11" ht="15.45">
      <c r="A102" s="10"/>
      <c r="B102" s="3"/>
      <c r="C102" s="3"/>
      <c r="D102" s="3"/>
      <c r="E102" s="3"/>
      <c r="F102" s="3"/>
      <c r="G102" s="3"/>
      <c r="H102" s="3"/>
      <c r="I102" s="3"/>
      <c r="J102" s="3"/>
      <c r="K102" s="3"/>
    </row>
    <row r="103" spans="1:11" ht="15.45">
      <c r="A103" s="8" t="s">
        <v>168</v>
      </c>
      <c r="B103" s="3"/>
      <c r="C103" s="3"/>
      <c r="D103" s="3"/>
      <c r="E103" s="3"/>
      <c r="F103" s="3"/>
      <c r="G103" s="3"/>
      <c r="H103" s="3"/>
      <c r="I103" s="3"/>
      <c r="J103" s="3"/>
      <c r="K103" s="3"/>
    </row>
    <row r="104" spans="1:11">
      <c r="A104" s="4" t="s">
        <v>169</v>
      </c>
      <c r="B104" s="4" t="s">
        <v>170</v>
      </c>
      <c r="C104" s="3"/>
      <c r="D104" s="3"/>
      <c r="E104" s="3"/>
      <c r="F104" s="3"/>
      <c r="G104" s="3"/>
      <c r="H104" s="3"/>
      <c r="I104" s="3"/>
      <c r="J104" s="3"/>
      <c r="K104" s="3"/>
    </row>
    <row r="105" spans="1:11">
      <c r="A105" s="4" t="s">
        <v>171</v>
      </c>
      <c r="B105" s="5" t="s">
        <v>172</v>
      </c>
      <c r="C105" s="3"/>
      <c r="D105" s="3"/>
      <c r="E105" s="3"/>
      <c r="F105" s="3"/>
      <c r="G105" s="3"/>
      <c r="H105" s="3"/>
      <c r="I105" s="3"/>
      <c r="J105" s="3"/>
      <c r="K105" s="3"/>
    </row>
    <row r="106" spans="1:11">
      <c r="A106" s="4" t="s">
        <v>173</v>
      </c>
      <c r="B106" s="5" t="s">
        <v>174</v>
      </c>
      <c r="C106" s="3"/>
      <c r="D106" s="3"/>
      <c r="E106" s="3"/>
      <c r="F106" s="3"/>
      <c r="G106" s="3"/>
      <c r="H106" s="3"/>
      <c r="I106" s="3"/>
      <c r="J106" s="3"/>
      <c r="K106" s="3"/>
    </row>
    <row r="107" spans="1:11">
      <c r="A107" s="4" t="s">
        <v>175</v>
      </c>
      <c r="B107" s="4" t="s">
        <v>176</v>
      </c>
      <c r="C107" s="3"/>
      <c r="D107" s="3"/>
      <c r="E107" s="3"/>
      <c r="F107" s="3"/>
      <c r="G107" s="3"/>
      <c r="H107" s="3"/>
      <c r="I107" s="3"/>
      <c r="J107" s="3"/>
      <c r="K107" s="3"/>
    </row>
    <row r="108" spans="1:11" ht="15.45">
      <c r="A108" s="10"/>
      <c r="B108" s="3"/>
      <c r="C108" s="3"/>
      <c r="D108" s="3"/>
      <c r="E108" s="3"/>
      <c r="F108" s="3"/>
      <c r="G108" s="3"/>
      <c r="H108" s="3"/>
      <c r="I108" s="3"/>
      <c r="J108" s="3"/>
      <c r="K108" s="3"/>
    </row>
    <row r="109" spans="1:11" ht="15.45">
      <c r="A109" s="8" t="s">
        <v>177</v>
      </c>
      <c r="B109" s="11"/>
      <c r="C109" s="3"/>
      <c r="D109" s="3"/>
      <c r="E109" s="3"/>
      <c r="F109" s="3"/>
      <c r="G109" s="3"/>
      <c r="H109" s="3"/>
      <c r="I109" s="3"/>
      <c r="J109" s="3"/>
      <c r="K109" s="3"/>
    </row>
    <row r="110" spans="1:11">
      <c r="A110" s="6" t="s">
        <v>178</v>
      </c>
      <c r="B110" s="6" t="s">
        <v>179</v>
      </c>
      <c r="C110" s="3"/>
      <c r="D110" s="3"/>
      <c r="E110" s="3"/>
      <c r="F110" s="3"/>
      <c r="G110" s="3"/>
      <c r="H110" s="3"/>
      <c r="I110" s="3"/>
      <c r="J110" s="3"/>
      <c r="K110" s="3"/>
    </row>
    <row r="111" spans="1:11">
      <c r="A111" s="6" t="s">
        <v>180</v>
      </c>
      <c r="B111" s="4" t="s">
        <v>181</v>
      </c>
      <c r="C111" s="3"/>
      <c r="D111" s="3"/>
      <c r="E111" s="3"/>
      <c r="F111" s="3"/>
      <c r="G111" s="3"/>
      <c r="H111" s="3"/>
      <c r="I111" s="3"/>
      <c r="J111" s="3"/>
      <c r="K111" s="3"/>
    </row>
    <row r="112" spans="1:11">
      <c r="A112" s="4" t="s">
        <v>182</v>
      </c>
      <c r="B112" s="4" t="s">
        <v>183</v>
      </c>
      <c r="C112" s="3"/>
      <c r="D112" s="3"/>
      <c r="E112" s="3"/>
      <c r="F112" s="3"/>
      <c r="G112" s="3"/>
      <c r="H112" s="3"/>
      <c r="I112" s="3"/>
      <c r="J112" s="3"/>
      <c r="K112" s="3"/>
    </row>
    <row r="113" spans="1:11">
      <c r="A113" s="4" t="s">
        <v>184</v>
      </c>
      <c r="B113" s="4" t="s">
        <v>185</v>
      </c>
      <c r="C113" s="3"/>
      <c r="D113" s="3"/>
      <c r="E113" s="3"/>
      <c r="F113" s="3"/>
      <c r="G113" s="3"/>
      <c r="H113" s="3"/>
      <c r="I113" s="3"/>
      <c r="J113" s="3"/>
      <c r="K113" s="3"/>
    </row>
    <row r="114" spans="1:11">
      <c r="A114" s="4" t="s">
        <v>186</v>
      </c>
      <c r="B114" s="4" t="s">
        <v>187</v>
      </c>
      <c r="C114" s="3"/>
      <c r="D114" s="3"/>
      <c r="E114" s="3"/>
      <c r="F114" s="3"/>
      <c r="G114" s="3"/>
      <c r="H114" s="3"/>
      <c r="I114" s="3"/>
      <c r="J114" s="3"/>
      <c r="K114" s="3"/>
    </row>
    <row r="115" spans="1:11">
      <c r="A115" s="4" t="s">
        <v>188</v>
      </c>
      <c r="B115" s="4" t="s">
        <v>189</v>
      </c>
      <c r="C115" s="3"/>
      <c r="D115" s="3"/>
      <c r="E115" s="3"/>
      <c r="F115" s="3"/>
      <c r="G115" s="3"/>
      <c r="H115" s="3"/>
      <c r="I115" s="3"/>
      <c r="J115" s="3"/>
      <c r="K115" s="3"/>
    </row>
    <row r="116" spans="1:11">
      <c r="A116" s="4" t="s">
        <v>190</v>
      </c>
      <c r="B116" s="4" t="s">
        <v>191</v>
      </c>
      <c r="C116" s="3"/>
      <c r="D116" s="3"/>
      <c r="E116" s="3"/>
      <c r="F116" s="3"/>
      <c r="G116" s="3"/>
      <c r="H116" s="3"/>
      <c r="I116" s="3"/>
      <c r="J116" s="3"/>
      <c r="K116" s="3"/>
    </row>
    <row r="117" spans="1:11">
      <c r="A117" s="4" t="s">
        <v>192</v>
      </c>
      <c r="B117" s="4" t="s">
        <v>193</v>
      </c>
      <c r="C117" s="3"/>
      <c r="D117" s="3"/>
      <c r="E117" s="3"/>
      <c r="F117" s="3"/>
      <c r="G117" s="3"/>
      <c r="H117" s="3"/>
      <c r="I117" s="3"/>
      <c r="J117" s="3"/>
      <c r="K117" s="3"/>
    </row>
    <row r="118" spans="1:11">
      <c r="A118" s="4" t="s">
        <v>194</v>
      </c>
      <c r="B118" s="4" t="s">
        <v>6612</v>
      </c>
      <c r="C118" s="3"/>
      <c r="D118" s="3"/>
      <c r="E118" s="3"/>
      <c r="F118" s="3"/>
      <c r="G118" s="3"/>
      <c r="H118" s="3"/>
      <c r="I118" s="3"/>
      <c r="J118" s="3"/>
      <c r="K118" s="3"/>
    </row>
    <row r="119" spans="1:11">
      <c r="A119" s="4" t="s">
        <v>195</v>
      </c>
      <c r="B119" s="4" t="s">
        <v>196</v>
      </c>
      <c r="C119" s="3"/>
      <c r="D119" s="3"/>
      <c r="E119" s="3"/>
      <c r="F119" s="3"/>
      <c r="G119" s="3"/>
      <c r="H119" s="3"/>
      <c r="I119" s="3"/>
      <c r="J119" s="3"/>
      <c r="K119" s="3"/>
    </row>
    <row r="120" spans="1:11">
      <c r="A120" s="4" t="s">
        <v>197</v>
      </c>
      <c r="B120" s="4" t="s">
        <v>198</v>
      </c>
      <c r="C120" s="3"/>
      <c r="D120" s="3"/>
      <c r="E120" s="3"/>
      <c r="F120" s="3"/>
      <c r="G120" s="3"/>
      <c r="H120" s="3"/>
      <c r="I120" s="3"/>
      <c r="J120" s="3"/>
      <c r="K120" s="3"/>
    </row>
    <row r="121" spans="1:11">
      <c r="A121" s="4" t="s">
        <v>199</v>
      </c>
      <c r="B121" s="4" t="s">
        <v>200</v>
      </c>
      <c r="C121" s="3"/>
      <c r="D121" s="3"/>
      <c r="E121" s="3"/>
      <c r="F121" s="3"/>
      <c r="G121" s="3"/>
      <c r="H121" s="3"/>
      <c r="I121" s="3"/>
      <c r="J121" s="3"/>
      <c r="K121" s="3"/>
    </row>
    <row r="122" spans="1:11">
      <c r="A122" s="4" t="s">
        <v>201</v>
      </c>
      <c r="B122" s="4" t="s">
        <v>202</v>
      </c>
      <c r="C122" s="3"/>
      <c r="D122" s="3"/>
      <c r="E122" s="3"/>
      <c r="F122" s="3"/>
      <c r="G122" s="3"/>
      <c r="H122" s="3"/>
      <c r="I122" s="3"/>
      <c r="J122" s="3"/>
      <c r="K122" s="3"/>
    </row>
    <row r="123" spans="1:11">
      <c r="A123" s="4" t="s">
        <v>203</v>
      </c>
      <c r="B123" s="4" t="s">
        <v>204</v>
      </c>
      <c r="C123" s="3"/>
      <c r="D123" s="3"/>
      <c r="E123" s="3"/>
      <c r="F123" s="3"/>
      <c r="G123" s="3"/>
      <c r="H123" s="3"/>
      <c r="I123" s="3"/>
      <c r="J123" s="3"/>
      <c r="K123" s="3"/>
    </row>
    <row r="124" spans="1:11">
      <c r="A124" s="4" t="s">
        <v>205</v>
      </c>
      <c r="B124" s="4" t="s">
        <v>206</v>
      </c>
      <c r="C124" s="3"/>
      <c r="D124" s="3"/>
      <c r="E124" s="3"/>
      <c r="F124" s="3"/>
      <c r="G124" s="3"/>
      <c r="H124" s="3"/>
      <c r="I124" s="3"/>
      <c r="J124" s="3"/>
      <c r="K124" s="3"/>
    </row>
    <row r="125" spans="1:11">
      <c r="A125" s="4" t="s">
        <v>207</v>
      </c>
      <c r="B125" s="4" t="s">
        <v>208</v>
      </c>
      <c r="C125" s="3"/>
      <c r="D125" s="3"/>
      <c r="E125" s="3"/>
      <c r="F125" s="3"/>
      <c r="G125" s="3"/>
      <c r="H125" s="3"/>
      <c r="I125" s="3"/>
      <c r="J125" s="3"/>
      <c r="K125" s="3"/>
    </row>
    <row r="126" spans="1:11">
      <c r="A126" s="4" t="s">
        <v>209</v>
      </c>
      <c r="B126" s="4" t="s">
        <v>210</v>
      </c>
      <c r="C126" s="3"/>
      <c r="D126" s="3"/>
      <c r="E126" s="3"/>
      <c r="F126" s="3"/>
      <c r="G126" s="3"/>
      <c r="H126" s="3"/>
      <c r="I126" s="3"/>
      <c r="J126" s="3"/>
      <c r="K126" s="3"/>
    </row>
    <row r="127" spans="1:11">
      <c r="A127" s="4" t="s">
        <v>211</v>
      </c>
      <c r="B127" s="4" t="s">
        <v>212</v>
      </c>
      <c r="C127" s="3"/>
      <c r="D127" s="3"/>
      <c r="E127" s="3"/>
      <c r="F127" s="3"/>
      <c r="G127" s="3"/>
      <c r="H127" s="3"/>
      <c r="I127" s="3"/>
      <c r="J127" s="3"/>
      <c r="K127" s="3"/>
    </row>
    <row r="128" spans="1:11">
      <c r="A128" s="4" t="s">
        <v>213</v>
      </c>
      <c r="B128" s="4" t="s">
        <v>214</v>
      </c>
      <c r="C128" s="3"/>
      <c r="D128" s="3"/>
      <c r="E128" s="3"/>
      <c r="F128" s="3"/>
      <c r="G128" s="3"/>
      <c r="H128" s="3"/>
      <c r="I128" s="3"/>
      <c r="J128" s="3"/>
      <c r="K128" s="3"/>
    </row>
    <row r="129" spans="1:11">
      <c r="A129" s="4" t="s">
        <v>215</v>
      </c>
      <c r="B129" s="4" t="s">
        <v>216</v>
      </c>
      <c r="C129" s="3"/>
      <c r="D129" s="3"/>
      <c r="E129" s="3"/>
      <c r="F129" s="3"/>
      <c r="G129" s="3"/>
      <c r="H129" s="3"/>
      <c r="I129" s="3"/>
      <c r="J129" s="3"/>
      <c r="K129" s="3"/>
    </row>
    <row r="130" spans="1:11">
      <c r="A130" s="4" t="s">
        <v>217</v>
      </c>
      <c r="B130" s="4" t="s">
        <v>218</v>
      </c>
      <c r="C130" s="3"/>
      <c r="D130" s="3"/>
      <c r="E130" s="3"/>
      <c r="F130" s="3"/>
      <c r="G130" s="3"/>
      <c r="H130" s="3"/>
      <c r="I130" s="3"/>
      <c r="J130" s="3"/>
      <c r="K130" s="3"/>
    </row>
    <row r="131" spans="1:11">
      <c r="A131" s="4" t="s">
        <v>219</v>
      </c>
      <c r="B131" s="4" t="s">
        <v>220</v>
      </c>
      <c r="C131" s="3"/>
      <c r="D131" s="3"/>
      <c r="E131" s="3"/>
      <c r="F131" s="3"/>
      <c r="G131" s="3"/>
      <c r="H131" s="3"/>
      <c r="I131" s="3"/>
      <c r="J131" s="3"/>
      <c r="K131" s="3"/>
    </row>
    <row r="132" spans="1:11">
      <c r="A132" s="4" t="s">
        <v>221</v>
      </c>
      <c r="B132" s="4" t="s">
        <v>222</v>
      </c>
      <c r="C132" s="3"/>
      <c r="D132" s="3"/>
      <c r="E132" s="3"/>
      <c r="F132" s="3"/>
      <c r="G132" s="3"/>
      <c r="H132" s="3"/>
      <c r="I132" s="3"/>
      <c r="J132" s="3"/>
      <c r="K132" s="3"/>
    </row>
    <row r="133" spans="1:11">
      <c r="A133" s="4" t="s">
        <v>223</v>
      </c>
      <c r="B133" s="4" t="s">
        <v>224</v>
      </c>
      <c r="C133" s="3"/>
      <c r="D133" s="3"/>
      <c r="E133" s="3"/>
      <c r="F133" s="3"/>
      <c r="G133" s="3"/>
      <c r="H133" s="3"/>
      <c r="I133" s="3"/>
      <c r="J133" s="3"/>
      <c r="K133" s="3"/>
    </row>
    <row r="134" spans="1:11">
      <c r="A134" s="4" t="s">
        <v>225</v>
      </c>
      <c r="B134" s="4" t="s">
        <v>226</v>
      </c>
      <c r="C134" s="3"/>
      <c r="D134" s="3"/>
      <c r="E134" s="3"/>
      <c r="F134" s="3"/>
      <c r="G134" s="3"/>
      <c r="H134" s="3"/>
      <c r="I134" s="3"/>
      <c r="J134" s="3"/>
      <c r="K134" s="3"/>
    </row>
    <row r="135" spans="1:11">
      <c r="A135" s="4" t="s">
        <v>227</v>
      </c>
      <c r="B135" s="4" t="s">
        <v>228</v>
      </c>
      <c r="C135" s="3"/>
      <c r="D135" s="3"/>
      <c r="E135" s="3"/>
      <c r="F135" s="3"/>
      <c r="G135" s="3"/>
      <c r="H135" s="3"/>
      <c r="I135" s="3"/>
      <c r="J135" s="3"/>
      <c r="K135" s="3"/>
    </row>
    <row r="136" spans="1:11">
      <c r="A136" s="4" t="s">
        <v>229</v>
      </c>
      <c r="B136" s="4" t="s">
        <v>230</v>
      </c>
      <c r="C136" s="3"/>
      <c r="D136" s="3"/>
      <c r="E136" s="3"/>
      <c r="F136" s="3"/>
      <c r="G136" s="3"/>
      <c r="H136" s="3"/>
      <c r="I136" s="3"/>
      <c r="J136" s="3"/>
      <c r="K136" s="3"/>
    </row>
    <row r="137" spans="1:11">
      <c r="A137" s="4" t="s">
        <v>231</v>
      </c>
      <c r="B137" s="4" t="s">
        <v>232</v>
      </c>
      <c r="C137" s="3"/>
      <c r="D137" s="3"/>
      <c r="E137" s="3"/>
      <c r="F137" s="3"/>
      <c r="G137" s="3"/>
      <c r="H137" s="3"/>
      <c r="I137" s="3"/>
      <c r="J137" s="3"/>
      <c r="K137" s="3"/>
    </row>
    <row r="138" spans="1:11">
      <c r="A138" s="4" t="s">
        <v>233</v>
      </c>
      <c r="B138" s="4" t="s">
        <v>234</v>
      </c>
      <c r="C138" s="3"/>
      <c r="D138" s="3"/>
      <c r="E138" s="3"/>
      <c r="F138" s="3"/>
      <c r="G138" s="3"/>
      <c r="H138" s="3"/>
      <c r="I138" s="3"/>
      <c r="J138" s="3"/>
      <c r="K138" s="3"/>
    </row>
    <row r="139" spans="1:11">
      <c r="A139" s="4" t="s">
        <v>235</v>
      </c>
      <c r="B139" s="4" t="s">
        <v>236</v>
      </c>
      <c r="C139" s="3"/>
      <c r="D139" s="3"/>
      <c r="E139" s="3"/>
      <c r="F139" s="3"/>
      <c r="G139" s="3"/>
      <c r="H139" s="3"/>
      <c r="I139" s="3"/>
      <c r="J139" s="3"/>
      <c r="K139" s="3"/>
    </row>
    <row r="140" spans="1:11" ht="18.75" customHeight="1">
      <c r="A140" s="4" t="s">
        <v>237</v>
      </c>
      <c r="B140" s="5" t="s">
        <v>238</v>
      </c>
      <c r="C140" s="3"/>
      <c r="D140" s="3"/>
      <c r="E140" s="3"/>
      <c r="F140" s="3"/>
      <c r="G140" s="3"/>
      <c r="H140" s="3"/>
      <c r="I140" s="3"/>
      <c r="J140" s="3"/>
      <c r="K140" s="3"/>
    </row>
    <row r="141" spans="1:11">
      <c r="A141" s="4" t="s">
        <v>239</v>
      </c>
      <c r="B141" s="4" t="s">
        <v>240</v>
      </c>
      <c r="C141" s="3"/>
      <c r="D141" s="3"/>
      <c r="E141" s="3"/>
      <c r="F141" s="3"/>
      <c r="G141" s="3"/>
      <c r="H141" s="3"/>
      <c r="I141" s="3"/>
      <c r="J141" s="3"/>
      <c r="K141" s="3"/>
    </row>
    <row r="142" spans="1:11" ht="30">
      <c r="A142" s="4" t="s">
        <v>241</v>
      </c>
      <c r="B142" s="5" t="s">
        <v>242</v>
      </c>
      <c r="C142" s="3"/>
      <c r="D142" s="3"/>
      <c r="E142" s="3"/>
      <c r="F142" s="3"/>
      <c r="G142" s="3"/>
      <c r="H142" s="3"/>
      <c r="I142" s="3"/>
      <c r="J142" s="3"/>
      <c r="K142" s="3"/>
    </row>
    <row r="143" spans="1:11">
      <c r="A143" s="4" t="s">
        <v>243</v>
      </c>
      <c r="B143" s="4" t="s">
        <v>244</v>
      </c>
      <c r="C143" s="3"/>
      <c r="D143" s="3"/>
      <c r="E143" s="3"/>
      <c r="F143" s="3"/>
      <c r="G143" s="3"/>
      <c r="H143" s="3"/>
      <c r="I143" s="3"/>
      <c r="J143" s="3"/>
      <c r="K143" s="3"/>
    </row>
    <row r="144" spans="1:11">
      <c r="A144" s="4" t="s">
        <v>245</v>
      </c>
      <c r="B144" s="4" t="s">
        <v>246</v>
      </c>
      <c r="C144" s="3"/>
      <c r="D144" s="3"/>
      <c r="E144" s="3"/>
      <c r="F144" s="3"/>
      <c r="G144" s="3"/>
      <c r="H144" s="3"/>
      <c r="I144" s="3"/>
      <c r="J144" s="3"/>
      <c r="K144" s="3"/>
    </row>
    <row r="145" spans="1:11">
      <c r="A145" s="4" t="s">
        <v>247</v>
      </c>
      <c r="B145" s="4" t="s">
        <v>248</v>
      </c>
      <c r="C145" s="3"/>
      <c r="D145" s="3"/>
      <c r="E145" s="3"/>
      <c r="F145" s="3"/>
      <c r="G145" s="3"/>
      <c r="H145" s="3"/>
      <c r="I145" s="3"/>
      <c r="J145" s="3"/>
      <c r="K145" s="3"/>
    </row>
    <row r="146" spans="1:11">
      <c r="A146" s="4" t="s">
        <v>249</v>
      </c>
      <c r="B146" s="4" t="s">
        <v>250</v>
      </c>
      <c r="C146" s="3"/>
      <c r="D146" s="3"/>
      <c r="E146" s="3"/>
      <c r="F146" s="3"/>
      <c r="G146" s="3"/>
      <c r="H146" s="3"/>
      <c r="I146" s="3"/>
      <c r="J146" s="3"/>
      <c r="K146" s="3"/>
    </row>
    <row r="147" spans="1:11">
      <c r="A147" s="4" t="s">
        <v>251</v>
      </c>
      <c r="B147" s="4" t="s">
        <v>252</v>
      </c>
      <c r="C147" s="3"/>
      <c r="D147" s="3"/>
      <c r="E147" s="3"/>
      <c r="F147" s="3"/>
      <c r="G147" s="3"/>
      <c r="H147" s="3"/>
      <c r="I147" s="3"/>
      <c r="J147" s="3"/>
      <c r="K147" s="3"/>
    </row>
    <row r="148" spans="1:11">
      <c r="A148" s="4" t="s">
        <v>253</v>
      </c>
      <c r="B148" s="4" t="s">
        <v>254</v>
      </c>
      <c r="C148" s="3"/>
      <c r="D148" s="3"/>
      <c r="E148" s="3"/>
      <c r="F148" s="3"/>
      <c r="G148" s="3"/>
      <c r="H148" s="3"/>
      <c r="I148" s="3"/>
      <c r="J148" s="3"/>
      <c r="K148" s="3"/>
    </row>
    <row r="149" spans="1:11">
      <c r="A149" s="4" t="s">
        <v>255</v>
      </c>
      <c r="B149" s="4" t="s">
        <v>256</v>
      </c>
      <c r="C149" s="3"/>
      <c r="D149" s="3"/>
      <c r="E149" s="3"/>
      <c r="F149" s="3"/>
      <c r="G149" s="3"/>
      <c r="H149" s="3"/>
      <c r="I149" s="3"/>
      <c r="J149" s="3"/>
      <c r="K149" s="3"/>
    </row>
    <row r="150" spans="1:11">
      <c r="A150" s="4" t="s">
        <v>257</v>
      </c>
      <c r="B150" s="4" t="s">
        <v>258</v>
      </c>
      <c r="C150" s="3"/>
      <c r="D150" s="3"/>
      <c r="E150" s="3"/>
      <c r="F150" s="3"/>
      <c r="G150" s="3"/>
      <c r="H150" s="3"/>
      <c r="I150" s="3"/>
      <c r="J150" s="3"/>
      <c r="K150" s="3"/>
    </row>
    <row r="151" spans="1:11">
      <c r="A151" s="4" t="s">
        <v>259</v>
      </c>
      <c r="B151" s="4" t="s">
        <v>260</v>
      </c>
      <c r="C151" s="3"/>
      <c r="D151" s="3"/>
      <c r="E151" s="3"/>
      <c r="F151" s="3"/>
      <c r="G151" s="3"/>
      <c r="H151" s="3"/>
      <c r="I151" s="3"/>
      <c r="J151" s="3"/>
      <c r="K151" s="3"/>
    </row>
    <row r="152" spans="1:11" ht="33" customHeight="1">
      <c r="A152" s="4" t="s">
        <v>261</v>
      </c>
      <c r="B152" s="5" t="s">
        <v>262</v>
      </c>
      <c r="C152" s="3"/>
      <c r="D152" s="3"/>
      <c r="E152" s="3"/>
      <c r="F152" s="3"/>
      <c r="G152" s="3"/>
      <c r="H152" s="3"/>
      <c r="I152" s="3"/>
      <c r="J152" s="3"/>
      <c r="K152" s="3"/>
    </row>
    <row r="153" spans="1:11">
      <c r="A153" s="4" t="s">
        <v>263</v>
      </c>
      <c r="B153" s="791" t="s">
        <v>6608</v>
      </c>
      <c r="C153" s="3"/>
      <c r="D153" s="3"/>
      <c r="E153" s="3"/>
      <c r="F153" s="3"/>
      <c r="G153" s="3"/>
      <c r="H153" s="3"/>
      <c r="I153" s="3"/>
      <c r="J153" s="3"/>
      <c r="K153" s="3"/>
    </row>
    <row r="154" spans="1:11">
      <c r="A154" s="4" t="s">
        <v>264</v>
      </c>
      <c r="B154" s="4" t="s">
        <v>265</v>
      </c>
      <c r="C154" s="3"/>
      <c r="D154" s="3"/>
      <c r="E154" s="3"/>
      <c r="F154" s="3"/>
      <c r="G154" s="3"/>
      <c r="H154" s="3"/>
      <c r="I154" s="3"/>
      <c r="J154" s="3"/>
      <c r="K154" s="3"/>
    </row>
    <row r="155" spans="1:11">
      <c r="A155" s="4" t="s">
        <v>266</v>
      </c>
      <c r="B155" s="4" t="s">
        <v>267</v>
      </c>
      <c r="C155" s="3"/>
      <c r="D155" s="3"/>
      <c r="E155" s="3"/>
      <c r="F155" s="3"/>
      <c r="G155" s="3"/>
      <c r="H155" s="3"/>
      <c r="I155" s="3"/>
      <c r="J155" s="3"/>
      <c r="K155" s="3"/>
    </row>
    <row r="156" spans="1:11">
      <c r="A156" s="4" t="s">
        <v>268</v>
      </c>
      <c r="B156" s="4" t="s">
        <v>269</v>
      </c>
      <c r="C156" s="3"/>
      <c r="D156" s="3"/>
      <c r="E156" s="3"/>
      <c r="F156" s="3"/>
      <c r="G156" s="3"/>
      <c r="H156" s="3"/>
      <c r="I156" s="3"/>
      <c r="J156" s="3"/>
      <c r="K156" s="3"/>
    </row>
    <row r="157" spans="1:11">
      <c r="A157" s="4" t="s">
        <v>270</v>
      </c>
      <c r="B157" s="4" t="s">
        <v>271</v>
      </c>
      <c r="C157" s="3"/>
      <c r="D157" s="3"/>
      <c r="E157" s="3"/>
      <c r="F157" s="3"/>
      <c r="G157" s="3"/>
      <c r="H157" s="3"/>
      <c r="I157" s="3"/>
      <c r="J157" s="3"/>
      <c r="K157" s="3"/>
    </row>
    <row r="158" spans="1:11">
      <c r="A158" s="4" t="s">
        <v>272</v>
      </c>
      <c r="B158" s="4" t="s">
        <v>5967</v>
      </c>
      <c r="C158" s="3"/>
      <c r="D158" s="3"/>
      <c r="E158" s="3"/>
      <c r="F158" s="3"/>
      <c r="G158" s="3"/>
      <c r="H158" s="3"/>
      <c r="I158" s="3"/>
      <c r="J158" s="3"/>
      <c r="K158" s="3"/>
    </row>
    <row r="159" spans="1:11">
      <c r="A159" s="4" t="s">
        <v>273</v>
      </c>
      <c r="B159" s="4" t="s">
        <v>274</v>
      </c>
      <c r="C159" s="3"/>
      <c r="D159" s="3"/>
      <c r="E159" s="3"/>
      <c r="F159" s="3"/>
      <c r="G159" s="3"/>
      <c r="H159" s="3"/>
      <c r="I159" s="3"/>
      <c r="J159" s="3"/>
      <c r="K159" s="3"/>
    </row>
    <row r="160" spans="1:11">
      <c r="A160" s="4" t="s">
        <v>275</v>
      </c>
      <c r="B160" s="4" t="s">
        <v>276</v>
      </c>
      <c r="C160" s="3"/>
      <c r="D160" s="3"/>
      <c r="E160" s="3"/>
      <c r="F160" s="3"/>
      <c r="G160" s="3"/>
      <c r="H160" s="3"/>
      <c r="I160" s="3"/>
      <c r="J160" s="3"/>
      <c r="K160" s="3"/>
    </row>
    <row r="161" spans="1:11">
      <c r="A161" s="4" t="s">
        <v>277</v>
      </c>
      <c r="B161" s="4" t="s">
        <v>278</v>
      </c>
      <c r="C161" s="3"/>
      <c r="D161" s="3"/>
      <c r="E161" s="3"/>
      <c r="F161" s="3"/>
      <c r="G161" s="3"/>
      <c r="H161" s="3"/>
      <c r="I161" s="3"/>
      <c r="J161" s="3"/>
      <c r="K161" s="3"/>
    </row>
    <row r="162" spans="1:11">
      <c r="A162" s="4" t="s">
        <v>279</v>
      </c>
      <c r="B162" s="4" t="s">
        <v>280</v>
      </c>
      <c r="C162" s="3"/>
      <c r="D162" s="3"/>
      <c r="E162" s="3"/>
      <c r="F162" s="3"/>
      <c r="G162" s="3"/>
      <c r="H162" s="3"/>
      <c r="I162" s="3"/>
      <c r="J162" s="3"/>
      <c r="K162" s="3"/>
    </row>
    <row r="163" spans="1:11">
      <c r="A163" s="4" t="s">
        <v>281</v>
      </c>
      <c r="B163" s="4" t="s">
        <v>282</v>
      </c>
      <c r="C163" s="3"/>
      <c r="D163" s="3"/>
      <c r="E163" s="3"/>
      <c r="F163" s="3"/>
      <c r="G163" s="3"/>
      <c r="H163" s="3"/>
      <c r="I163" s="3"/>
      <c r="J163" s="3"/>
      <c r="K163" s="3"/>
    </row>
    <row r="164" spans="1:11">
      <c r="A164" s="4" t="s">
        <v>283</v>
      </c>
      <c r="B164" s="4" t="s">
        <v>284</v>
      </c>
      <c r="C164" s="3"/>
      <c r="D164" s="3"/>
      <c r="E164" s="3"/>
      <c r="F164" s="3"/>
      <c r="G164" s="3"/>
      <c r="H164" s="3"/>
      <c r="I164" s="3"/>
      <c r="J164" s="3"/>
      <c r="K164" s="3"/>
    </row>
    <row r="165" spans="1:11">
      <c r="A165" s="4" t="s">
        <v>285</v>
      </c>
      <c r="B165" s="4" t="s">
        <v>286</v>
      </c>
      <c r="C165" s="3"/>
      <c r="D165" s="3"/>
      <c r="E165" s="3"/>
      <c r="F165" s="3"/>
      <c r="G165" s="3"/>
      <c r="H165" s="3"/>
      <c r="I165" s="3"/>
      <c r="J165" s="3"/>
      <c r="K165" s="3"/>
    </row>
    <row r="166" spans="1:11">
      <c r="A166" s="4" t="s">
        <v>287</v>
      </c>
      <c r="B166" s="4" t="s">
        <v>288</v>
      </c>
      <c r="C166" s="3"/>
      <c r="D166" s="3"/>
      <c r="E166" s="3"/>
      <c r="F166" s="3"/>
      <c r="G166" s="3"/>
      <c r="H166" s="3"/>
      <c r="I166" s="3"/>
      <c r="J166" s="3"/>
      <c r="K166" s="3"/>
    </row>
    <row r="167" spans="1:11">
      <c r="A167" s="4" t="s">
        <v>289</v>
      </c>
      <c r="B167" s="4" t="s">
        <v>290</v>
      </c>
      <c r="C167" s="3"/>
      <c r="D167" s="3"/>
      <c r="E167" s="3"/>
      <c r="F167" s="3"/>
      <c r="G167" s="3"/>
      <c r="H167" s="3"/>
      <c r="I167" s="3"/>
      <c r="J167" s="3"/>
      <c r="K167" s="3"/>
    </row>
    <row r="168" spans="1:11">
      <c r="A168" s="4" t="s">
        <v>291</v>
      </c>
      <c r="B168" s="4" t="s">
        <v>292</v>
      </c>
      <c r="C168" s="3"/>
      <c r="D168" s="3"/>
      <c r="E168" s="3"/>
      <c r="F168" s="3"/>
      <c r="G168" s="3"/>
      <c r="H168" s="3"/>
      <c r="I168" s="3"/>
      <c r="J168" s="3"/>
      <c r="K168" s="3"/>
    </row>
    <row r="169" spans="1:11">
      <c r="A169" s="4" t="s">
        <v>293</v>
      </c>
      <c r="B169" s="4" t="s">
        <v>294</v>
      </c>
      <c r="C169" s="3"/>
      <c r="D169" s="3"/>
      <c r="E169" s="3"/>
      <c r="F169" s="3"/>
      <c r="G169" s="3"/>
      <c r="H169" s="3"/>
      <c r="I169" s="3"/>
      <c r="J169" s="3"/>
      <c r="K169" s="3"/>
    </row>
    <row r="170" spans="1:11">
      <c r="A170" s="4" t="s">
        <v>295</v>
      </c>
      <c r="B170" s="4" t="s">
        <v>296</v>
      </c>
      <c r="C170" s="3"/>
      <c r="D170" s="3"/>
      <c r="E170" s="3"/>
      <c r="F170" s="3"/>
      <c r="G170" s="3"/>
      <c r="H170" s="3"/>
      <c r="I170" s="3"/>
      <c r="J170" s="3"/>
      <c r="K170" s="3"/>
    </row>
    <row r="171" spans="1:11">
      <c r="A171" s="4" t="s">
        <v>297</v>
      </c>
      <c r="B171" s="4" t="s">
        <v>298</v>
      </c>
      <c r="C171" s="3"/>
      <c r="D171" s="3"/>
      <c r="E171" s="3"/>
      <c r="F171" s="3"/>
      <c r="G171" s="3"/>
      <c r="H171" s="3"/>
      <c r="I171" s="3"/>
      <c r="J171" s="3"/>
      <c r="K171" s="3"/>
    </row>
    <row r="172" spans="1:11">
      <c r="A172" s="4" t="s">
        <v>299</v>
      </c>
      <c r="B172" s="4" t="s">
        <v>300</v>
      </c>
      <c r="C172" s="3"/>
      <c r="D172" s="3"/>
      <c r="E172" s="3"/>
      <c r="F172" s="3"/>
      <c r="G172" s="3"/>
      <c r="H172" s="3"/>
      <c r="I172" s="3"/>
      <c r="J172" s="3"/>
      <c r="K172" s="3"/>
    </row>
    <row r="173" spans="1:11">
      <c r="A173" s="4" t="s">
        <v>301</v>
      </c>
      <c r="B173" s="4" t="s">
        <v>302</v>
      </c>
      <c r="C173" s="3"/>
      <c r="D173" s="3"/>
      <c r="E173" s="3"/>
      <c r="F173" s="3"/>
      <c r="G173" s="3"/>
      <c r="H173" s="3"/>
      <c r="I173" s="3"/>
      <c r="J173" s="3"/>
      <c r="K173" s="3"/>
    </row>
    <row r="174" spans="1:11">
      <c r="A174" s="4" t="s">
        <v>303</v>
      </c>
      <c r="B174" s="4" t="s">
        <v>304</v>
      </c>
      <c r="C174" s="3"/>
      <c r="D174" s="3"/>
      <c r="E174" s="3"/>
      <c r="F174" s="3"/>
      <c r="G174" s="3"/>
      <c r="H174" s="3"/>
      <c r="I174" s="3"/>
      <c r="J174" s="3"/>
      <c r="K174" s="3"/>
    </row>
    <row r="175" spans="1:11">
      <c r="A175" s="4" t="s">
        <v>305</v>
      </c>
      <c r="B175" s="4" t="s">
        <v>306</v>
      </c>
      <c r="C175" s="3"/>
      <c r="D175" s="3"/>
      <c r="E175" s="3"/>
      <c r="F175" s="3"/>
      <c r="G175" s="3"/>
      <c r="H175" s="3"/>
      <c r="I175" s="3"/>
      <c r="J175" s="3"/>
      <c r="K175" s="3"/>
    </row>
    <row r="176" spans="1:11">
      <c r="A176" s="4" t="s">
        <v>307</v>
      </c>
      <c r="B176" s="4" t="s">
        <v>308</v>
      </c>
      <c r="C176" s="3"/>
      <c r="D176" s="3"/>
      <c r="E176" s="3"/>
      <c r="F176" s="3"/>
      <c r="G176" s="3"/>
      <c r="H176" s="3"/>
      <c r="I176" s="3"/>
      <c r="J176" s="3"/>
      <c r="K176" s="3"/>
    </row>
    <row r="177" spans="1:11">
      <c r="A177" s="4" t="s">
        <v>5958</v>
      </c>
      <c r="B177" s="4" t="s">
        <v>5959</v>
      </c>
      <c r="C177" s="769"/>
      <c r="D177" s="769"/>
      <c r="E177" s="769"/>
      <c r="F177" s="769"/>
      <c r="G177" s="769"/>
      <c r="H177" s="769"/>
      <c r="I177" s="769"/>
      <c r="J177" s="769"/>
      <c r="K177" s="769"/>
    </row>
    <row r="178" spans="1:11">
      <c r="A178" s="4" t="s">
        <v>309</v>
      </c>
      <c r="B178" s="4" t="s">
        <v>5941</v>
      </c>
      <c r="C178" s="3"/>
      <c r="D178" s="3"/>
      <c r="E178" s="3"/>
      <c r="F178" s="3"/>
      <c r="G178" s="3"/>
      <c r="H178" s="3"/>
      <c r="I178" s="3"/>
      <c r="J178" s="3"/>
      <c r="K178" s="3"/>
    </row>
    <row r="179" spans="1:11">
      <c r="A179" s="4" t="s">
        <v>5953</v>
      </c>
      <c r="B179" s="4" t="s">
        <v>5960</v>
      </c>
      <c r="C179" s="769"/>
      <c r="D179" s="769"/>
      <c r="E179" s="769"/>
      <c r="F179" s="769"/>
      <c r="G179" s="769"/>
      <c r="H179" s="769"/>
      <c r="I179" s="769"/>
      <c r="J179" s="769"/>
      <c r="K179" s="769"/>
    </row>
    <row r="180" spans="1:11">
      <c r="A180" s="4" t="s">
        <v>5954</v>
      </c>
      <c r="B180" s="4" t="s">
        <v>5962</v>
      </c>
      <c r="C180" s="769"/>
      <c r="D180" s="769"/>
      <c r="E180" s="769"/>
      <c r="F180" s="769"/>
      <c r="G180" s="769"/>
      <c r="H180" s="769"/>
      <c r="I180" s="769"/>
      <c r="J180" s="769"/>
      <c r="K180" s="769"/>
    </row>
    <row r="181" spans="1:11">
      <c r="A181" s="4" t="s">
        <v>5955</v>
      </c>
      <c r="B181" s="4" t="s">
        <v>5961</v>
      </c>
      <c r="C181" s="769"/>
      <c r="D181" s="769"/>
      <c r="E181" s="769"/>
      <c r="F181" s="769"/>
      <c r="G181" s="769"/>
      <c r="H181" s="769"/>
      <c r="I181" s="769"/>
      <c r="J181" s="769"/>
      <c r="K181" s="769"/>
    </row>
    <row r="182" spans="1:11">
      <c r="A182" s="5" t="s">
        <v>310</v>
      </c>
      <c r="B182" s="4" t="s">
        <v>311</v>
      </c>
      <c r="C182" s="3"/>
      <c r="D182" s="3"/>
      <c r="E182" s="3"/>
      <c r="F182" s="3"/>
      <c r="G182" s="3"/>
      <c r="H182" s="3"/>
      <c r="I182" s="3"/>
      <c r="J182" s="3"/>
      <c r="K182" s="3"/>
    </row>
    <row r="183" spans="1:11">
      <c r="A183" s="4" t="s">
        <v>312</v>
      </c>
      <c r="B183" s="4" t="s">
        <v>313</v>
      </c>
      <c r="C183" s="3"/>
      <c r="D183" s="3"/>
      <c r="E183" s="3"/>
      <c r="F183" s="3"/>
      <c r="G183" s="3"/>
      <c r="H183" s="3"/>
      <c r="I183" s="3"/>
      <c r="J183" s="3"/>
      <c r="K183" s="3"/>
    </row>
    <row r="184" spans="1:11">
      <c r="A184" s="5" t="s">
        <v>314</v>
      </c>
      <c r="B184" s="4" t="s">
        <v>315</v>
      </c>
      <c r="C184" s="3"/>
      <c r="D184" s="3"/>
      <c r="E184" s="3"/>
      <c r="F184" s="3"/>
      <c r="G184" s="3"/>
      <c r="H184" s="3"/>
      <c r="I184" s="3"/>
      <c r="J184" s="3"/>
      <c r="K184" s="3"/>
    </row>
    <row r="185" spans="1:11">
      <c r="A185" s="5" t="s">
        <v>6629</v>
      </c>
      <c r="B185" s="4" t="s">
        <v>6630</v>
      </c>
      <c r="C185" s="792"/>
      <c r="D185" s="792"/>
      <c r="E185" s="792"/>
      <c r="F185" s="792"/>
      <c r="G185" s="792"/>
      <c r="H185" s="792"/>
      <c r="I185" s="792"/>
      <c r="J185" s="792"/>
      <c r="K185" s="792"/>
    </row>
    <row r="186" spans="1:11">
      <c r="A186" s="5" t="s">
        <v>5964</v>
      </c>
      <c r="B186" s="4" t="s">
        <v>5965</v>
      </c>
      <c r="C186" s="769"/>
      <c r="D186" s="769"/>
      <c r="E186" s="769"/>
      <c r="F186" s="769"/>
      <c r="G186" s="769"/>
      <c r="H186" s="769"/>
      <c r="I186" s="769"/>
      <c r="J186" s="769"/>
      <c r="K186" s="769"/>
    </row>
    <row r="187" spans="1:11" ht="15.45">
      <c r="A187" s="12"/>
      <c r="B187" s="3"/>
      <c r="C187" s="3"/>
      <c r="D187" s="3"/>
      <c r="E187" s="3"/>
      <c r="F187" s="3"/>
      <c r="G187" s="3"/>
      <c r="H187" s="3"/>
      <c r="I187" s="3"/>
      <c r="J187" s="3"/>
      <c r="K187" s="3"/>
    </row>
    <row r="188" spans="1:11" ht="15.45">
      <c r="A188" s="2" t="s">
        <v>316</v>
      </c>
      <c r="B188" s="4" t="s">
        <v>317</v>
      </c>
      <c r="C188" s="3"/>
      <c r="D188" s="3"/>
      <c r="E188" s="3"/>
      <c r="F188" s="3"/>
      <c r="G188" s="3"/>
      <c r="H188" s="3"/>
      <c r="I188" s="3"/>
      <c r="J188" s="3"/>
      <c r="K188" s="3"/>
    </row>
    <row r="189" spans="1:11" ht="15.45">
      <c r="A189" s="2" t="s">
        <v>318</v>
      </c>
      <c r="B189" s="4" t="s">
        <v>319</v>
      </c>
      <c r="C189" s="3"/>
      <c r="D189" s="3"/>
      <c r="E189" s="3"/>
      <c r="F189" s="3"/>
      <c r="G189" s="3"/>
      <c r="H189" s="3"/>
      <c r="I189" s="3"/>
      <c r="J189" s="3"/>
      <c r="K189" s="3"/>
    </row>
    <row r="190" spans="1:11" ht="15.45">
      <c r="A190" s="2" t="s">
        <v>320</v>
      </c>
      <c r="B190" s="4" t="s">
        <v>321</v>
      </c>
      <c r="C190" s="3"/>
      <c r="D190" s="3"/>
      <c r="E190" s="3"/>
      <c r="F190" s="3"/>
      <c r="G190" s="3"/>
      <c r="H190" s="3"/>
      <c r="I190" s="3"/>
      <c r="J190" s="3"/>
      <c r="K190" s="3"/>
    </row>
    <row r="191" spans="1:11" ht="15.45">
      <c r="A191" s="2" t="s">
        <v>322</v>
      </c>
      <c r="B191" s="4" t="s">
        <v>323</v>
      </c>
      <c r="C191" s="3"/>
      <c r="D191" s="3"/>
      <c r="E191" s="3"/>
      <c r="F191" s="3"/>
      <c r="G191" s="3"/>
      <c r="H191" s="3"/>
      <c r="I191" s="3"/>
      <c r="J191" s="3"/>
      <c r="K191" s="3"/>
    </row>
    <row r="192" spans="1:11">
      <c r="A192" s="4" t="s">
        <v>324</v>
      </c>
      <c r="B192" s="4" t="s">
        <v>325</v>
      </c>
      <c r="C192" s="3"/>
      <c r="D192" s="3"/>
      <c r="E192" s="3"/>
      <c r="F192" s="3"/>
      <c r="G192" s="3"/>
      <c r="H192" s="3"/>
      <c r="I192" s="3"/>
      <c r="J192" s="3"/>
      <c r="K192" s="3"/>
    </row>
    <row r="193" spans="1:11">
      <c r="A193" s="4" t="s">
        <v>326</v>
      </c>
      <c r="B193" s="4" t="s">
        <v>327</v>
      </c>
      <c r="C193" s="3"/>
      <c r="D193" s="3"/>
      <c r="E193" s="3"/>
      <c r="F193" s="3"/>
      <c r="G193" s="3"/>
      <c r="H193" s="3"/>
      <c r="I193" s="3"/>
      <c r="J193" s="3"/>
      <c r="K193" s="3"/>
    </row>
    <row r="194" spans="1:11">
      <c r="A194" s="4" t="s">
        <v>328</v>
      </c>
      <c r="B194" s="4" t="s">
        <v>329</v>
      </c>
      <c r="C194" s="3"/>
      <c r="D194" s="3"/>
      <c r="E194" s="3"/>
      <c r="F194" s="3"/>
      <c r="G194" s="3"/>
      <c r="H194" s="3"/>
      <c r="I194" s="3"/>
      <c r="J194" s="3"/>
      <c r="K194" s="3"/>
    </row>
    <row r="195" spans="1:11">
      <c r="A195" s="4" t="s">
        <v>330</v>
      </c>
      <c r="B195" s="4" t="s">
        <v>331</v>
      </c>
      <c r="C195" s="3"/>
      <c r="D195" s="3"/>
      <c r="E195" s="3"/>
      <c r="F195" s="3"/>
      <c r="G195" s="3"/>
      <c r="H195" s="3"/>
      <c r="I195" s="3"/>
      <c r="J195" s="3"/>
      <c r="K195" s="3"/>
    </row>
    <row r="196" spans="1:11">
      <c r="A196" s="4" t="s">
        <v>332</v>
      </c>
      <c r="B196" s="4" t="s">
        <v>333</v>
      </c>
      <c r="C196" s="3"/>
      <c r="D196" s="3"/>
      <c r="E196" s="3"/>
      <c r="F196" s="3"/>
      <c r="G196" s="3"/>
      <c r="H196" s="3"/>
      <c r="I196" s="3"/>
      <c r="J196" s="3"/>
      <c r="K196" s="3"/>
    </row>
    <row r="197" spans="1:11" ht="15.45">
      <c r="A197" s="12"/>
      <c r="B197" s="3"/>
      <c r="C197" s="3"/>
      <c r="D197" s="3"/>
      <c r="E197" s="3"/>
      <c r="F197" s="3"/>
      <c r="G197" s="3"/>
      <c r="H197" s="3"/>
      <c r="I197" s="3"/>
      <c r="J197" s="3"/>
      <c r="K197" s="3"/>
    </row>
    <row r="198" spans="1:11" ht="15.45">
      <c r="A198" s="2" t="s">
        <v>334</v>
      </c>
      <c r="B198" s="4" t="s">
        <v>335</v>
      </c>
      <c r="C198" s="3"/>
      <c r="D198" s="3"/>
      <c r="E198" s="3"/>
      <c r="F198" s="3"/>
      <c r="G198" s="3"/>
      <c r="H198" s="3"/>
      <c r="I198" s="3"/>
      <c r="J198" s="3"/>
      <c r="K198" s="3"/>
    </row>
    <row r="199" spans="1:11" ht="15.45">
      <c r="A199" s="2" t="s">
        <v>336</v>
      </c>
      <c r="B199" s="4" t="s">
        <v>5943</v>
      </c>
      <c r="C199" s="3"/>
      <c r="D199" s="3"/>
      <c r="E199" s="3"/>
      <c r="F199" s="3"/>
      <c r="G199" s="3"/>
      <c r="H199" s="3"/>
      <c r="I199" s="3"/>
      <c r="J199" s="3"/>
      <c r="K199" s="3"/>
    </row>
    <row r="200" spans="1:11" ht="15.45">
      <c r="A200" s="2" t="s">
        <v>337</v>
      </c>
      <c r="B200" s="4" t="s">
        <v>338</v>
      </c>
      <c r="C200" s="3"/>
      <c r="D200" s="3"/>
      <c r="E200" s="3"/>
      <c r="F200" s="3"/>
      <c r="G200" s="3"/>
      <c r="H200" s="3"/>
      <c r="I200" s="3"/>
      <c r="J200" s="3"/>
      <c r="K200" s="3"/>
    </row>
    <row r="201" spans="1:11" ht="15.45">
      <c r="A201" s="10"/>
      <c r="B201" s="3"/>
      <c r="C201" s="3"/>
      <c r="D201" s="3"/>
      <c r="E201" s="3"/>
      <c r="F201" s="3"/>
      <c r="G201" s="3"/>
      <c r="H201" s="3"/>
      <c r="I201" s="3"/>
      <c r="J201" s="3"/>
      <c r="K201" s="3"/>
    </row>
    <row r="202" spans="1:11" ht="15.45">
      <c r="A202" s="2" t="s">
        <v>339</v>
      </c>
      <c r="B202" s="4" t="s">
        <v>5942</v>
      </c>
      <c r="C202" s="3"/>
      <c r="D202" s="3"/>
      <c r="E202" s="3"/>
      <c r="F202" s="3"/>
      <c r="G202" s="3"/>
      <c r="H202" s="3"/>
      <c r="I202" s="3"/>
      <c r="J202" s="3"/>
      <c r="K202" s="3"/>
    </row>
    <row r="203" spans="1:11" ht="15.45">
      <c r="A203" s="2" t="b">
        <v>1</v>
      </c>
      <c r="B203" s="4" t="s">
        <v>340</v>
      </c>
      <c r="C203" s="3"/>
      <c r="D203" s="3"/>
      <c r="E203" s="3"/>
      <c r="F203" s="3"/>
      <c r="G203" s="3"/>
      <c r="H203" s="3"/>
      <c r="I203" s="3"/>
      <c r="J203" s="3"/>
      <c r="K203" s="3"/>
    </row>
    <row r="204" spans="1:11" ht="15.45">
      <c r="A204" s="2" t="s">
        <v>341</v>
      </c>
      <c r="B204" s="4" t="s">
        <v>342</v>
      </c>
      <c r="C204" s="3"/>
      <c r="D204" s="3"/>
      <c r="E204" s="3"/>
      <c r="F204" s="3"/>
      <c r="G204" s="3"/>
      <c r="H204" s="3"/>
      <c r="I204" s="3"/>
      <c r="J204" s="3"/>
      <c r="K204" s="3"/>
    </row>
    <row r="205" spans="1:11" ht="15.45">
      <c r="A205" s="2" t="s">
        <v>343</v>
      </c>
      <c r="B205" s="4" t="s">
        <v>344</v>
      </c>
      <c r="C205" s="3"/>
      <c r="D205" s="3"/>
      <c r="E205" s="3"/>
      <c r="F205" s="3"/>
      <c r="G205" s="3"/>
      <c r="H205" s="3"/>
      <c r="I205" s="3"/>
      <c r="J205" s="3"/>
      <c r="K205" s="3"/>
    </row>
    <row r="206" spans="1:11" ht="15.45">
      <c r="A206" s="2" t="s">
        <v>345</v>
      </c>
      <c r="B206" s="4" t="s">
        <v>346</v>
      </c>
      <c r="C206" s="3"/>
      <c r="D206" s="3"/>
      <c r="E206" s="3"/>
      <c r="F206" s="3"/>
      <c r="G206" s="3"/>
      <c r="H206" s="3"/>
      <c r="I206" s="3"/>
      <c r="J206" s="3"/>
      <c r="K206" s="3"/>
    </row>
    <row r="207" spans="1:11" ht="15.45">
      <c r="A207" s="2" t="s">
        <v>347</v>
      </c>
      <c r="B207" s="4" t="s">
        <v>348</v>
      </c>
      <c r="C207" s="3"/>
      <c r="D207" s="3"/>
      <c r="E207" s="3"/>
      <c r="F207" s="3"/>
      <c r="G207" s="3"/>
      <c r="H207" s="3"/>
      <c r="I207" s="3"/>
      <c r="J207" s="3"/>
      <c r="K207" s="3"/>
    </row>
    <row r="208" spans="1:11" ht="15.45">
      <c r="A208" s="2" t="s">
        <v>349</v>
      </c>
      <c r="B208" s="4" t="s">
        <v>350</v>
      </c>
      <c r="C208" s="3"/>
      <c r="D208" s="3"/>
      <c r="E208" s="3"/>
      <c r="F208" s="3"/>
      <c r="G208" s="3"/>
      <c r="H208" s="3"/>
      <c r="I208" s="3"/>
      <c r="J208" s="3"/>
      <c r="K208" s="3"/>
    </row>
    <row r="209" spans="1:11" ht="15.45">
      <c r="A209" s="2" t="s">
        <v>351</v>
      </c>
      <c r="B209" s="5" t="s">
        <v>352</v>
      </c>
      <c r="C209" s="3"/>
      <c r="D209" s="3"/>
      <c r="E209" s="3"/>
      <c r="F209" s="3"/>
      <c r="G209" s="3"/>
      <c r="H209" s="3"/>
      <c r="I209" s="3"/>
      <c r="J209" s="3"/>
      <c r="K209" s="3"/>
    </row>
    <row r="210" spans="1:11" ht="15.45">
      <c r="A210" s="2" t="s">
        <v>353</v>
      </c>
      <c r="B210" s="4" t="s">
        <v>354</v>
      </c>
      <c r="C210" s="3"/>
      <c r="D210" s="3"/>
      <c r="E210" s="3"/>
      <c r="F210" s="3"/>
      <c r="G210" s="3"/>
      <c r="H210" s="3"/>
      <c r="I210" s="3"/>
      <c r="J210" s="3"/>
      <c r="K210" s="3"/>
    </row>
    <row r="211" spans="1:11" ht="15.45">
      <c r="A211" s="2" t="s">
        <v>355</v>
      </c>
      <c r="B211" s="5" t="s">
        <v>356</v>
      </c>
      <c r="C211" s="3"/>
      <c r="D211" s="3"/>
      <c r="E211" s="3"/>
      <c r="F211" s="3"/>
      <c r="G211" s="3"/>
      <c r="H211" s="3"/>
      <c r="I211" s="3"/>
      <c r="J211" s="3"/>
      <c r="K211" s="3"/>
    </row>
    <row r="212" spans="1:11" ht="15.45">
      <c r="A212" s="2" t="s">
        <v>357</v>
      </c>
      <c r="B212" s="4" t="s">
        <v>358</v>
      </c>
      <c r="C212" s="3"/>
      <c r="D212" s="3"/>
      <c r="E212" s="3"/>
      <c r="F212" s="3"/>
      <c r="G212" s="3"/>
      <c r="H212" s="3"/>
      <c r="I212" s="3"/>
      <c r="J212" s="3"/>
      <c r="K212" s="3"/>
    </row>
    <row r="213" spans="1:11" ht="15.45">
      <c r="A213" s="2" t="s">
        <v>359</v>
      </c>
      <c r="B213" s="4" t="s">
        <v>360</v>
      </c>
      <c r="C213" s="3"/>
      <c r="D213" s="3"/>
      <c r="E213" s="3"/>
      <c r="F213" s="3"/>
      <c r="G213" s="3"/>
      <c r="H213" s="3"/>
      <c r="I213" s="3"/>
      <c r="J213" s="3"/>
      <c r="K213" s="3"/>
    </row>
    <row r="214" spans="1:11" ht="15.45">
      <c r="A214" s="2" t="s">
        <v>361</v>
      </c>
      <c r="B214" s="4" t="s">
        <v>362</v>
      </c>
      <c r="C214" s="3"/>
      <c r="D214" s="3"/>
      <c r="E214" s="3"/>
      <c r="F214" s="3"/>
      <c r="G214" s="3"/>
      <c r="H214" s="3"/>
      <c r="I214" s="3"/>
      <c r="J214" s="3"/>
      <c r="K214" s="3"/>
    </row>
    <row r="215" spans="1:11" ht="16.5" customHeight="1">
      <c r="A215" s="2" t="s">
        <v>363</v>
      </c>
      <c r="B215" s="5" t="s">
        <v>364</v>
      </c>
      <c r="C215" s="3"/>
      <c r="D215" s="3"/>
      <c r="E215" s="3"/>
      <c r="F215" s="3"/>
      <c r="G215" s="3"/>
      <c r="H215" s="3"/>
      <c r="I215" s="3"/>
      <c r="J215" s="3"/>
      <c r="K215" s="3"/>
    </row>
    <row r="216" spans="1:11" ht="15.45">
      <c r="A216" s="2" t="s">
        <v>365</v>
      </c>
      <c r="B216" s="5" t="s">
        <v>366</v>
      </c>
      <c r="C216" s="3"/>
      <c r="D216" s="3"/>
      <c r="E216" s="3"/>
      <c r="F216" s="3"/>
      <c r="G216" s="3"/>
      <c r="H216" s="3"/>
      <c r="I216" s="3"/>
      <c r="J216" s="3"/>
      <c r="K216" s="3"/>
    </row>
    <row r="217" spans="1:11" ht="15.45">
      <c r="A217" s="2" t="s">
        <v>367</v>
      </c>
      <c r="B217" s="5" t="s">
        <v>368</v>
      </c>
      <c r="C217" s="3"/>
      <c r="D217" s="3"/>
      <c r="E217" s="3"/>
      <c r="F217" s="3"/>
      <c r="G217" s="3"/>
      <c r="H217" s="3"/>
      <c r="I217" s="3"/>
      <c r="J217" s="3"/>
      <c r="K217" s="3"/>
    </row>
    <row r="218" spans="1:11" ht="15.45">
      <c r="A218" s="2" t="s">
        <v>369</v>
      </c>
      <c r="B218" s="5" t="s">
        <v>370</v>
      </c>
      <c r="C218" s="3"/>
      <c r="D218" s="3"/>
      <c r="E218" s="3"/>
      <c r="F218" s="3"/>
      <c r="G218" s="3"/>
      <c r="H218" s="3"/>
      <c r="I218" s="3"/>
      <c r="J218" s="3"/>
      <c r="K218" s="3"/>
    </row>
    <row r="219" spans="1:11" ht="15.45">
      <c r="A219" s="2" t="s">
        <v>371</v>
      </c>
      <c r="B219" s="4" t="s">
        <v>372</v>
      </c>
      <c r="C219" s="3"/>
      <c r="D219" s="3"/>
      <c r="E219" s="3"/>
      <c r="F219" s="3"/>
      <c r="G219" s="3"/>
      <c r="H219" s="3"/>
      <c r="I219" s="3"/>
      <c r="J219" s="3"/>
      <c r="K219" s="3"/>
    </row>
    <row r="220" spans="1:11" ht="15.45">
      <c r="A220" s="2" t="s">
        <v>373</v>
      </c>
      <c r="B220" s="5" t="s">
        <v>374</v>
      </c>
      <c r="C220" s="3"/>
      <c r="D220" s="3"/>
      <c r="E220" s="3"/>
      <c r="F220" s="3"/>
      <c r="G220" s="3"/>
      <c r="H220" s="3"/>
      <c r="I220" s="3"/>
      <c r="J220" s="3"/>
      <c r="K220" s="3"/>
    </row>
    <row r="221" spans="1:11" ht="15.45">
      <c r="A221" s="2" t="s">
        <v>375</v>
      </c>
      <c r="B221" s="5" t="s">
        <v>376</v>
      </c>
      <c r="C221" s="3"/>
      <c r="D221" s="3"/>
      <c r="E221" s="3"/>
      <c r="F221" s="3"/>
      <c r="G221" s="3"/>
      <c r="H221" s="3"/>
      <c r="I221" s="3"/>
      <c r="J221" s="3"/>
      <c r="K221" s="3"/>
    </row>
    <row r="222" spans="1:11" ht="15.45">
      <c r="A222" s="2" t="s">
        <v>377</v>
      </c>
      <c r="B222" s="5" t="s">
        <v>378</v>
      </c>
      <c r="C222" s="3"/>
      <c r="D222" s="3"/>
      <c r="E222" s="3"/>
      <c r="F222" s="3"/>
      <c r="G222" s="3"/>
      <c r="H222" s="3"/>
      <c r="I222" s="3"/>
      <c r="J222" s="3"/>
      <c r="K222" s="3"/>
    </row>
    <row r="223" spans="1:11" ht="15.45">
      <c r="A223" s="2" t="s">
        <v>379</v>
      </c>
      <c r="B223" s="5" t="s">
        <v>380</v>
      </c>
      <c r="C223" s="3"/>
      <c r="D223" s="3"/>
      <c r="E223" s="3"/>
      <c r="F223" s="3"/>
      <c r="G223" s="3"/>
      <c r="H223" s="3"/>
      <c r="I223" s="3"/>
      <c r="J223" s="3"/>
      <c r="K223" s="3"/>
    </row>
    <row r="224" spans="1:11" ht="15.45">
      <c r="A224" s="2" t="s">
        <v>381</v>
      </c>
      <c r="B224" s="5" t="s">
        <v>382</v>
      </c>
      <c r="C224" s="3"/>
      <c r="D224" s="3"/>
      <c r="E224" s="3"/>
      <c r="F224" s="3"/>
      <c r="G224" s="3"/>
      <c r="H224" s="3"/>
      <c r="I224" s="3"/>
      <c r="J224" s="3"/>
      <c r="K224" s="3"/>
    </row>
    <row r="225" spans="1:11" ht="15.45">
      <c r="A225" s="2" t="s">
        <v>383</v>
      </c>
      <c r="B225" s="4" t="s">
        <v>384</v>
      </c>
      <c r="C225" s="3"/>
      <c r="D225" s="3"/>
      <c r="E225" s="3"/>
      <c r="F225" s="3"/>
      <c r="G225" s="3"/>
      <c r="H225" s="3"/>
      <c r="I225" s="3"/>
      <c r="J225" s="3"/>
      <c r="K225" s="3"/>
    </row>
    <row r="226" spans="1:11" ht="15.45">
      <c r="A226" s="2" t="s">
        <v>385</v>
      </c>
      <c r="B226" s="5" t="s">
        <v>386</v>
      </c>
      <c r="C226" s="3"/>
      <c r="D226" s="3"/>
      <c r="E226" s="3"/>
      <c r="F226" s="3"/>
      <c r="G226" s="3"/>
      <c r="H226" s="3"/>
      <c r="I226" s="3"/>
      <c r="J226" s="3"/>
      <c r="K226" s="3"/>
    </row>
    <row r="227" spans="1:11" ht="15.45">
      <c r="A227" s="2" t="s">
        <v>387</v>
      </c>
      <c r="B227" s="5" t="s">
        <v>388</v>
      </c>
      <c r="C227" s="3"/>
      <c r="D227" s="3"/>
      <c r="E227" s="3"/>
      <c r="F227" s="3"/>
      <c r="G227" s="3"/>
      <c r="H227" s="3"/>
      <c r="I227" s="3"/>
      <c r="J227" s="3"/>
      <c r="K227" s="3"/>
    </row>
    <row r="228" spans="1:11" ht="30.45">
      <c r="A228" s="2" t="s">
        <v>389</v>
      </c>
      <c r="B228" s="5" t="s">
        <v>390</v>
      </c>
      <c r="C228" s="3"/>
      <c r="D228" s="3"/>
      <c r="E228" s="3"/>
      <c r="F228" s="3"/>
      <c r="G228" s="3"/>
      <c r="H228" s="3"/>
      <c r="I228" s="3"/>
      <c r="J228" s="3"/>
      <c r="K228" s="3"/>
    </row>
    <row r="229" spans="1:11" ht="15.45">
      <c r="A229" s="2" t="s">
        <v>391</v>
      </c>
      <c r="B229" s="5" t="s">
        <v>392</v>
      </c>
      <c r="C229" s="3"/>
      <c r="D229" s="3"/>
      <c r="E229" s="3"/>
      <c r="F229" s="3"/>
      <c r="G229" s="3"/>
      <c r="H229" s="3"/>
      <c r="I229" s="3"/>
      <c r="J229" s="3"/>
      <c r="K229" s="3"/>
    </row>
    <row r="230" spans="1:11" ht="15.45">
      <c r="A230" s="2" t="s">
        <v>393</v>
      </c>
      <c r="B230" s="5" t="s">
        <v>394</v>
      </c>
      <c r="C230" s="3"/>
      <c r="D230" s="3"/>
      <c r="E230" s="3"/>
      <c r="F230" s="3"/>
      <c r="G230" s="3"/>
      <c r="H230" s="3"/>
      <c r="I230" s="3"/>
      <c r="J230" s="3"/>
      <c r="K230" s="3"/>
    </row>
    <row r="231" spans="1:11" ht="15.45">
      <c r="A231" s="2" t="s">
        <v>395</v>
      </c>
      <c r="B231" s="4" t="s">
        <v>396</v>
      </c>
      <c r="C231" s="3"/>
      <c r="D231" s="3"/>
      <c r="E231" s="3"/>
      <c r="F231" s="3"/>
      <c r="G231" s="3"/>
      <c r="H231" s="3"/>
      <c r="I231" s="3"/>
      <c r="J231" s="3"/>
      <c r="K231" s="3"/>
    </row>
    <row r="232" spans="1:11" ht="15.45">
      <c r="A232" s="2" t="s">
        <v>397</v>
      </c>
      <c r="B232" s="5" t="s">
        <v>398</v>
      </c>
      <c r="C232" s="3"/>
      <c r="D232" s="3"/>
      <c r="E232" s="3"/>
      <c r="F232" s="3"/>
      <c r="G232" s="3"/>
      <c r="H232" s="3"/>
      <c r="I232" s="3"/>
      <c r="J232" s="3"/>
      <c r="K232" s="3"/>
    </row>
    <row r="233" spans="1:11" ht="15.45">
      <c r="A233" s="2" t="s">
        <v>399</v>
      </c>
      <c r="B233" s="4" t="s">
        <v>400</v>
      </c>
      <c r="C233" s="3"/>
      <c r="D233" s="3"/>
      <c r="E233" s="3"/>
      <c r="F233" s="3"/>
      <c r="G233" s="3"/>
      <c r="H233" s="3"/>
      <c r="I233" s="3"/>
      <c r="J233" s="3"/>
      <c r="K233" s="3"/>
    </row>
    <row r="234" spans="1:11" ht="15.45">
      <c r="A234" s="2" t="s">
        <v>401</v>
      </c>
      <c r="B234" s="5" t="s">
        <v>402</v>
      </c>
      <c r="C234" s="3"/>
      <c r="D234" s="3"/>
      <c r="E234" s="3"/>
      <c r="F234" s="3"/>
      <c r="G234" s="3"/>
      <c r="H234" s="3"/>
      <c r="I234" s="3"/>
      <c r="J234" s="3"/>
      <c r="K234" s="3"/>
    </row>
    <row r="235" spans="1:11" ht="15.45">
      <c r="A235" s="2" t="s">
        <v>403</v>
      </c>
      <c r="B235" s="4" t="s">
        <v>404</v>
      </c>
      <c r="C235" s="3"/>
      <c r="D235" s="3"/>
      <c r="E235" s="3"/>
      <c r="F235" s="3"/>
      <c r="G235" s="3"/>
      <c r="H235" s="3"/>
      <c r="I235" s="3"/>
      <c r="J235" s="3"/>
      <c r="K235" s="3"/>
    </row>
    <row r="236" spans="1:11" ht="16.5" customHeight="1">
      <c r="A236" s="2" t="s">
        <v>405</v>
      </c>
      <c r="B236" s="5" t="s">
        <v>406</v>
      </c>
      <c r="C236" s="3"/>
      <c r="D236" s="3"/>
      <c r="E236" s="3"/>
      <c r="F236" s="3"/>
      <c r="G236" s="3"/>
      <c r="H236" s="3"/>
      <c r="I236" s="3"/>
      <c r="J236" s="3"/>
      <c r="K236" s="3"/>
    </row>
    <row r="237" spans="1:11" ht="15.45">
      <c r="A237" s="2" t="s">
        <v>407</v>
      </c>
      <c r="B237" s="4" t="s">
        <v>408</v>
      </c>
      <c r="C237" s="3"/>
      <c r="D237" s="3"/>
      <c r="E237" s="3"/>
      <c r="F237" s="3"/>
      <c r="G237" s="3"/>
      <c r="H237" s="3"/>
      <c r="I237" s="3"/>
      <c r="J237" s="3"/>
      <c r="K237" s="3"/>
    </row>
    <row r="238" spans="1:11" ht="55.5" customHeight="1">
      <c r="A238" s="2" t="s">
        <v>409</v>
      </c>
      <c r="B238" s="5" t="s">
        <v>410</v>
      </c>
      <c r="C238" s="3"/>
      <c r="D238" s="3"/>
      <c r="E238" s="3"/>
      <c r="F238" s="3"/>
      <c r="G238" s="3"/>
      <c r="H238" s="3"/>
      <c r="I238" s="3"/>
      <c r="J238" s="3"/>
      <c r="K238" s="3"/>
    </row>
    <row r="239" spans="1:11">
      <c r="A239" s="3"/>
      <c r="B239" s="3"/>
      <c r="C239" s="3"/>
      <c r="D239" s="3"/>
      <c r="E239" s="3"/>
      <c r="F239" s="3"/>
      <c r="G239" s="3"/>
      <c r="H239" s="3"/>
      <c r="I239" s="3"/>
      <c r="J239" s="3"/>
      <c r="K239" s="3"/>
    </row>
    <row r="240" spans="1:11" ht="45">
      <c r="A240" s="13" t="s">
        <v>411</v>
      </c>
      <c r="B240" s="5" t="s">
        <v>412</v>
      </c>
      <c r="C240" s="3"/>
      <c r="D240" s="3"/>
      <c r="E240" s="3"/>
      <c r="F240" s="3"/>
      <c r="G240" s="3"/>
      <c r="H240" s="3"/>
      <c r="I240" s="3"/>
      <c r="J240" s="3"/>
      <c r="K240" s="3"/>
    </row>
    <row r="241" spans="1:11">
      <c r="A241" s="3"/>
      <c r="B241" s="3"/>
      <c r="C241" s="3"/>
      <c r="D241" s="14"/>
      <c r="E241" s="3"/>
      <c r="F241" s="3"/>
      <c r="G241" s="3"/>
      <c r="H241" s="3"/>
      <c r="I241" s="3"/>
      <c r="J241" s="3"/>
      <c r="K241" s="3"/>
    </row>
    <row r="242" spans="1:11" ht="15.45">
      <c r="A242" s="13" t="s">
        <v>413</v>
      </c>
      <c r="B242" s="3"/>
      <c r="C242" s="3"/>
      <c r="D242" s="3"/>
      <c r="E242" s="3"/>
      <c r="F242" s="3"/>
      <c r="G242" s="3"/>
      <c r="H242" s="3"/>
      <c r="I242" s="3"/>
      <c r="J242" s="3"/>
      <c r="K242" s="3"/>
    </row>
    <row r="243" spans="1:11">
      <c r="A243" s="4" t="s">
        <v>414</v>
      </c>
      <c r="B243" s="4" t="s">
        <v>415</v>
      </c>
      <c r="C243" s="3"/>
      <c r="D243" s="14"/>
      <c r="E243" s="3"/>
      <c r="F243" s="3"/>
      <c r="G243" s="3"/>
      <c r="H243" s="3"/>
      <c r="I243" s="3"/>
      <c r="J243" s="3"/>
      <c r="K243" s="3"/>
    </row>
    <row r="244" spans="1:11" ht="15" customHeight="1">
      <c r="A244" s="4" t="s">
        <v>416</v>
      </c>
      <c r="B244" s="4" t="s">
        <v>417</v>
      </c>
      <c r="C244" s="3"/>
      <c r="D244" s="3"/>
      <c r="E244" s="3"/>
      <c r="F244" s="3"/>
      <c r="G244" s="3"/>
      <c r="H244" s="3"/>
      <c r="I244" s="3"/>
      <c r="J244" s="3"/>
      <c r="K244" s="3"/>
    </row>
    <row r="245" spans="1:11">
      <c r="A245" s="4" t="s">
        <v>418</v>
      </c>
      <c r="B245" s="4" t="s">
        <v>419</v>
      </c>
      <c r="C245" s="3"/>
      <c r="D245" s="3"/>
      <c r="E245" s="3"/>
      <c r="F245" s="3"/>
      <c r="G245" s="3"/>
      <c r="H245" s="3"/>
      <c r="I245" s="3"/>
      <c r="J245" s="3"/>
      <c r="K245" s="3"/>
    </row>
    <row r="246" spans="1:11">
      <c r="A246" s="4" t="s">
        <v>420</v>
      </c>
      <c r="B246" s="4" t="s">
        <v>421</v>
      </c>
      <c r="C246" s="3"/>
      <c r="D246" s="3"/>
      <c r="E246" s="3"/>
      <c r="F246" s="3"/>
      <c r="G246" s="3"/>
      <c r="H246" s="3"/>
      <c r="I246" s="3"/>
      <c r="J246" s="3"/>
      <c r="K246" s="3"/>
    </row>
    <row r="247" spans="1:11">
      <c r="A247" s="4" t="s">
        <v>422</v>
      </c>
      <c r="B247" s="4" t="s">
        <v>423</v>
      </c>
      <c r="C247" s="3"/>
      <c r="D247" s="3"/>
      <c r="E247" s="3"/>
      <c r="F247" s="3"/>
      <c r="G247" s="3"/>
      <c r="H247" s="3"/>
      <c r="I247" s="3"/>
      <c r="J247" s="3"/>
      <c r="K247" s="3"/>
    </row>
    <row r="248" spans="1:11">
      <c r="A248" s="4" t="s">
        <v>424</v>
      </c>
      <c r="B248" s="4" t="s">
        <v>425</v>
      </c>
      <c r="C248" s="3"/>
      <c r="D248" s="3"/>
      <c r="E248" s="3"/>
      <c r="F248" s="3"/>
      <c r="G248" s="3"/>
      <c r="H248" s="3"/>
      <c r="I248" s="3"/>
      <c r="J248" s="3"/>
      <c r="K248" s="3"/>
    </row>
    <row r="249" spans="1:11">
      <c r="A249" s="4" t="s">
        <v>426</v>
      </c>
      <c r="B249" s="4" t="s">
        <v>427</v>
      </c>
      <c r="C249" s="3"/>
      <c r="D249" s="3"/>
      <c r="E249" s="3"/>
      <c r="F249" s="3"/>
      <c r="G249" s="3"/>
      <c r="H249" s="3"/>
      <c r="I249" s="3"/>
      <c r="J249" s="3"/>
      <c r="K249" s="3"/>
    </row>
    <row r="250" spans="1:11">
      <c r="A250" s="3"/>
      <c r="B250" s="3"/>
      <c r="C250" s="3"/>
      <c r="D250" s="3"/>
      <c r="E250" s="3"/>
      <c r="F250" s="3"/>
      <c r="G250" s="3"/>
      <c r="H250" s="3"/>
      <c r="I250" s="3"/>
      <c r="J250" s="3"/>
      <c r="K250" s="3"/>
    </row>
    <row r="251" spans="1:11" ht="15.45">
      <c r="A251" s="13" t="s">
        <v>428</v>
      </c>
      <c r="B251" s="14"/>
      <c r="C251" s="3"/>
      <c r="D251" s="3"/>
      <c r="E251" s="3"/>
      <c r="F251" s="3"/>
      <c r="G251" s="3"/>
      <c r="H251" s="3"/>
      <c r="I251" s="3"/>
      <c r="J251" s="3"/>
      <c r="K251" s="3"/>
    </row>
    <row r="252" spans="1:11">
      <c r="A252" s="4" t="s">
        <v>429</v>
      </c>
      <c r="B252" s="4" t="s">
        <v>430</v>
      </c>
      <c r="C252" s="3"/>
      <c r="D252" s="3"/>
      <c r="E252" s="3"/>
      <c r="F252" s="3"/>
      <c r="G252" s="3"/>
      <c r="H252" s="3"/>
      <c r="I252" s="3"/>
      <c r="J252" s="3"/>
      <c r="K252" s="3"/>
    </row>
    <row r="253" spans="1:11">
      <c r="A253" s="4" t="s">
        <v>431</v>
      </c>
      <c r="B253" s="5" t="s">
        <v>432</v>
      </c>
      <c r="C253" s="3"/>
      <c r="D253" s="3"/>
      <c r="E253" s="3"/>
      <c r="F253" s="3"/>
      <c r="G253" s="3"/>
      <c r="H253" s="3"/>
      <c r="I253" s="3"/>
      <c r="J253" s="3"/>
      <c r="K253" s="3"/>
    </row>
    <row r="254" spans="1:11">
      <c r="A254" s="4" t="s">
        <v>433</v>
      </c>
      <c r="B254" s="4" t="s">
        <v>434</v>
      </c>
      <c r="C254" s="3"/>
      <c r="D254" s="3"/>
      <c r="E254" s="3"/>
      <c r="F254" s="3"/>
      <c r="G254" s="3"/>
      <c r="H254" s="3"/>
      <c r="I254" s="3"/>
      <c r="J254" s="3"/>
      <c r="K254" s="3"/>
    </row>
    <row r="255" spans="1:11">
      <c r="A255" s="4" t="s">
        <v>435</v>
      </c>
      <c r="B255" s="5" t="s">
        <v>436</v>
      </c>
      <c r="C255" s="3"/>
      <c r="D255" s="3"/>
      <c r="E255" s="3"/>
      <c r="F255" s="3"/>
      <c r="G255" s="3"/>
      <c r="H255" s="3"/>
      <c r="I255" s="3"/>
      <c r="J255" s="3"/>
      <c r="K255" s="3"/>
    </row>
    <row r="256" spans="1:11">
      <c r="A256" s="4" t="s">
        <v>437</v>
      </c>
      <c r="B256" s="4" t="s">
        <v>438</v>
      </c>
      <c r="C256" s="3"/>
      <c r="D256" s="3"/>
      <c r="E256" s="3"/>
      <c r="F256" s="3"/>
      <c r="G256" s="3"/>
      <c r="H256" s="3"/>
      <c r="I256" s="3"/>
      <c r="J256" s="3"/>
      <c r="K256" s="3"/>
    </row>
    <row r="257" spans="1:11" ht="30">
      <c r="A257" s="15" t="s">
        <v>439</v>
      </c>
      <c r="B257" s="5" t="s">
        <v>440</v>
      </c>
      <c r="C257" s="3"/>
      <c r="D257" s="3"/>
      <c r="E257" s="3"/>
      <c r="F257" s="3"/>
      <c r="G257" s="3"/>
      <c r="H257" s="3"/>
      <c r="I257" s="3"/>
      <c r="J257" s="3"/>
      <c r="K257" s="3"/>
    </row>
    <row r="258" spans="1:11">
      <c r="A258" s="4" t="s">
        <v>441</v>
      </c>
      <c r="B258" s="4" t="s">
        <v>442</v>
      </c>
      <c r="C258" s="3"/>
      <c r="D258" s="3"/>
      <c r="E258" s="3"/>
      <c r="F258" s="3"/>
      <c r="G258" s="3"/>
      <c r="H258" s="3"/>
      <c r="I258" s="3"/>
      <c r="J258" s="3"/>
      <c r="K258" s="3"/>
    </row>
    <row r="259" spans="1:11">
      <c r="A259" s="4" t="s">
        <v>443</v>
      </c>
      <c r="B259" s="5" t="s">
        <v>444</v>
      </c>
      <c r="C259" s="3"/>
      <c r="D259" s="3"/>
      <c r="E259" s="3"/>
      <c r="F259" s="3"/>
      <c r="G259" s="3"/>
      <c r="H259" s="3"/>
      <c r="I259" s="3"/>
      <c r="J259" s="3"/>
      <c r="K259" s="3"/>
    </row>
    <row r="260" spans="1:11">
      <c r="A260" s="4" t="s">
        <v>445</v>
      </c>
      <c r="B260" s="4" t="s">
        <v>446</v>
      </c>
      <c r="C260" s="3"/>
      <c r="D260" s="3"/>
      <c r="E260" s="3"/>
      <c r="F260" s="3"/>
      <c r="G260" s="3"/>
      <c r="H260" s="3"/>
      <c r="I260" s="3"/>
      <c r="J260" s="3"/>
      <c r="K260" s="3"/>
    </row>
    <row r="261" spans="1:11">
      <c r="A261" s="4" t="s">
        <v>447</v>
      </c>
      <c r="B261" s="5" t="s">
        <v>448</v>
      </c>
      <c r="C261" s="3"/>
      <c r="D261" s="3"/>
      <c r="E261" s="3"/>
      <c r="F261" s="3"/>
      <c r="G261" s="3"/>
      <c r="H261" s="3"/>
      <c r="I261" s="3"/>
      <c r="J261" s="3"/>
      <c r="K261" s="3"/>
    </row>
    <row r="262" spans="1:11">
      <c r="A262" s="4" t="s">
        <v>449</v>
      </c>
      <c r="B262" s="4" t="s">
        <v>450</v>
      </c>
      <c r="C262" s="3"/>
      <c r="D262" s="3"/>
      <c r="E262" s="3"/>
      <c r="F262" s="3"/>
      <c r="G262" s="3"/>
      <c r="H262" s="3"/>
      <c r="I262" s="3"/>
      <c r="J262" s="3"/>
      <c r="K262" s="3"/>
    </row>
    <row r="263" spans="1:11">
      <c r="A263" s="4" t="s">
        <v>451</v>
      </c>
      <c r="B263" s="4" t="s">
        <v>452</v>
      </c>
      <c r="C263" s="3"/>
      <c r="D263" s="3"/>
      <c r="E263" s="3"/>
      <c r="F263" s="3"/>
      <c r="G263" s="3"/>
      <c r="H263" s="3"/>
      <c r="I263" s="3"/>
      <c r="J263" s="3"/>
      <c r="K263" s="3"/>
    </row>
    <row r="264" spans="1:11">
      <c r="A264" s="4" t="s">
        <v>453</v>
      </c>
      <c r="B264" s="4" t="s">
        <v>454</v>
      </c>
      <c r="C264" s="3"/>
      <c r="D264" s="3"/>
      <c r="E264" s="3"/>
      <c r="F264" s="3"/>
      <c r="G264" s="3"/>
      <c r="H264" s="3"/>
      <c r="I264" s="3"/>
      <c r="J264" s="3"/>
      <c r="K264" s="3"/>
    </row>
    <row r="265" spans="1:11">
      <c r="A265" s="4" t="s">
        <v>455</v>
      </c>
      <c r="B265" s="4" t="s">
        <v>456</v>
      </c>
      <c r="C265" s="3"/>
      <c r="D265" s="3"/>
      <c r="E265" s="3"/>
      <c r="F265" s="3"/>
      <c r="G265" s="3"/>
      <c r="H265" s="3"/>
      <c r="I265" s="3"/>
      <c r="J265" s="3"/>
      <c r="K265" s="3"/>
    </row>
    <row r="266" spans="1:11">
      <c r="A266" s="4" t="s">
        <v>457</v>
      </c>
      <c r="B266" s="4" t="s">
        <v>458</v>
      </c>
      <c r="C266" s="3"/>
      <c r="D266" s="3"/>
      <c r="E266" s="3"/>
      <c r="F266" s="3"/>
      <c r="G266" s="3"/>
      <c r="H266" s="3"/>
      <c r="I266" s="3"/>
      <c r="J266" s="3"/>
      <c r="K266" s="3"/>
    </row>
    <row r="267" spans="1:11">
      <c r="A267" s="4" t="s">
        <v>459</v>
      </c>
      <c r="B267" s="4" t="s">
        <v>460</v>
      </c>
      <c r="C267" s="3"/>
      <c r="D267" s="3"/>
      <c r="E267" s="3"/>
      <c r="F267" s="3"/>
      <c r="G267" s="3"/>
      <c r="H267" s="3"/>
      <c r="I267" s="3"/>
      <c r="J267" s="3"/>
      <c r="K267" s="3"/>
    </row>
    <row r="268" spans="1:11">
      <c r="A268" s="4" t="s">
        <v>461</v>
      </c>
      <c r="B268" s="4" t="s">
        <v>462</v>
      </c>
      <c r="C268" s="3"/>
      <c r="D268" s="3"/>
      <c r="E268" s="3"/>
      <c r="F268" s="3"/>
      <c r="G268" s="3"/>
      <c r="H268" s="3"/>
      <c r="I268" s="3"/>
      <c r="J268" s="3"/>
      <c r="K268" s="3"/>
    </row>
    <row r="269" spans="1:11">
      <c r="A269" s="4" t="s">
        <v>463</v>
      </c>
      <c r="B269" s="4" t="s">
        <v>464</v>
      </c>
      <c r="C269" s="3"/>
      <c r="D269" s="3"/>
      <c r="E269" s="3"/>
      <c r="F269" s="3"/>
      <c r="G269" s="3"/>
      <c r="H269" s="3"/>
      <c r="I269" s="3"/>
      <c r="J269" s="3"/>
      <c r="K269" s="3"/>
    </row>
    <row r="270" spans="1:11">
      <c r="A270" s="4" t="s">
        <v>465</v>
      </c>
      <c r="B270" s="4" t="s">
        <v>466</v>
      </c>
      <c r="C270" s="3"/>
      <c r="D270" s="3"/>
      <c r="E270" s="3"/>
      <c r="F270" s="3"/>
      <c r="G270" s="3"/>
      <c r="H270" s="3"/>
      <c r="I270" s="3"/>
      <c r="J270" s="3"/>
      <c r="K270" s="3"/>
    </row>
    <row r="271" spans="1:11">
      <c r="A271" s="4" t="s">
        <v>467</v>
      </c>
      <c r="B271" s="4" t="s">
        <v>468</v>
      </c>
      <c r="C271" s="3"/>
      <c r="D271" s="3"/>
      <c r="E271" s="3"/>
      <c r="F271" s="3"/>
      <c r="G271" s="3"/>
      <c r="H271" s="3"/>
      <c r="I271" s="3"/>
      <c r="J271" s="3"/>
      <c r="K271" s="3"/>
    </row>
    <row r="272" spans="1:11">
      <c r="A272" s="4" t="s">
        <v>469</v>
      </c>
      <c r="B272" s="4" t="s">
        <v>470</v>
      </c>
      <c r="C272" s="3"/>
      <c r="D272" s="3"/>
      <c r="E272" s="3"/>
      <c r="F272" s="3"/>
      <c r="G272" s="3"/>
      <c r="H272" s="3"/>
      <c r="I272" s="3"/>
      <c r="J272" s="3"/>
      <c r="K272" s="3"/>
    </row>
    <row r="273" spans="1:11">
      <c r="A273" s="4" t="s">
        <v>471</v>
      </c>
      <c r="B273" s="4" t="s">
        <v>472</v>
      </c>
      <c r="C273" s="3"/>
      <c r="D273" s="3"/>
      <c r="E273" s="3"/>
      <c r="F273" s="3"/>
      <c r="G273" s="3"/>
      <c r="H273" s="3"/>
      <c r="I273" s="3"/>
      <c r="J273" s="3"/>
      <c r="K273" s="3"/>
    </row>
    <row r="274" spans="1:11">
      <c r="A274" s="4" t="s">
        <v>473</v>
      </c>
      <c r="B274" s="4" t="s">
        <v>474</v>
      </c>
      <c r="C274" s="3"/>
      <c r="D274" s="3"/>
      <c r="E274" s="3"/>
      <c r="F274" s="3"/>
      <c r="G274" s="3"/>
      <c r="H274" s="3"/>
      <c r="I274" s="3"/>
      <c r="J274" s="3"/>
      <c r="K274" s="3"/>
    </row>
    <row r="275" spans="1:11">
      <c r="A275" s="4" t="s">
        <v>475</v>
      </c>
      <c r="B275" s="4" t="s">
        <v>476</v>
      </c>
      <c r="C275" s="3"/>
      <c r="D275" s="3"/>
      <c r="E275" s="3"/>
      <c r="F275" s="3"/>
      <c r="G275" s="3"/>
      <c r="H275" s="3"/>
      <c r="I275" s="3"/>
      <c r="J275" s="3"/>
      <c r="K275" s="3"/>
    </row>
    <row r="276" spans="1:11">
      <c r="A276" s="4" t="s">
        <v>477</v>
      </c>
      <c r="B276" s="4" t="s">
        <v>478</v>
      </c>
      <c r="C276" s="3"/>
      <c r="D276" s="3"/>
      <c r="E276" s="3"/>
      <c r="F276" s="3"/>
      <c r="G276" s="3"/>
      <c r="H276" s="3"/>
      <c r="I276" s="3"/>
      <c r="J276" s="3"/>
      <c r="K276" s="3"/>
    </row>
    <row r="277" spans="1:11">
      <c r="A277" s="4" t="s">
        <v>479</v>
      </c>
      <c r="B277" s="5" t="s">
        <v>480</v>
      </c>
      <c r="C277" s="3"/>
      <c r="D277" s="3"/>
      <c r="E277" s="3"/>
      <c r="F277" s="3"/>
      <c r="G277" s="3"/>
      <c r="H277" s="3"/>
      <c r="I277" s="3"/>
      <c r="J277" s="3"/>
      <c r="K277" s="3"/>
    </row>
    <row r="278" spans="1:11">
      <c r="A278" s="4" t="s">
        <v>481</v>
      </c>
      <c r="B278" s="5" t="s">
        <v>482</v>
      </c>
      <c r="C278" s="3"/>
      <c r="D278" s="3"/>
      <c r="E278" s="3"/>
      <c r="F278" s="3"/>
      <c r="G278" s="3"/>
      <c r="H278" s="3"/>
      <c r="I278" s="3"/>
      <c r="J278" s="3"/>
      <c r="K278" s="3"/>
    </row>
    <row r="279" spans="1:11">
      <c r="A279" s="4" t="s">
        <v>483</v>
      </c>
      <c r="B279" s="5" t="s">
        <v>484</v>
      </c>
      <c r="C279" s="3"/>
      <c r="D279" s="3"/>
      <c r="E279" s="3"/>
      <c r="F279" s="3"/>
      <c r="G279" s="3"/>
      <c r="H279" s="3"/>
      <c r="I279" s="3"/>
      <c r="J279" s="3"/>
      <c r="K279" s="3"/>
    </row>
    <row r="280" spans="1:11">
      <c r="A280" s="4" t="s">
        <v>485</v>
      </c>
      <c r="B280" s="5" t="s">
        <v>486</v>
      </c>
      <c r="C280" s="3"/>
      <c r="D280" s="3"/>
      <c r="E280" s="3"/>
      <c r="F280" s="3"/>
      <c r="G280" s="3"/>
      <c r="H280" s="3"/>
      <c r="I280" s="3"/>
      <c r="J280" s="3"/>
      <c r="K280" s="3"/>
    </row>
    <row r="281" spans="1:11" ht="15.45">
      <c r="A281" s="12"/>
      <c r="B281" s="3"/>
      <c r="C281" s="3"/>
      <c r="D281" s="3"/>
      <c r="E281" s="3"/>
      <c r="F281" s="3"/>
      <c r="G281" s="3"/>
      <c r="H281" s="3"/>
      <c r="I281" s="3"/>
      <c r="J281" s="3"/>
      <c r="K281" s="3"/>
    </row>
    <row r="282" spans="1:11">
      <c r="A282" s="3"/>
      <c r="B282" s="3"/>
      <c r="C282" s="3"/>
      <c r="D282" s="3"/>
      <c r="E282" s="3"/>
      <c r="F282" s="3"/>
      <c r="G282" s="3"/>
      <c r="H282" s="3"/>
      <c r="I282" s="3"/>
      <c r="J282" s="3"/>
      <c r="K282" s="3"/>
    </row>
    <row r="283" spans="1:11" ht="15.45">
      <c r="A283" s="2" t="s">
        <v>487</v>
      </c>
      <c r="B283" s="5" t="s">
        <v>488</v>
      </c>
      <c r="C283" s="3"/>
      <c r="D283" s="3"/>
      <c r="E283" s="3"/>
      <c r="F283" s="3"/>
      <c r="G283" s="3"/>
      <c r="H283" s="3"/>
      <c r="I283" s="3"/>
      <c r="J283" s="3"/>
      <c r="K283" s="3"/>
    </row>
    <row r="284" spans="1:11">
      <c r="A284" s="4" t="s">
        <v>489</v>
      </c>
      <c r="B284" s="4" t="s">
        <v>490</v>
      </c>
      <c r="C284" s="3"/>
      <c r="D284" s="3"/>
      <c r="E284" s="3"/>
      <c r="F284" s="3"/>
      <c r="G284" s="3"/>
      <c r="H284" s="3"/>
      <c r="I284" s="3"/>
      <c r="J284" s="3"/>
      <c r="K284" s="3"/>
    </row>
    <row r="285" spans="1:11">
      <c r="A285" s="4" t="s">
        <v>491</v>
      </c>
      <c r="B285" s="4" t="s">
        <v>492</v>
      </c>
      <c r="C285" s="3"/>
      <c r="D285" s="3"/>
      <c r="E285" s="3"/>
      <c r="F285" s="3"/>
      <c r="G285" s="3"/>
      <c r="H285" s="3"/>
      <c r="I285" s="3"/>
      <c r="J285" s="3"/>
      <c r="K285" s="3"/>
    </row>
    <row r="286" spans="1:11">
      <c r="A286" s="4" t="s">
        <v>493</v>
      </c>
      <c r="B286" s="4" t="s">
        <v>494</v>
      </c>
      <c r="C286" s="3"/>
      <c r="D286" s="3"/>
      <c r="E286" s="3"/>
      <c r="F286" s="3"/>
      <c r="G286" s="3"/>
      <c r="H286" s="3"/>
      <c r="I286" s="3"/>
      <c r="J286" s="3"/>
      <c r="K286" s="3"/>
    </row>
    <row r="287" spans="1:11">
      <c r="A287" s="4" t="s">
        <v>495</v>
      </c>
      <c r="B287" s="4" t="s">
        <v>496</v>
      </c>
      <c r="C287" s="3"/>
      <c r="D287" s="3"/>
      <c r="E287" s="3"/>
      <c r="F287" s="3"/>
      <c r="G287" s="3"/>
      <c r="H287" s="3"/>
      <c r="I287" s="3"/>
      <c r="J287" s="3"/>
      <c r="K287" s="3"/>
    </row>
    <row r="288" spans="1:11">
      <c r="A288" s="4" t="s">
        <v>497</v>
      </c>
      <c r="B288" s="4" t="s">
        <v>498</v>
      </c>
      <c r="C288" s="3"/>
      <c r="D288" s="3"/>
      <c r="E288" s="3"/>
      <c r="F288" s="3"/>
      <c r="G288" s="3"/>
      <c r="H288" s="3"/>
      <c r="I288" s="3"/>
      <c r="J288" s="3"/>
      <c r="K288" s="3"/>
    </row>
    <row r="289" spans="1:11">
      <c r="A289" s="4" t="s">
        <v>499</v>
      </c>
      <c r="B289" s="4" t="s">
        <v>500</v>
      </c>
      <c r="C289" s="3"/>
      <c r="D289" s="3"/>
      <c r="E289" s="3"/>
      <c r="F289" s="3"/>
      <c r="G289" s="3"/>
      <c r="H289" s="3"/>
      <c r="I289" s="3"/>
      <c r="J289" s="3"/>
      <c r="K289" s="3"/>
    </row>
    <row r="290" spans="1:11">
      <c r="A290" s="4" t="s">
        <v>501</v>
      </c>
      <c r="B290" s="4" t="s">
        <v>502</v>
      </c>
      <c r="C290" s="3"/>
      <c r="D290" s="3"/>
      <c r="E290" s="3"/>
      <c r="F290" s="3"/>
      <c r="G290" s="3"/>
      <c r="H290" s="3"/>
      <c r="I290" s="3"/>
      <c r="J290" s="3"/>
      <c r="K290" s="3"/>
    </row>
    <row r="291" spans="1:11">
      <c r="A291" s="4" t="s">
        <v>503</v>
      </c>
      <c r="B291" s="4" t="s">
        <v>504</v>
      </c>
      <c r="C291" s="3"/>
      <c r="D291" s="3"/>
      <c r="E291" s="3"/>
      <c r="F291" s="3"/>
      <c r="G291" s="3"/>
      <c r="H291" s="3"/>
      <c r="I291" s="3"/>
      <c r="J291" s="3"/>
      <c r="K291" s="3"/>
    </row>
    <row r="292" spans="1:11">
      <c r="A292" s="4" t="s">
        <v>505</v>
      </c>
      <c r="B292" s="4" t="s">
        <v>506</v>
      </c>
      <c r="C292" s="3"/>
      <c r="D292" s="3"/>
      <c r="E292" s="3"/>
      <c r="F292" s="3"/>
      <c r="G292" s="3"/>
      <c r="H292" s="3"/>
      <c r="I292" s="3"/>
      <c r="J292" s="3"/>
      <c r="K292" s="3"/>
    </row>
    <row r="293" spans="1:11">
      <c r="A293" s="4" t="s">
        <v>507</v>
      </c>
      <c r="B293" s="4" t="s">
        <v>508</v>
      </c>
      <c r="C293" s="3"/>
      <c r="D293" s="3"/>
      <c r="E293" s="3"/>
      <c r="F293" s="3"/>
      <c r="G293" s="3"/>
      <c r="H293" s="3"/>
      <c r="I293" s="3"/>
      <c r="J293" s="3"/>
      <c r="K293" s="3"/>
    </row>
    <row r="294" spans="1:11">
      <c r="A294" s="4" t="s">
        <v>509</v>
      </c>
      <c r="B294" s="4" t="s">
        <v>510</v>
      </c>
      <c r="C294" s="3"/>
      <c r="D294" s="3"/>
      <c r="E294" s="3"/>
      <c r="F294" s="3"/>
      <c r="G294" s="3"/>
      <c r="H294" s="3"/>
      <c r="I294" s="3"/>
      <c r="J294" s="3"/>
      <c r="K294" s="3"/>
    </row>
    <row r="295" spans="1:11">
      <c r="A295" s="4" t="s">
        <v>511</v>
      </c>
      <c r="B295" s="4" t="s">
        <v>512</v>
      </c>
      <c r="C295" s="3"/>
      <c r="D295" s="3"/>
      <c r="E295" s="3"/>
      <c r="F295" s="3"/>
      <c r="G295" s="3"/>
      <c r="H295" s="3"/>
      <c r="I295" s="3"/>
      <c r="J295" s="3"/>
      <c r="K295" s="3"/>
    </row>
    <row r="296" spans="1:11">
      <c r="A296" s="4" t="s">
        <v>513</v>
      </c>
      <c r="B296" s="4" t="s">
        <v>514</v>
      </c>
      <c r="C296" s="3"/>
      <c r="D296" s="3"/>
      <c r="E296" s="3"/>
      <c r="F296" s="3"/>
      <c r="G296" s="3"/>
      <c r="H296" s="3"/>
      <c r="I296" s="3"/>
      <c r="J296" s="3"/>
      <c r="K296" s="3"/>
    </row>
    <row r="297" spans="1:11">
      <c r="A297" s="4" t="s">
        <v>515</v>
      </c>
      <c r="B297" s="4" t="s">
        <v>516</v>
      </c>
      <c r="C297" s="3"/>
      <c r="D297" s="3"/>
      <c r="E297" s="3"/>
      <c r="F297" s="3"/>
      <c r="G297" s="3"/>
      <c r="H297" s="3"/>
      <c r="I297" s="3"/>
      <c r="J297" s="3"/>
      <c r="K297" s="3"/>
    </row>
    <row r="298" spans="1:11">
      <c r="A298" s="4" t="s">
        <v>517</v>
      </c>
      <c r="B298" s="4" t="s">
        <v>518</v>
      </c>
      <c r="C298" s="3"/>
      <c r="D298" s="3"/>
      <c r="E298" s="3"/>
      <c r="F298" s="3"/>
      <c r="G298" s="3"/>
      <c r="H298" s="3"/>
      <c r="I298" s="3"/>
      <c r="J298" s="3"/>
      <c r="K298" s="3"/>
    </row>
    <row r="299" spans="1:11">
      <c r="A299" s="4" t="s">
        <v>519</v>
      </c>
      <c r="B299" s="4" t="s">
        <v>520</v>
      </c>
      <c r="C299" s="3"/>
      <c r="D299" s="3"/>
      <c r="E299" s="3"/>
      <c r="F299" s="3"/>
      <c r="G299" s="3"/>
      <c r="H299" s="3"/>
      <c r="I299" s="3"/>
      <c r="J299" s="3"/>
      <c r="K299" s="3"/>
    </row>
    <row r="300" spans="1:11">
      <c r="A300" s="4" t="s">
        <v>521</v>
      </c>
      <c r="B300" s="4" t="s">
        <v>520</v>
      </c>
      <c r="C300" s="3"/>
      <c r="D300" s="3"/>
      <c r="E300" s="3"/>
      <c r="F300" s="3"/>
      <c r="G300" s="3"/>
      <c r="H300" s="3"/>
      <c r="I300" s="3"/>
      <c r="J300" s="3"/>
      <c r="K300" s="3"/>
    </row>
    <row r="301" spans="1:11">
      <c r="A301" s="4" t="s">
        <v>522</v>
      </c>
      <c r="B301" s="4" t="s">
        <v>520</v>
      </c>
      <c r="C301" s="3"/>
      <c r="D301" s="3"/>
      <c r="E301" s="3"/>
      <c r="F301" s="3"/>
      <c r="G301" s="3"/>
      <c r="H301" s="3"/>
      <c r="I301" s="3"/>
      <c r="J301" s="3"/>
      <c r="K301" s="3"/>
    </row>
    <row r="302" spans="1:11">
      <c r="A302" s="4" t="s">
        <v>523</v>
      </c>
      <c r="B302" s="4" t="s">
        <v>524</v>
      </c>
      <c r="C302" s="3"/>
      <c r="D302" s="3"/>
      <c r="E302" s="3"/>
      <c r="F302" s="3"/>
      <c r="G302" s="3"/>
      <c r="H302" s="3"/>
      <c r="I302" s="3"/>
      <c r="J302" s="3"/>
      <c r="K302" s="3"/>
    </row>
    <row r="303" spans="1:11">
      <c r="A303" s="4" t="s">
        <v>525</v>
      </c>
      <c r="B303" s="4" t="s">
        <v>526</v>
      </c>
      <c r="C303" s="3"/>
      <c r="D303" s="3"/>
      <c r="E303" s="3"/>
      <c r="F303" s="3"/>
      <c r="G303" s="3"/>
      <c r="H303" s="3"/>
      <c r="I303" s="3"/>
      <c r="J303" s="3"/>
      <c r="K303" s="3"/>
    </row>
    <row r="304" spans="1:11">
      <c r="A304" s="4" t="s">
        <v>527</v>
      </c>
      <c r="B304" s="4" t="s">
        <v>528</v>
      </c>
      <c r="C304" s="3"/>
      <c r="D304" s="3"/>
      <c r="E304" s="3"/>
      <c r="F304" s="3"/>
      <c r="G304" s="3"/>
      <c r="H304" s="3"/>
      <c r="I304" s="3"/>
      <c r="J304" s="3"/>
      <c r="K304" s="3"/>
    </row>
    <row r="305" spans="1:11">
      <c r="A305" s="4" t="s">
        <v>529</v>
      </c>
      <c r="B305" s="4" t="s">
        <v>530</v>
      </c>
      <c r="C305" s="3"/>
      <c r="D305" s="3"/>
      <c r="E305" s="3"/>
      <c r="F305" s="3"/>
      <c r="G305" s="3"/>
      <c r="H305" s="3"/>
      <c r="I305" s="3"/>
      <c r="J305" s="3"/>
      <c r="K305" s="3"/>
    </row>
    <row r="306" spans="1:11">
      <c r="A306" s="4" t="s">
        <v>531</v>
      </c>
      <c r="B306" s="4" t="s">
        <v>532</v>
      </c>
      <c r="C306" s="3"/>
      <c r="D306" s="3"/>
      <c r="E306" s="3"/>
      <c r="F306" s="3"/>
      <c r="G306" s="3"/>
      <c r="H306" s="3"/>
      <c r="I306" s="3"/>
      <c r="J306" s="3"/>
      <c r="K306" s="3"/>
    </row>
    <row r="307" spans="1:11">
      <c r="A307" s="4" t="s">
        <v>533</v>
      </c>
      <c r="B307" s="4" t="s">
        <v>534</v>
      </c>
      <c r="C307" s="3"/>
      <c r="D307" s="3"/>
      <c r="E307" s="3"/>
      <c r="F307" s="3"/>
      <c r="G307" s="3"/>
      <c r="H307" s="3"/>
      <c r="I307" s="3"/>
      <c r="J307" s="3"/>
      <c r="K307" s="3"/>
    </row>
    <row r="308" spans="1:11">
      <c r="A308" s="4" t="s">
        <v>535</v>
      </c>
      <c r="B308" s="4" t="s">
        <v>536</v>
      </c>
      <c r="C308" s="3"/>
      <c r="D308" s="3"/>
      <c r="E308" s="3"/>
      <c r="F308" s="3"/>
      <c r="G308" s="3"/>
      <c r="H308" s="3"/>
      <c r="I308" s="3"/>
      <c r="J308" s="3"/>
      <c r="K308" s="3"/>
    </row>
    <row r="309" spans="1:11">
      <c r="A309" s="4" t="s">
        <v>235</v>
      </c>
      <c r="B309" s="4" t="s">
        <v>537</v>
      </c>
      <c r="C309" s="3"/>
      <c r="D309" s="3"/>
      <c r="E309" s="3"/>
      <c r="F309" s="3"/>
      <c r="G309" s="3"/>
      <c r="H309" s="3"/>
      <c r="I309" s="3"/>
      <c r="J309" s="3"/>
      <c r="K309" s="3"/>
    </row>
    <row r="310" spans="1:11">
      <c r="A310" s="4" t="s">
        <v>239</v>
      </c>
      <c r="B310" s="4" t="s">
        <v>538</v>
      </c>
      <c r="C310" s="3"/>
      <c r="D310" s="3"/>
      <c r="E310" s="3"/>
      <c r="F310" s="3"/>
      <c r="G310" s="3"/>
      <c r="H310" s="3"/>
      <c r="I310" s="3"/>
      <c r="J310" s="3"/>
      <c r="K310" s="3"/>
    </row>
    <row r="311" spans="1:11">
      <c r="A311" s="4" t="s">
        <v>237</v>
      </c>
      <c r="B311" s="4" t="s">
        <v>539</v>
      </c>
      <c r="C311" s="3"/>
      <c r="D311" s="3"/>
      <c r="E311" s="3"/>
      <c r="F311" s="3"/>
      <c r="G311" s="3"/>
      <c r="H311" s="3"/>
      <c r="I311" s="3"/>
      <c r="J311" s="3"/>
      <c r="K311" s="3"/>
    </row>
    <row r="312" spans="1:11">
      <c r="A312" s="4" t="s">
        <v>540</v>
      </c>
      <c r="B312" s="4" t="s">
        <v>541</v>
      </c>
      <c r="C312" s="3"/>
      <c r="D312" s="3"/>
      <c r="E312" s="3"/>
      <c r="F312" s="3"/>
      <c r="G312" s="3"/>
      <c r="H312" s="3"/>
      <c r="I312" s="3"/>
      <c r="J312" s="3"/>
      <c r="K312" s="3"/>
    </row>
    <row r="313" spans="1:11">
      <c r="A313" s="4" t="s">
        <v>542</v>
      </c>
      <c r="B313" s="4" t="s">
        <v>543</v>
      </c>
      <c r="C313" s="3"/>
      <c r="D313" s="3"/>
      <c r="E313" s="3"/>
      <c r="F313" s="3"/>
      <c r="G313" s="3"/>
      <c r="H313" s="3"/>
      <c r="I313" s="3"/>
      <c r="J313" s="3"/>
      <c r="K313" s="3"/>
    </row>
    <row r="314" spans="1:11" ht="15.45">
      <c r="A314" s="12"/>
      <c r="B314" s="3"/>
      <c r="C314" s="3"/>
      <c r="D314" s="3"/>
      <c r="E314" s="3"/>
      <c r="F314" s="3"/>
      <c r="G314" s="3"/>
      <c r="H314" s="3"/>
      <c r="I314" s="3"/>
      <c r="J314" s="3"/>
      <c r="K314" s="3"/>
    </row>
    <row r="315" spans="1:11" ht="15.45">
      <c r="A315" s="2" t="s">
        <v>544</v>
      </c>
      <c r="B315" s="4" t="s">
        <v>545</v>
      </c>
      <c r="C315" s="3"/>
      <c r="D315" s="3"/>
      <c r="E315" s="3"/>
      <c r="F315" s="3"/>
      <c r="G315" s="3"/>
      <c r="H315" s="3"/>
      <c r="I315" s="3"/>
      <c r="J315" s="3"/>
      <c r="K315" s="3"/>
    </row>
    <row r="316" spans="1:11">
      <c r="A316" s="4" t="s">
        <v>546</v>
      </c>
      <c r="B316" s="4" t="s">
        <v>547</v>
      </c>
      <c r="C316" s="3"/>
      <c r="D316" s="3"/>
      <c r="E316" s="3"/>
      <c r="F316" s="3"/>
      <c r="G316" s="3"/>
      <c r="H316" s="3"/>
      <c r="I316" s="3"/>
      <c r="J316" s="3"/>
      <c r="K316" s="3"/>
    </row>
    <row r="317" spans="1:11">
      <c r="A317" s="4" t="s">
        <v>548</v>
      </c>
      <c r="B317" s="4" t="s">
        <v>549</v>
      </c>
      <c r="C317" s="3"/>
      <c r="D317" s="3"/>
      <c r="E317" s="3"/>
      <c r="F317" s="3"/>
      <c r="G317" s="3"/>
      <c r="H317" s="3"/>
      <c r="I317" s="3"/>
      <c r="J317" s="3"/>
      <c r="K317" s="3"/>
    </row>
    <row r="318" spans="1:11">
      <c r="A318" s="4" t="s">
        <v>550</v>
      </c>
      <c r="B318" s="4" t="s">
        <v>551</v>
      </c>
      <c r="C318" s="3"/>
      <c r="D318" s="3"/>
      <c r="E318" s="3"/>
      <c r="F318" s="3"/>
      <c r="G318" s="3"/>
      <c r="H318" s="3"/>
      <c r="I318" s="3"/>
      <c r="J318" s="3"/>
      <c r="K318" s="3"/>
    </row>
    <row r="319" spans="1:11">
      <c r="A319" s="4" t="s">
        <v>552</v>
      </c>
      <c r="B319" s="4" t="s">
        <v>553</v>
      </c>
      <c r="C319" s="3"/>
      <c r="D319" s="3"/>
      <c r="E319" s="3"/>
      <c r="F319" s="3"/>
      <c r="G319" s="3"/>
      <c r="H319" s="3"/>
      <c r="I319" s="3"/>
      <c r="J319" s="3"/>
      <c r="K319" s="3"/>
    </row>
    <row r="320" spans="1:11">
      <c r="A320" s="4" t="s">
        <v>554</v>
      </c>
      <c r="B320" s="4" t="s">
        <v>5966</v>
      </c>
      <c r="C320" s="3"/>
      <c r="D320" s="3"/>
      <c r="E320" s="3"/>
      <c r="F320" s="3"/>
      <c r="G320" s="3"/>
      <c r="H320" s="3"/>
      <c r="I320" s="3"/>
      <c r="J320" s="3"/>
      <c r="K320" s="3"/>
    </row>
    <row r="321" spans="1:11">
      <c r="A321" s="4" t="s">
        <v>556</v>
      </c>
      <c r="B321" s="4" t="s">
        <v>557</v>
      </c>
      <c r="C321" s="3"/>
      <c r="D321" s="3"/>
      <c r="E321" s="3"/>
      <c r="F321" s="3"/>
      <c r="G321" s="3"/>
      <c r="H321" s="3"/>
      <c r="I321" s="3"/>
      <c r="J321" s="3"/>
      <c r="K321" s="3"/>
    </row>
    <row r="322" spans="1:11">
      <c r="A322" s="4" t="s">
        <v>558</v>
      </c>
      <c r="B322" s="4" t="s">
        <v>559</v>
      </c>
      <c r="C322" s="3"/>
      <c r="D322" s="3"/>
      <c r="E322" s="3"/>
      <c r="F322" s="3"/>
      <c r="G322" s="3"/>
      <c r="H322" s="3"/>
      <c r="I322" s="3"/>
      <c r="J322" s="3"/>
      <c r="K322" s="3"/>
    </row>
    <row r="323" spans="1:11">
      <c r="A323" s="4" t="s">
        <v>560</v>
      </c>
      <c r="B323" s="4" t="s">
        <v>561</v>
      </c>
      <c r="C323" s="3"/>
      <c r="D323" s="3"/>
      <c r="E323" s="3"/>
      <c r="F323" s="3"/>
      <c r="G323" s="3"/>
      <c r="H323" s="3"/>
      <c r="I323" s="3"/>
      <c r="J323" s="3"/>
      <c r="K323" s="3"/>
    </row>
    <row r="324" spans="1:11" ht="16.5" customHeight="1">
      <c r="A324" s="4" t="s">
        <v>562</v>
      </c>
      <c r="B324" s="4" t="s">
        <v>563</v>
      </c>
      <c r="C324" s="16"/>
      <c r="D324" s="3"/>
      <c r="E324" s="3"/>
      <c r="F324" s="3"/>
      <c r="G324" s="3"/>
      <c r="H324" s="3"/>
      <c r="I324" s="3"/>
      <c r="J324" s="3"/>
      <c r="K324" s="3"/>
    </row>
    <row r="325" spans="1:11">
      <c r="A325" s="4" t="s">
        <v>564</v>
      </c>
      <c r="B325" s="4" t="s">
        <v>565</v>
      </c>
      <c r="C325" s="3"/>
      <c r="D325" s="3"/>
      <c r="E325" s="3"/>
      <c r="F325" s="3"/>
      <c r="G325" s="3"/>
      <c r="H325" s="3"/>
      <c r="I325" s="3"/>
      <c r="J325" s="3"/>
      <c r="K325" s="3"/>
    </row>
    <row r="326" spans="1:11">
      <c r="A326" s="4" t="s">
        <v>566</v>
      </c>
      <c r="B326" s="4" t="s">
        <v>567</v>
      </c>
      <c r="C326" s="3"/>
      <c r="D326" s="3"/>
      <c r="E326" s="3"/>
      <c r="F326" s="3"/>
      <c r="G326" s="3"/>
      <c r="H326" s="3"/>
      <c r="I326" s="3"/>
      <c r="J326" s="3"/>
      <c r="K326" s="3"/>
    </row>
    <row r="327" spans="1:11">
      <c r="A327" s="4" t="s">
        <v>568</v>
      </c>
      <c r="B327" s="4" t="s">
        <v>569</v>
      </c>
      <c r="C327" s="3"/>
      <c r="D327" s="3"/>
      <c r="E327" s="3"/>
      <c r="F327" s="3"/>
      <c r="G327" s="3"/>
      <c r="H327" s="3"/>
      <c r="I327" s="3"/>
      <c r="J327" s="3"/>
      <c r="K327" s="3"/>
    </row>
    <row r="328" spans="1:11">
      <c r="A328" s="4" t="s">
        <v>570</v>
      </c>
      <c r="B328" s="4" t="s">
        <v>571</v>
      </c>
      <c r="C328" s="3"/>
      <c r="D328" s="3"/>
      <c r="E328" s="3"/>
      <c r="F328" s="3"/>
      <c r="G328" s="3"/>
      <c r="H328" s="3"/>
      <c r="I328" s="3"/>
      <c r="J328" s="3"/>
      <c r="K328" s="3"/>
    </row>
    <row r="329" spans="1:11">
      <c r="A329" s="4" t="s">
        <v>572</v>
      </c>
      <c r="B329" s="4" t="s">
        <v>573</v>
      </c>
      <c r="C329" s="3"/>
      <c r="D329" s="3"/>
      <c r="E329" s="3"/>
      <c r="F329" s="3"/>
      <c r="G329" s="3"/>
      <c r="H329" s="3"/>
      <c r="I329" s="3"/>
      <c r="J329" s="3"/>
      <c r="K329" s="3"/>
    </row>
    <row r="330" spans="1:11" ht="16.5" customHeight="1">
      <c r="A330" s="4" t="s">
        <v>574</v>
      </c>
      <c r="B330" s="4" t="s">
        <v>575</v>
      </c>
      <c r="C330" s="3"/>
      <c r="D330" s="3"/>
      <c r="E330" s="3"/>
      <c r="F330" s="3"/>
      <c r="G330" s="3"/>
      <c r="H330" s="3"/>
      <c r="I330" s="3"/>
      <c r="J330" s="3"/>
      <c r="K330" s="3"/>
    </row>
    <row r="331" spans="1:11">
      <c r="A331" s="4" t="s">
        <v>576</v>
      </c>
      <c r="B331" s="4" t="s">
        <v>577</v>
      </c>
      <c r="C331" s="3"/>
      <c r="D331" s="3"/>
      <c r="E331" s="3"/>
      <c r="F331" s="3"/>
      <c r="G331" s="3"/>
      <c r="H331" s="3"/>
      <c r="I331" s="3"/>
      <c r="J331" s="3"/>
      <c r="K331" s="3"/>
    </row>
    <row r="332" spans="1:11">
      <c r="A332" s="4" t="s">
        <v>578</v>
      </c>
      <c r="B332" s="4" t="s">
        <v>579</v>
      </c>
      <c r="C332" s="3"/>
      <c r="D332" s="3"/>
      <c r="E332" s="3"/>
      <c r="F332" s="3"/>
      <c r="G332" s="3"/>
      <c r="H332" s="3"/>
      <c r="I332" s="3"/>
      <c r="J332" s="3"/>
      <c r="K332" s="3"/>
    </row>
    <row r="333" spans="1:11">
      <c r="A333" s="4" t="s">
        <v>580</v>
      </c>
      <c r="B333" s="4" t="s">
        <v>581</v>
      </c>
      <c r="C333" s="3"/>
      <c r="D333" s="3"/>
      <c r="E333" s="3"/>
      <c r="F333" s="3"/>
      <c r="G333" s="3"/>
      <c r="H333" s="3"/>
      <c r="I333" s="3"/>
      <c r="J333" s="3"/>
      <c r="K333" s="3"/>
    </row>
    <row r="334" spans="1:11">
      <c r="A334" s="4" t="s">
        <v>582</v>
      </c>
      <c r="B334" s="4" t="s">
        <v>583</v>
      </c>
      <c r="C334" s="3"/>
      <c r="D334" s="3"/>
      <c r="E334" s="3"/>
      <c r="F334" s="3"/>
      <c r="G334" s="3"/>
      <c r="H334" s="3"/>
      <c r="I334" s="3"/>
      <c r="J334" s="3"/>
      <c r="K334" s="3"/>
    </row>
    <row r="335" spans="1:11">
      <c r="A335" s="4" t="s">
        <v>584</v>
      </c>
      <c r="B335" s="4" t="s">
        <v>585</v>
      </c>
      <c r="C335" s="3"/>
      <c r="D335" s="3"/>
      <c r="E335" s="3"/>
      <c r="F335" s="3"/>
      <c r="G335" s="3"/>
      <c r="H335" s="3"/>
      <c r="I335" s="3"/>
      <c r="J335" s="3"/>
      <c r="K335" s="3"/>
    </row>
    <row r="336" spans="1:11">
      <c r="A336" s="4" t="s">
        <v>586</v>
      </c>
      <c r="B336" s="4" t="s">
        <v>587</v>
      </c>
      <c r="C336" s="3"/>
      <c r="D336" s="3"/>
      <c r="E336" s="3"/>
      <c r="F336" s="3"/>
      <c r="G336" s="3"/>
      <c r="H336" s="3"/>
      <c r="I336" s="3"/>
      <c r="J336" s="3"/>
      <c r="K336" s="3"/>
    </row>
    <row r="337" spans="1:11">
      <c r="A337" s="4" t="s">
        <v>588</v>
      </c>
      <c r="B337" s="4" t="s">
        <v>589</v>
      </c>
      <c r="C337" s="3"/>
      <c r="D337" s="3"/>
      <c r="E337" s="3"/>
      <c r="F337" s="3"/>
      <c r="G337" s="3"/>
      <c r="H337" s="3"/>
      <c r="I337" s="3"/>
      <c r="J337" s="3"/>
      <c r="K337" s="3"/>
    </row>
    <row r="338" spans="1:11">
      <c r="A338" s="4" t="s">
        <v>590</v>
      </c>
      <c r="B338" s="4" t="s">
        <v>591</v>
      </c>
      <c r="C338" s="3"/>
      <c r="D338" s="3"/>
      <c r="E338" s="3"/>
      <c r="F338" s="3"/>
      <c r="G338" s="3"/>
      <c r="H338" s="3"/>
      <c r="I338" s="3"/>
      <c r="J338" s="3"/>
      <c r="K338" s="3"/>
    </row>
    <row r="339" spans="1:11">
      <c r="A339" s="4" t="s">
        <v>592</v>
      </c>
      <c r="B339" s="4" t="s">
        <v>593</v>
      </c>
      <c r="C339" s="3"/>
      <c r="D339" s="3"/>
      <c r="E339" s="3"/>
      <c r="F339" s="3"/>
      <c r="G339" s="3"/>
      <c r="H339" s="3"/>
      <c r="I339" s="3"/>
      <c r="J339" s="3"/>
      <c r="K339" s="3"/>
    </row>
    <row r="340" spans="1:11">
      <c r="A340" s="4" t="s">
        <v>594</v>
      </c>
      <c r="B340" s="4" t="s">
        <v>595</v>
      </c>
      <c r="C340" s="3"/>
      <c r="D340" s="3"/>
      <c r="E340" s="3"/>
      <c r="F340" s="3"/>
      <c r="G340" s="3"/>
      <c r="H340" s="3"/>
      <c r="I340" s="3"/>
      <c r="J340" s="3"/>
      <c r="K340" s="3"/>
    </row>
    <row r="341" spans="1:11">
      <c r="A341" s="4" t="s">
        <v>596</v>
      </c>
      <c r="B341" s="4" t="s">
        <v>597</v>
      </c>
      <c r="C341" s="3"/>
      <c r="D341" s="3"/>
      <c r="E341" s="3"/>
      <c r="F341" s="3"/>
      <c r="G341" s="3"/>
      <c r="H341" s="3"/>
      <c r="I341" s="3"/>
      <c r="J341" s="3"/>
      <c r="K341" s="3"/>
    </row>
    <row r="342" spans="1:11">
      <c r="A342" s="4" t="s">
        <v>598</v>
      </c>
      <c r="B342" s="4" t="s">
        <v>599</v>
      </c>
      <c r="C342" s="3"/>
      <c r="D342" s="3"/>
      <c r="E342" s="3"/>
      <c r="F342" s="3"/>
      <c r="G342" s="3"/>
      <c r="H342" s="3"/>
      <c r="I342" s="3"/>
      <c r="J342" s="3"/>
      <c r="K342" s="3"/>
    </row>
    <row r="343" spans="1:11">
      <c r="A343" s="4" t="s">
        <v>600</v>
      </c>
      <c r="B343" s="4" t="s">
        <v>601</v>
      </c>
      <c r="C343" s="3"/>
      <c r="D343" s="3"/>
      <c r="E343" s="3"/>
      <c r="F343" s="3"/>
      <c r="G343" s="3"/>
      <c r="H343" s="3"/>
      <c r="I343" s="3"/>
      <c r="J343" s="3"/>
      <c r="K343" s="3"/>
    </row>
    <row r="344" spans="1:11">
      <c r="A344" s="4" t="s">
        <v>602</v>
      </c>
      <c r="B344" s="4" t="s">
        <v>603</v>
      </c>
      <c r="C344" s="3"/>
      <c r="D344" s="3"/>
      <c r="E344" s="3"/>
      <c r="F344" s="3"/>
      <c r="G344" s="3"/>
      <c r="H344" s="3"/>
      <c r="I344" s="3"/>
      <c r="J344" s="3"/>
      <c r="K344" s="3"/>
    </row>
    <row r="345" spans="1:11">
      <c r="A345" s="4" t="s">
        <v>604</v>
      </c>
      <c r="B345" s="4" t="s">
        <v>605</v>
      </c>
      <c r="C345" s="3"/>
      <c r="D345" s="3"/>
      <c r="E345" s="3"/>
      <c r="F345" s="3"/>
      <c r="G345" s="3"/>
      <c r="H345" s="3"/>
      <c r="I345" s="3"/>
      <c r="J345" s="3"/>
      <c r="K345" s="3"/>
    </row>
    <row r="346" spans="1:11">
      <c r="A346" s="4" t="s">
        <v>606</v>
      </c>
      <c r="B346" s="4" t="s">
        <v>607</v>
      </c>
      <c r="C346" s="3"/>
      <c r="D346" s="3"/>
      <c r="E346" s="3"/>
      <c r="F346" s="3"/>
      <c r="G346" s="3"/>
      <c r="H346" s="3"/>
      <c r="I346" s="3"/>
      <c r="J346" s="3"/>
      <c r="K346" s="3"/>
    </row>
    <row r="347" spans="1:11">
      <c r="A347" s="4" t="s">
        <v>608</v>
      </c>
      <c r="B347" s="4" t="s">
        <v>609</v>
      </c>
      <c r="C347" s="3"/>
      <c r="D347" s="3"/>
      <c r="E347" s="3"/>
      <c r="F347" s="3"/>
      <c r="G347" s="3"/>
      <c r="H347" s="3"/>
      <c r="I347" s="3"/>
      <c r="J347" s="3"/>
      <c r="K347" s="3"/>
    </row>
    <row r="348" spans="1:11">
      <c r="A348" s="4" t="s">
        <v>610</v>
      </c>
      <c r="B348" s="4" t="s">
        <v>611</v>
      </c>
      <c r="C348" s="3"/>
      <c r="D348" s="3"/>
      <c r="E348" s="3"/>
      <c r="F348" s="3"/>
      <c r="G348" s="3"/>
      <c r="H348" s="3"/>
      <c r="I348" s="3"/>
      <c r="J348" s="3"/>
      <c r="K348" s="3"/>
    </row>
    <row r="349" spans="1:11">
      <c r="A349" s="4" t="s">
        <v>612</v>
      </c>
      <c r="B349" s="4" t="s">
        <v>613</v>
      </c>
      <c r="C349" s="3"/>
      <c r="D349" s="3"/>
      <c r="E349" s="3"/>
      <c r="F349" s="3"/>
      <c r="G349" s="3"/>
      <c r="H349" s="3"/>
      <c r="I349" s="3"/>
      <c r="J349" s="3"/>
      <c r="K349" s="3"/>
    </row>
    <row r="350" spans="1:11">
      <c r="A350" s="4" t="s">
        <v>614</v>
      </c>
      <c r="B350" s="4" t="s">
        <v>615</v>
      </c>
      <c r="C350" s="3"/>
      <c r="D350" s="3"/>
      <c r="E350" s="3"/>
      <c r="F350" s="3"/>
      <c r="G350" s="3"/>
      <c r="H350" s="3"/>
      <c r="I350" s="3"/>
      <c r="J350" s="3"/>
      <c r="K350" s="3"/>
    </row>
    <row r="351" spans="1:11">
      <c r="A351" s="4" t="s">
        <v>616</v>
      </c>
      <c r="B351" s="4" t="s">
        <v>617</v>
      </c>
      <c r="C351" s="3"/>
      <c r="D351" s="3"/>
      <c r="E351" s="3"/>
      <c r="F351" s="3"/>
      <c r="G351" s="3"/>
      <c r="H351" s="3"/>
      <c r="I351" s="3"/>
      <c r="J351" s="3"/>
      <c r="K351" s="3"/>
    </row>
    <row r="352" spans="1:11">
      <c r="A352" s="4" t="s">
        <v>618</v>
      </c>
      <c r="B352" s="4" t="s">
        <v>619</v>
      </c>
      <c r="C352" s="3"/>
      <c r="D352" s="3"/>
      <c r="E352" s="3"/>
      <c r="F352" s="3"/>
      <c r="G352" s="3"/>
      <c r="H352" s="3"/>
      <c r="I352" s="3"/>
      <c r="J352" s="3"/>
      <c r="K352" s="3"/>
    </row>
    <row r="353" spans="1:11">
      <c r="A353" s="4" t="s">
        <v>620</v>
      </c>
      <c r="B353" s="4" t="s">
        <v>621</v>
      </c>
      <c r="C353" s="3"/>
      <c r="D353" s="3"/>
      <c r="E353" s="3"/>
      <c r="F353" s="3"/>
      <c r="G353" s="3"/>
      <c r="H353" s="3"/>
      <c r="I353" s="3"/>
      <c r="J353" s="3"/>
      <c r="K353" s="3"/>
    </row>
    <row r="354" spans="1:11">
      <c r="A354" s="4" t="s">
        <v>622</v>
      </c>
      <c r="B354" s="4" t="s">
        <v>623</v>
      </c>
      <c r="C354" s="3"/>
      <c r="D354" s="3"/>
      <c r="E354" s="3"/>
      <c r="F354" s="3"/>
      <c r="G354" s="3"/>
      <c r="H354" s="3"/>
      <c r="I354" s="3"/>
      <c r="J354" s="3"/>
      <c r="K354" s="3"/>
    </row>
    <row r="355" spans="1:11">
      <c r="A355" s="4" t="s">
        <v>624</v>
      </c>
      <c r="B355" s="4" t="s">
        <v>625</v>
      </c>
      <c r="C355" s="3"/>
      <c r="D355" s="3"/>
      <c r="E355" s="3"/>
      <c r="F355" s="3"/>
      <c r="G355" s="3"/>
      <c r="H355" s="3"/>
      <c r="I355" s="3"/>
      <c r="J355" s="3"/>
      <c r="K355" s="3"/>
    </row>
    <row r="356" spans="1:11">
      <c r="A356" s="4" t="s">
        <v>626</v>
      </c>
      <c r="B356" s="4" t="s">
        <v>627</v>
      </c>
      <c r="C356" s="3"/>
      <c r="D356" s="3"/>
      <c r="E356" s="3"/>
      <c r="F356" s="3"/>
      <c r="G356" s="3"/>
      <c r="H356" s="3"/>
      <c r="I356" s="3"/>
      <c r="J356" s="3"/>
      <c r="K356" s="3"/>
    </row>
    <row r="357" spans="1:11">
      <c r="A357" s="4" t="s">
        <v>628</v>
      </c>
      <c r="B357" s="4" t="s">
        <v>629</v>
      </c>
      <c r="C357" s="3"/>
      <c r="D357" s="3"/>
      <c r="E357" s="3"/>
      <c r="F357" s="3"/>
      <c r="G357" s="3"/>
      <c r="H357" s="3"/>
      <c r="I357" s="3"/>
      <c r="J357" s="3"/>
      <c r="K357" s="3"/>
    </row>
    <row r="358" spans="1:11">
      <c r="A358" s="4" t="s">
        <v>630</v>
      </c>
      <c r="B358" s="4" t="s">
        <v>631</v>
      </c>
      <c r="C358" s="3"/>
      <c r="D358" s="3"/>
      <c r="E358" s="3"/>
      <c r="F358" s="3"/>
      <c r="G358" s="3"/>
      <c r="H358" s="3"/>
      <c r="I358" s="3"/>
      <c r="J358" s="3"/>
      <c r="K358" s="3"/>
    </row>
    <row r="359" spans="1:11">
      <c r="A359" s="4" t="s">
        <v>632</v>
      </c>
      <c r="B359" s="4" t="s">
        <v>633</v>
      </c>
      <c r="C359" s="3"/>
      <c r="D359" s="3"/>
      <c r="E359" s="3"/>
      <c r="F359" s="3"/>
      <c r="G359" s="3"/>
      <c r="H359" s="3"/>
      <c r="I359" s="3"/>
      <c r="J359" s="3"/>
      <c r="K359" s="3"/>
    </row>
    <row r="360" spans="1:11">
      <c r="A360" s="4" t="s">
        <v>634</v>
      </c>
      <c r="B360" s="4" t="s">
        <v>635</v>
      </c>
      <c r="C360" s="3"/>
      <c r="D360" s="3"/>
      <c r="E360" s="3"/>
      <c r="F360" s="3"/>
      <c r="G360" s="3"/>
      <c r="H360" s="3"/>
      <c r="I360" s="3"/>
      <c r="J360" s="3"/>
      <c r="K360" s="3"/>
    </row>
    <row r="361" spans="1:11">
      <c r="A361" s="4" t="s">
        <v>636</v>
      </c>
      <c r="B361" s="4" t="s">
        <v>5968</v>
      </c>
      <c r="C361" s="3"/>
      <c r="D361" s="3"/>
      <c r="E361" s="3"/>
      <c r="F361" s="3"/>
      <c r="G361" s="3"/>
      <c r="H361" s="3"/>
      <c r="I361" s="3"/>
      <c r="J361" s="3"/>
      <c r="K361" s="3"/>
    </row>
    <row r="362" spans="1:11">
      <c r="A362" s="4" t="s">
        <v>637</v>
      </c>
      <c r="B362" s="4" t="s">
        <v>638</v>
      </c>
      <c r="C362" s="3"/>
      <c r="D362" s="3"/>
      <c r="E362" s="3"/>
      <c r="F362" s="3"/>
      <c r="G362" s="3"/>
      <c r="H362" s="3"/>
      <c r="I362" s="3"/>
      <c r="J362" s="3"/>
      <c r="K362" s="3"/>
    </row>
    <row r="363" spans="1:11">
      <c r="A363" s="4" t="s">
        <v>639</v>
      </c>
      <c r="B363" s="4" t="s">
        <v>640</v>
      </c>
      <c r="C363" s="3"/>
      <c r="D363" s="3"/>
      <c r="E363" s="3"/>
      <c r="F363" s="3"/>
      <c r="G363" s="3"/>
      <c r="H363" s="3"/>
      <c r="I363" s="3"/>
      <c r="J363" s="3"/>
      <c r="K363" s="3"/>
    </row>
    <row r="364" spans="1:11">
      <c r="A364" s="4" t="s">
        <v>641</v>
      </c>
      <c r="B364" s="4" t="s">
        <v>642</v>
      </c>
      <c r="C364" s="3"/>
      <c r="D364" s="3"/>
      <c r="E364" s="3"/>
      <c r="F364" s="3"/>
      <c r="G364" s="3"/>
      <c r="H364" s="3"/>
      <c r="I364" s="3"/>
      <c r="J364" s="3"/>
      <c r="K364" s="3"/>
    </row>
    <row r="365" spans="1:11" ht="16.3">
      <c r="A365" s="4" t="s">
        <v>643</v>
      </c>
      <c r="B365" s="17" t="s">
        <v>644</v>
      </c>
      <c r="C365" s="3"/>
      <c r="D365" s="3"/>
      <c r="E365" s="3"/>
      <c r="F365" s="3"/>
      <c r="G365" s="3"/>
      <c r="H365" s="3"/>
      <c r="I365" s="3"/>
      <c r="J365" s="3"/>
      <c r="K365" s="3"/>
    </row>
  </sheetData>
  <autoFilter ref="A87:B100"/>
  <sortState ref="A232:B271">
    <sortCondition ref="A232:A271"/>
  </sortState>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topLeftCell="A6" workbookViewId="0">
      <selection activeCell="D49" sqref="D49"/>
    </sheetView>
  </sheetViews>
  <sheetFormatPr defaultRowHeight="15.75" customHeight="1"/>
  <cols>
    <col min="1" max="1" width="32.140625" style="18" customWidth="1"/>
    <col min="2" max="2" width="12.85546875" style="18" bestFit="1" customWidth="1"/>
    <col min="3" max="3" width="38.7109375" style="19" customWidth="1"/>
    <col min="4" max="4" width="15.640625" style="20" customWidth="1"/>
    <col min="5" max="5" width="19.140625" style="20" customWidth="1"/>
    <col min="6" max="6" width="44.85546875" style="20" customWidth="1"/>
    <col min="7" max="7" width="5.640625" style="18" customWidth="1"/>
    <col min="8" max="8" width="58.2109375" style="18" customWidth="1"/>
    <col min="9" max="9" width="15" customWidth="1"/>
    <col min="11" max="11" width="13.85546875" customWidth="1"/>
    <col min="13" max="13" width="13.35546875" style="21" customWidth="1"/>
    <col min="14" max="14" width="10.35546875" style="21" customWidth="1"/>
    <col min="15" max="16" width="13.35546875" style="21" customWidth="1"/>
    <col min="17" max="17" width="8.85546875" style="21" customWidth="1"/>
    <col min="18" max="18" width="13.35546875" style="21" customWidth="1"/>
    <col min="19" max="19" width="9" style="21" customWidth="1"/>
    <col min="20" max="20" width="15.5" style="21" customWidth="1"/>
    <col min="21" max="21" width="9.5" style="21" customWidth="1"/>
    <col min="22" max="23" width="13.35546875" style="21" customWidth="1"/>
    <col min="24" max="24" width="15.2109375" style="21" customWidth="1"/>
    <col min="25" max="25" width="13.35546875" style="21" customWidth="1"/>
  </cols>
  <sheetData>
    <row r="1" spans="1:47" ht="15.45">
      <c r="A1" s="22" t="s">
        <v>645</v>
      </c>
      <c r="B1" s="23" t="s">
        <v>646</v>
      </c>
      <c r="C1" s="23" t="s">
        <v>647</v>
      </c>
      <c r="D1" s="23" t="s">
        <v>648</v>
      </c>
      <c r="E1" s="23" t="s">
        <v>649</v>
      </c>
      <c r="F1" s="23" t="s">
        <v>650</v>
      </c>
      <c r="G1" s="24" t="s">
        <v>23</v>
      </c>
      <c r="H1" s="25" t="s">
        <v>651</v>
      </c>
      <c r="W1" s="26">
        <v>1</v>
      </c>
      <c r="X1" s="27">
        <v>0</v>
      </c>
    </row>
    <row r="2" spans="1:47" ht="15.9">
      <c r="A2" s="18" t="s">
        <v>652</v>
      </c>
      <c r="B2" s="19">
        <v>1.5</v>
      </c>
      <c r="C2" s="19" t="s">
        <v>653</v>
      </c>
      <c r="D2" s="28" t="s">
        <v>654</v>
      </c>
      <c r="E2" s="28" t="s">
        <v>655</v>
      </c>
      <c r="F2" s="28" t="s">
        <v>655</v>
      </c>
      <c r="G2" s="29">
        <v>1</v>
      </c>
      <c r="H2" s="30" t="s">
        <v>656</v>
      </c>
      <c r="W2" s="26">
        <v>2</v>
      </c>
      <c r="X2" s="27">
        <v>0</v>
      </c>
    </row>
    <row r="3" spans="1:47" ht="15.9">
      <c r="A3" s="31" t="s">
        <v>657</v>
      </c>
      <c r="B3" s="19">
        <v>2</v>
      </c>
      <c r="C3" s="19" t="s">
        <v>658</v>
      </c>
      <c r="D3" s="28" t="s">
        <v>659</v>
      </c>
      <c r="E3" s="28" t="s">
        <v>660</v>
      </c>
      <c r="F3" s="28" t="s">
        <v>661</v>
      </c>
      <c r="G3" s="32">
        <v>2</v>
      </c>
      <c r="H3" s="30" t="s">
        <v>662</v>
      </c>
      <c r="W3" s="26">
        <v>3</v>
      </c>
      <c r="X3" s="27">
        <v>0</v>
      </c>
    </row>
    <row r="4" spans="1:47" ht="15" customHeight="1">
      <c r="A4" s="31" t="s">
        <v>663</v>
      </c>
      <c r="B4" s="19">
        <v>2</v>
      </c>
      <c r="C4" s="19" t="s">
        <v>664</v>
      </c>
      <c r="D4" s="28" t="s">
        <v>659</v>
      </c>
      <c r="E4" s="28" t="s">
        <v>665</v>
      </c>
      <c r="F4" s="28" t="s">
        <v>655</v>
      </c>
      <c r="G4" s="32">
        <v>3</v>
      </c>
      <c r="H4" s="30" t="s">
        <v>662</v>
      </c>
      <c r="W4" s="26">
        <v>4</v>
      </c>
      <c r="X4" s="27">
        <v>0</v>
      </c>
    </row>
    <row r="5" spans="1:47" ht="15" customHeight="1">
      <c r="A5" s="31" t="s">
        <v>666</v>
      </c>
      <c r="B5" s="19">
        <v>2.5</v>
      </c>
      <c r="C5" s="19" t="s">
        <v>667</v>
      </c>
      <c r="D5" s="28" t="s">
        <v>659</v>
      </c>
      <c r="E5" s="28" t="s">
        <v>665</v>
      </c>
      <c r="F5" s="28" t="s">
        <v>668</v>
      </c>
      <c r="G5" s="32">
        <v>4</v>
      </c>
      <c r="H5" s="30" t="s">
        <v>662</v>
      </c>
      <c r="W5" s="26">
        <v>5</v>
      </c>
      <c r="X5" s="27">
        <v>0</v>
      </c>
    </row>
    <row r="6" spans="1:47" ht="15" customHeight="1">
      <c r="A6" s="31" t="s">
        <v>669</v>
      </c>
      <c r="B6" s="19">
        <v>1</v>
      </c>
      <c r="C6" s="19" t="s">
        <v>670</v>
      </c>
      <c r="D6" s="28" t="s">
        <v>671</v>
      </c>
      <c r="E6" s="28" t="s">
        <v>672</v>
      </c>
      <c r="F6" s="28" t="s">
        <v>673</v>
      </c>
      <c r="G6" s="32">
        <v>5</v>
      </c>
      <c r="H6" s="30" t="s">
        <v>662</v>
      </c>
      <c r="W6" s="26">
        <v>6</v>
      </c>
      <c r="X6" s="27">
        <v>0.1</v>
      </c>
    </row>
    <row r="7" spans="1:47" ht="15" customHeight="1">
      <c r="A7" s="31" t="s">
        <v>674</v>
      </c>
      <c r="B7" s="19">
        <v>2</v>
      </c>
      <c r="C7" s="19" t="s">
        <v>675</v>
      </c>
      <c r="D7" s="28" t="s">
        <v>659</v>
      </c>
      <c r="E7" s="28" t="s">
        <v>676</v>
      </c>
      <c r="F7" s="28" t="s">
        <v>655</v>
      </c>
      <c r="G7" s="33">
        <v>6</v>
      </c>
      <c r="H7" s="30" t="s">
        <v>677</v>
      </c>
      <c r="W7" s="26">
        <v>7</v>
      </c>
      <c r="X7" s="27">
        <v>0.2</v>
      </c>
    </row>
    <row r="8" spans="1:47" ht="15" customHeight="1">
      <c r="A8" s="31" t="s">
        <v>678</v>
      </c>
      <c r="B8" s="19">
        <v>2.5</v>
      </c>
      <c r="C8" s="19" t="s">
        <v>667</v>
      </c>
      <c r="D8" s="28" t="s">
        <v>679</v>
      </c>
      <c r="E8" s="28" t="s">
        <v>680</v>
      </c>
      <c r="F8" s="28" t="s">
        <v>655</v>
      </c>
      <c r="G8" s="33">
        <v>7</v>
      </c>
      <c r="H8" s="30" t="s">
        <v>681</v>
      </c>
      <c r="W8" s="26">
        <v>8</v>
      </c>
      <c r="X8" s="27">
        <v>0.3</v>
      </c>
    </row>
    <row r="9" spans="1:47" ht="15" customHeight="1">
      <c r="A9" s="31" t="s">
        <v>682</v>
      </c>
      <c r="B9" s="19">
        <v>1.5</v>
      </c>
      <c r="C9" s="19" t="s">
        <v>683</v>
      </c>
      <c r="D9" s="28" t="s">
        <v>654</v>
      </c>
      <c r="E9" s="28" t="s">
        <v>665</v>
      </c>
      <c r="F9" s="28" t="s">
        <v>684</v>
      </c>
      <c r="G9" s="33">
        <v>8</v>
      </c>
      <c r="H9" s="30" t="s">
        <v>660</v>
      </c>
      <c r="W9" s="26">
        <v>9</v>
      </c>
      <c r="X9" s="27">
        <v>0.4</v>
      </c>
    </row>
    <row r="10" spans="1:47" ht="15" customHeight="1">
      <c r="A10" s="34" t="s">
        <v>685</v>
      </c>
      <c r="B10" s="19">
        <v>3</v>
      </c>
      <c r="C10" s="19" t="s">
        <v>667</v>
      </c>
      <c r="D10" s="28" t="s">
        <v>679</v>
      </c>
      <c r="E10" s="28" t="s">
        <v>686</v>
      </c>
      <c r="F10" s="28" t="s">
        <v>655</v>
      </c>
      <c r="G10" s="33">
        <v>9</v>
      </c>
      <c r="H10" s="30" t="s">
        <v>686</v>
      </c>
      <c r="W10" s="26">
        <v>10</v>
      </c>
      <c r="X10" s="27">
        <v>0.5</v>
      </c>
    </row>
    <row r="11" spans="1:47" ht="15" customHeight="1">
      <c r="A11" s="34" t="s">
        <v>687</v>
      </c>
      <c r="B11" s="19">
        <v>2.5</v>
      </c>
      <c r="C11" s="19" t="s">
        <v>675</v>
      </c>
      <c r="D11" s="28" t="s">
        <v>679</v>
      </c>
      <c r="E11" s="28" t="s">
        <v>686</v>
      </c>
      <c r="F11" s="28" t="s">
        <v>655</v>
      </c>
      <c r="G11" s="35">
        <v>10</v>
      </c>
      <c r="H11" s="30" t="s">
        <v>688</v>
      </c>
      <c r="W11" s="26">
        <v>11</v>
      </c>
      <c r="X11" s="27">
        <v>0.6</v>
      </c>
    </row>
    <row r="12" spans="1:47" ht="15" customHeight="1">
      <c r="A12" s="36" t="s">
        <v>689</v>
      </c>
      <c r="B12" s="19">
        <v>2.5</v>
      </c>
      <c r="C12" s="19" t="s">
        <v>667</v>
      </c>
      <c r="D12" s="28" t="s">
        <v>659</v>
      </c>
      <c r="E12" s="28" t="s">
        <v>672</v>
      </c>
      <c r="F12" s="28" t="s">
        <v>655</v>
      </c>
      <c r="G12" s="37">
        <v>11</v>
      </c>
      <c r="H12" s="30" t="s">
        <v>676</v>
      </c>
      <c r="W12" s="26">
        <v>12</v>
      </c>
      <c r="X12" s="27">
        <v>0.7</v>
      </c>
    </row>
    <row r="13" spans="1:47" ht="15" customHeight="1">
      <c r="A13" s="36" t="s">
        <v>690</v>
      </c>
      <c r="B13" s="19">
        <v>2</v>
      </c>
      <c r="C13" s="19" t="s">
        <v>675</v>
      </c>
      <c r="D13" s="28" t="s">
        <v>659</v>
      </c>
      <c r="E13" s="28" t="s">
        <v>686</v>
      </c>
      <c r="F13" s="28" t="s">
        <v>655</v>
      </c>
      <c r="G13" s="37">
        <v>12</v>
      </c>
      <c r="H13" s="30" t="s">
        <v>672</v>
      </c>
      <c r="W13" s="26">
        <v>13</v>
      </c>
      <c r="X13" s="27">
        <v>0.8</v>
      </c>
    </row>
    <row r="14" spans="1:47" ht="15" customHeight="1">
      <c r="A14" s="34" t="s">
        <v>691</v>
      </c>
      <c r="B14" s="19">
        <v>2</v>
      </c>
      <c r="C14" s="19" t="s">
        <v>692</v>
      </c>
      <c r="D14" s="28" t="s">
        <v>659</v>
      </c>
      <c r="E14" s="28" t="s">
        <v>672</v>
      </c>
      <c r="F14" s="28" t="s">
        <v>655</v>
      </c>
      <c r="G14" s="37">
        <v>13</v>
      </c>
      <c r="H14" s="30" t="s">
        <v>693</v>
      </c>
      <c r="W14" s="26">
        <v>14</v>
      </c>
      <c r="X14" s="27">
        <v>0.9</v>
      </c>
    </row>
    <row r="15" spans="1:47" ht="15" customHeight="1">
      <c r="A15" s="38" t="s">
        <v>694</v>
      </c>
      <c r="B15" s="19">
        <v>2</v>
      </c>
      <c r="C15" s="19" t="s">
        <v>695</v>
      </c>
      <c r="D15" s="28" t="s">
        <v>659</v>
      </c>
      <c r="E15" s="28" t="s">
        <v>693</v>
      </c>
      <c r="F15" s="28" t="s">
        <v>655</v>
      </c>
      <c r="G15" s="37">
        <v>14</v>
      </c>
      <c r="H15" s="30" t="s">
        <v>680</v>
      </c>
      <c r="W15" s="26">
        <v>15</v>
      </c>
      <c r="X15" s="27">
        <v>1</v>
      </c>
      <c r="AI15" s="39"/>
      <c r="AM15" s="21"/>
      <c r="AN15" s="21"/>
      <c r="AO15" s="21"/>
      <c r="AP15" s="21"/>
      <c r="AQ15" s="21"/>
      <c r="AR15" s="21"/>
      <c r="AS15" s="21"/>
      <c r="AT15" s="21"/>
      <c r="AU15" s="21"/>
    </row>
    <row r="16" spans="1:47" ht="15" customHeight="1">
      <c r="A16" s="38" t="s">
        <v>696</v>
      </c>
      <c r="B16" s="19">
        <v>2</v>
      </c>
      <c r="C16" s="19" t="s">
        <v>695</v>
      </c>
      <c r="D16" s="28" t="s">
        <v>659</v>
      </c>
      <c r="E16" s="28" t="s">
        <v>693</v>
      </c>
      <c r="F16" s="28" t="s">
        <v>697</v>
      </c>
      <c r="G16" s="37">
        <v>15</v>
      </c>
      <c r="H16" s="30" t="s">
        <v>698</v>
      </c>
      <c r="W16" s="26">
        <v>16</v>
      </c>
      <c r="X16" s="27">
        <v>0</v>
      </c>
      <c r="AI16" s="39"/>
      <c r="AM16" s="21"/>
      <c r="AN16" s="21"/>
      <c r="AO16" s="21"/>
      <c r="AP16" s="21"/>
      <c r="AQ16" s="21"/>
      <c r="AR16" s="21"/>
      <c r="AS16" s="21"/>
      <c r="AT16" s="21"/>
      <c r="AU16" s="21"/>
    </row>
    <row r="17" spans="1:47" ht="15" customHeight="1">
      <c r="A17" s="38" t="s">
        <v>699</v>
      </c>
      <c r="B17" s="19">
        <v>2</v>
      </c>
      <c r="C17" s="19" t="s">
        <v>683</v>
      </c>
      <c r="D17" s="28" t="s">
        <v>659</v>
      </c>
      <c r="E17" s="28" t="s">
        <v>672</v>
      </c>
      <c r="F17" s="28" t="s">
        <v>697</v>
      </c>
      <c r="G17" s="40">
        <v>16</v>
      </c>
      <c r="H17" s="30" t="s">
        <v>700</v>
      </c>
      <c r="W17" s="26">
        <v>17</v>
      </c>
      <c r="X17" s="27">
        <v>0.25</v>
      </c>
      <c r="AI17" s="39"/>
      <c r="AM17" s="21"/>
      <c r="AN17" s="21"/>
      <c r="AO17" s="21"/>
      <c r="AP17" s="21"/>
      <c r="AQ17" s="21"/>
      <c r="AR17" s="21"/>
      <c r="AS17" s="21"/>
      <c r="AT17" s="21"/>
      <c r="AU17" s="21"/>
    </row>
    <row r="18" spans="1:47" ht="15" customHeight="1">
      <c r="A18" s="38" t="s">
        <v>701</v>
      </c>
      <c r="B18" s="19">
        <v>2.5</v>
      </c>
      <c r="C18" s="19" t="s">
        <v>695</v>
      </c>
      <c r="D18" s="28" t="s">
        <v>659</v>
      </c>
      <c r="E18" s="28" t="s">
        <v>693</v>
      </c>
      <c r="F18" s="28" t="s">
        <v>697</v>
      </c>
      <c r="G18" s="40">
        <v>17</v>
      </c>
      <c r="H18" s="30" t="s">
        <v>702</v>
      </c>
      <c r="W18" s="26">
        <v>18</v>
      </c>
      <c r="X18" s="27">
        <v>0.75</v>
      </c>
      <c r="AI18" s="39"/>
      <c r="AM18" s="21"/>
      <c r="AN18" s="21"/>
      <c r="AO18" s="21"/>
      <c r="AP18" s="21"/>
      <c r="AQ18" s="21"/>
      <c r="AR18" s="21"/>
      <c r="AS18" s="21"/>
      <c r="AT18" s="21"/>
      <c r="AU18" s="21"/>
    </row>
    <row r="19" spans="1:47" ht="15" customHeight="1">
      <c r="A19" s="38" t="s">
        <v>703</v>
      </c>
      <c r="B19" s="19">
        <v>1.5</v>
      </c>
      <c r="C19" s="19" t="s">
        <v>704</v>
      </c>
      <c r="D19" s="28" t="s">
        <v>659</v>
      </c>
      <c r="E19" s="28" t="s">
        <v>693</v>
      </c>
      <c r="F19" s="28" t="s">
        <v>705</v>
      </c>
      <c r="G19" s="40">
        <v>18</v>
      </c>
      <c r="H19" s="30" t="s">
        <v>706</v>
      </c>
      <c r="W19" s="26">
        <v>19</v>
      </c>
      <c r="X19" s="27">
        <v>1</v>
      </c>
      <c r="AI19" s="39"/>
      <c r="AM19" s="21"/>
      <c r="AN19" s="21"/>
      <c r="AO19" s="21"/>
      <c r="AP19" s="21"/>
      <c r="AQ19" s="21"/>
      <c r="AR19" s="21"/>
      <c r="AS19" s="21"/>
      <c r="AT19" s="21"/>
      <c r="AU19" s="21"/>
    </row>
    <row r="20" spans="1:47" ht="15" customHeight="1">
      <c r="A20" s="38" t="s">
        <v>707</v>
      </c>
      <c r="B20" s="19">
        <v>2</v>
      </c>
      <c r="C20" s="19" t="s">
        <v>704</v>
      </c>
      <c r="D20" s="28" t="s">
        <v>679</v>
      </c>
      <c r="E20" s="28" t="s">
        <v>672</v>
      </c>
      <c r="F20" s="28" t="s">
        <v>655</v>
      </c>
      <c r="G20" s="40">
        <v>19</v>
      </c>
      <c r="H20" s="30" t="s">
        <v>708</v>
      </c>
      <c r="W20" s="26">
        <v>20</v>
      </c>
      <c r="X20" s="27">
        <v>1</v>
      </c>
      <c r="AI20" s="39"/>
      <c r="AM20" s="21"/>
      <c r="AN20" s="21"/>
      <c r="AO20" s="21"/>
      <c r="AP20" s="21"/>
      <c r="AQ20" s="21"/>
      <c r="AR20" s="21"/>
      <c r="AS20" s="21"/>
      <c r="AT20" s="21"/>
      <c r="AU20" s="21"/>
    </row>
    <row r="21" spans="1:47" ht="13.5" customHeight="1">
      <c r="A21" s="38" t="s">
        <v>709</v>
      </c>
      <c r="B21" s="19">
        <v>1</v>
      </c>
      <c r="C21" s="19" t="s">
        <v>695</v>
      </c>
      <c r="D21" s="28" t="s">
        <v>659</v>
      </c>
      <c r="E21" s="28" t="s">
        <v>680</v>
      </c>
      <c r="F21" s="28" t="s">
        <v>655</v>
      </c>
      <c r="G21" s="41">
        <v>20</v>
      </c>
      <c r="H21" s="42" t="s">
        <v>710</v>
      </c>
      <c r="W21" s="43" t="s">
        <v>711</v>
      </c>
      <c r="X21" s="43">
        <f>(G34-G33)</f>
        <v>6</v>
      </c>
      <c r="AI21" s="39"/>
      <c r="AM21" s="21"/>
      <c r="AN21" s="21"/>
      <c r="AO21" s="21"/>
      <c r="AP21" s="21"/>
      <c r="AQ21" s="21"/>
      <c r="AR21" s="21"/>
      <c r="AS21" s="21"/>
      <c r="AT21" s="21"/>
      <c r="AU21" s="21"/>
    </row>
    <row r="22" spans="1:47" ht="13.5" customHeight="1">
      <c r="A22" s="38" t="s">
        <v>712</v>
      </c>
      <c r="B22" s="19">
        <v>1</v>
      </c>
      <c r="C22" s="19" t="s">
        <v>713</v>
      </c>
      <c r="D22" s="28" t="s">
        <v>654</v>
      </c>
      <c r="E22" s="28" t="s">
        <v>681</v>
      </c>
      <c r="F22" s="28" t="s">
        <v>714</v>
      </c>
      <c r="G22" s="28"/>
      <c r="H22" s="28"/>
      <c r="W22" s="43"/>
      <c r="X22" s="43"/>
      <c r="AI22" s="39"/>
      <c r="AM22" s="21"/>
      <c r="AN22" s="21"/>
      <c r="AO22" s="21"/>
      <c r="AP22" s="21"/>
      <c r="AQ22" s="21"/>
      <c r="AR22" s="21"/>
      <c r="AS22" s="21"/>
      <c r="AT22" s="21"/>
      <c r="AU22" s="21"/>
    </row>
    <row r="23" spans="1:47" ht="13.5" customHeight="1">
      <c r="G23" s="28"/>
      <c r="H23" s="28"/>
      <c r="W23" s="43"/>
      <c r="X23" s="43"/>
      <c r="AI23" s="39"/>
      <c r="AM23" s="21"/>
      <c r="AN23" s="21"/>
      <c r="AO23" s="21"/>
      <c r="AP23" s="21"/>
      <c r="AQ23" s="21"/>
      <c r="AR23" s="21"/>
      <c r="AS23" s="21"/>
      <c r="AT23" s="21"/>
      <c r="AU23" s="21"/>
    </row>
    <row r="24" spans="1:47" ht="13.5" customHeight="1">
      <c r="G24" s="28"/>
      <c r="H24" s="28"/>
      <c r="W24" s="43"/>
      <c r="X24" s="43"/>
      <c r="AI24" s="39"/>
      <c r="AM24" s="21"/>
      <c r="AN24" s="21"/>
      <c r="AO24" s="21"/>
      <c r="AP24" s="21"/>
      <c r="AQ24" s="21"/>
      <c r="AR24" s="21"/>
      <c r="AS24" s="21"/>
      <c r="AT24" s="21"/>
      <c r="AU24" s="21"/>
    </row>
    <row r="25" spans="1:47" ht="13.5" customHeight="1">
      <c r="H25" s="28"/>
      <c r="W25" s="43"/>
      <c r="X25" s="43"/>
      <c r="AI25" s="39"/>
      <c r="AM25" s="21"/>
      <c r="AN25" s="21"/>
      <c r="AO25" s="21"/>
      <c r="AP25" s="21"/>
      <c r="AQ25" s="21"/>
      <c r="AR25" s="21"/>
      <c r="AS25" s="21"/>
      <c r="AT25" s="21"/>
      <c r="AU25" s="21"/>
    </row>
    <row r="26" spans="1:47" ht="13.5" customHeight="1">
      <c r="H26" s="28"/>
      <c r="W26" s="43"/>
      <c r="X26" s="43"/>
      <c r="AI26" s="39"/>
      <c r="AM26" s="21"/>
      <c r="AN26" s="21"/>
      <c r="AO26" s="21"/>
      <c r="AP26" s="21"/>
      <c r="AQ26" s="21"/>
      <c r="AR26" s="21"/>
      <c r="AS26" s="21"/>
      <c r="AT26" s="21"/>
      <c r="AU26" s="21"/>
    </row>
    <row r="27" spans="1:47" ht="14.25" customHeight="1">
      <c r="B27" s="19"/>
      <c r="D27" s="28"/>
      <c r="E27" s="28"/>
      <c r="F27" s="28"/>
      <c r="W27" s="43" t="s">
        <v>715</v>
      </c>
      <c r="X27" s="44">
        <f>VLOOKUP($G32, $W$1:$X$20, 2, FALSE)</f>
        <v>0.25</v>
      </c>
      <c r="AM27" s="21"/>
      <c r="AN27" s="21"/>
      <c r="AO27" s="21"/>
      <c r="AP27" s="21"/>
      <c r="AQ27" s="21"/>
      <c r="AR27" s="21"/>
      <c r="AS27" s="21"/>
      <c r="AT27" s="21"/>
      <c r="AU27" s="21"/>
    </row>
    <row r="28" spans="1:47" ht="14.25" customHeight="1">
      <c r="A28" s="45" t="s">
        <v>716</v>
      </c>
      <c r="B28" s="45"/>
      <c r="C28" s="45"/>
      <c r="D28" s="28"/>
      <c r="E28" s="28"/>
      <c r="F28" s="28"/>
      <c r="AM28" s="21"/>
      <c r="AN28" s="21"/>
      <c r="AO28" s="21"/>
      <c r="AP28" s="21"/>
      <c r="AQ28" s="21"/>
      <c r="AR28" s="21"/>
      <c r="AS28" s="21"/>
      <c r="AT28" s="21"/>
      <c r="AU28" s="21"/>
    </row>
    <row r="29" spans="1:47" ht="14.25" customHeight="1">
      <c r="A29" s="46" t="s">
        <v>717</v>
      </c>
      <c r="B29" s="19">
        <v>1.5</v>
      </c>
      <c r="C29" s="19" t="s">
        <v>683</v>
      </c>
      <c r="D29" s="28" t="s">
        <v>654</v>
      </c>
      <c r="E29" s="28" t="s">
        <v>665</v>
      </c>
      <c r="AM29" s="21"/>
      <c r="AN29" s="21"/>
      <c r="AO29" s="21"/>
      <c r="AP29" s="21"/>
      <c r="AQ29" s="21"/>
      <c r="AR29" s="21"/>
      <c r="AS29" s="21"/>
      <c r="AT29" s="21"/>
      <c r="AU29" s="21"/>
    </row>
    <row r="30" spans="1:47" ht="14.25" customHeight="1">
      <c r="A30" s="46" t="s">
        <v>718</v>
      </c>
      <c r="B30" s="19">
        <v>2</v>
      </c>
      <c r="C30" s="19" t="s">
        <v>667</v>
      </c>
      <c r="D30" s="28" t="s">
        <v>659</v>
      </c>
      <c r="E30" s="28" t="s">
        <v>665</v>
      </c>
      <c r="F30" s="47" t="s">
        <v>719</v>
      </c>
      <c r="G30" s="48"/>
      <c r="AK30" s="39"/>
      <c r="AL30" s="39"/>
      <c r="AM30" s="21"/>
      <c r="AN30" s="21"/>
      <c r="AO30" s="21"/>
      <c r="AP30" s="21"/>
      <c r="AQ30" s="21"/>
      <c r="AR30" s="21"/>
      <c r="AS30" s="21"/>
      <c r="AT30" s="21"/>
      <c r="AU30" s="21"/>
    </row>
    <row r="31" spans="1:47" ht="14.25" customHeight="1">
      <c r="A31" s="46" t="s">
        <v>720</v>
      </c>
      <c r="B31" s="19">
        <v>2</v>
      </c>
      <c r="C31" s="19" t="s">
        <v>721</v>
      </c>
      <c r="D31" s="28" t="s">
        <v>659</v>
      </c>
      <c r="E31" s="28" t="s">
        <v>665</v>
      </c>
      <c r="AJ31" s="39"/>
      <c r="AM31" s="21"/>
      <c r="AN31" s="21"/>
      <c r="AO31" s="21"/>
      <c r="AP31" s="21"/>
      <c r="AQ31" s="21"/>
      <c r="AR31" s="21"/>
      <c r="AS31" s="21"/>
      <c r="AT31" s="21"/>
      <c r="AU31" s="21"/>
    </row>
    <row r="32" spans="1:47" ht="14.25" customHeight="1">
      <c r="A32" s="46" t="s">
        <v>722</v>
      </c>
      <c r="B32" s="19" t="s">
        <v>655</v>
      </c>
      <c r="C32" s="19" t="s">
        <v>655</v>
      </c>
      <c r="D32" s="28" t="s">
        <v>723</v>
      </c>
      <c r="E32" s="28" t="s">
        <v>665</v>
      </c>
      <c r="F32" s="49" t="s">
        <v>23</v>
      </c>
      <c r="G32" s="50">
        <v>17</v>
      </c>
      <c r="AJ32" s="39"/>
      <c r="AM32" s="21"/>
      <c r="AN32" s="21"/>
      <c r="AO32" s="21"/>
      <c r="AP32" s="21"/>
      <c r="AQ32" s="21"/>
      <c r="AR32" s="21"/>
      <c r="AS32" s="21"/>
      <c r="AT32" s="21"/>
      <c r="AU32" s="21"/>
    </row>
    <row r="33" spans="1:47" ht="14.25" customHeight="1">
      <c r="A33" s="46" t="s">
        <v>724</v>
      </c>
      <c r="B33" s="19" t="s">
        <v>655</v>
      </c>
      <c r="C33" s="19" t="s">
        <v>655</v>
      </c>
      <c r="D33" s="28" t="s">
        <v>659</v>
      </c>
      <c r="E33" s="28" t="s">
        <v>665</v>
      </c>
      <c r="F33" s="51" t="s">
        <v>725</v>
      </c>
      <c r="G33" s="52">
        <v>10</v>
      </c>
      <c r="AM33" s="21"/>
      <c r="AN33" s="21"/>
      <c r="AO33" s="21"/>
      <c r="AP33" s="21"/>
      <c r="AQ33" s="21"/>
      <c r="AR33" s="21"/>
      <c r="AS33" s="21"/>
      <c r="AT33" s="21"/>
      <c r="AU33" s="21"/>
    </row>
    <row r="34" spans="1:47" ht="14.25" customHeight="1">
      <c r="D34" s="28"/>
      <c r="F34" s="53" t="s">
        <v>726</v>
      </c>
      <c r="G34" s="54">
        <v>16</v>
      </c>
      <c r="AM34" s="21"/>
      <c r="AN34" s="21"/>
      <c r="AO34" s="21"/>
      <c r="AP34" s="21"/>
      <c r="AQ34" s="21"/>
      <c r="AR34" s="21"/>
      <c r="AS34" s="21"/>
      <c r="AT34" s="21"/>
      <c r="AU34" s="21"/>
    </row>
    <row r="35" spans="1:47" ht="15" customHeight="1">
      <c r="A35" s="45" t="s">
        <v>727</v>
      </c>
      <c r="B35" s="45"/>
      <c r="C35" s="45"/>
      <c r="D35" s="28"/>
      <c r="F35" s="53" t="s">
        <v>646</v>
      </c>
      <c r="G35" s="54">
        <v>1</v>
      </c>
      <c r="AM35" s="21"/>
      <c r="AN35" s="21"/>
      <c r="AO35" s="21"/>
      <c r="AP35" s="21"/>
      <c r="AQ35" s="21"/>
      <c r="AR35" s="21"/>
      <c r="AS35" s="21"/>
      <c r="AT35" s="21"/>
      <c r="AU35" s="21"/>
    </row>
    <row r="36" spans="1:47" ht="15" customHeight="1">
      <c r="A36" s="1" t="s">
        <v>728</v>
      </c>
      <c r="B36" s="1"/>
      <c r="C36" s="1"/>
      <c r="D36" s="28"/>
      <c r="F36" s="53" t="s">
        <v>729</v>
      </c>
      <c r="G36" s="54">
        <v>0</v>
      </c>
      <c r="H36" s="55"/>
      <c r="AM36" s="21"/>
      <c r="AN36" s="21"/>
      <c r="AO36" s="21"/>
      <c r="AP36" s="21"/>
      <c r="AQ36" s="21"/>
      <c r="AR36" s="21"/>
      <c r="AS36" s="21"/>
      <c r="AT36" s="21"/>
      <c r="AU36" s="21"/>
    </row>
    <row r="37" spans="1:47" ht="15" customHeight="1">
      <c r="A37" s="18" t="s">
        <v>730</v>
      </c>
      <c r="B37" s="1"/>
      <c r="C37" s="1"/>
      <c r="D37" s="56"/>
      <c r="F37" s="57" t="s">
        <v>731</v>
      </c>
      <c r="G37" s="58">
        <v>0</v>
      </c>
      <c r="AM37" s="21"/>
      <c r="AN37" s="21"/>
      <c r="AO37" s="21"/>
      <c r="AP37" s="21"/>
      <c r="AQ37" s="21"/>
      <c r="AR37" s="21"/>
      <c r="AS37" s="21"/>
      <c r="AT37" s="21"/>
      <c r="AU37" s="21"/>
    </row>
    <row r="38" spans="1:47" ht="15" customHeight="1">
      <c r="A38" s="1" t="s">
        <v>732</v>
      </c>
      <c r="B38" s="1"/>
      <c r="C38" s="1"/>
      <c r="D38" s="28"/>
      <c r="F38" s="53" t="s">
        <v>733</v>
      </c>
      <c r="G38" s="59">
        <f>IF(AND(G32&gt;=16, G32&lt;=20), ((X21*X27)+G33) * G35, (X21*X27)+G33)</f>
        <v>11.5</v>
      </c>
      <c r="AK38" s="18"/>
      <c r="AM38" s="21"/>
      <c r="AN38" s="21"/>
      <c r="AO38" s="21"/>
      <c r="AP38" s="21"/>
      <c r="AQ38" s="21"/>
      <c r="AR38" s="21"/>
      <c r="AS38" s="21"/>
      <c r="AT38" s="21"/>
      <c r="AU38" s="21"/>
    </row>
    <row r="39" spans="1:47" ht="15" customHeight="1">
      <c r="A39" s="1" t="s">
        <v>734</v>
      </c>
      <c r="B39" s="1"/>
      <c r="C39" s="1"/>
      <c r="D39" s="28"/>
      <c r="F39" s="60" t="s">
        <v>735</v>
      </c>
      <c r="G39" s="61">
        <f>G34*(100%-G37)-G36</f>
        <v>16</v>
      </c>
    </row>
    <row r="40" spans="1:47" ht="15.9">
      <c r="A40" s="1" t="s">
        <v>736</v>
      </c>
      <c r="B40" s="1"/>
      <c r="C40" s="1"/>
    </row>
    <row r="41" spans="1:47" ht="15.75" customHeight="1">
      <c r="A41" s="1" t="s">
        <v>737</v>
      </c>
      <c r="B41" s="1"/>
      <c r="C41" s="1"/>
    </row>
    <row r="42" spans="1:47" ht="15.75" customHeight="1">
      <c r="A42" s="1"/>
      <c r="B42" s="12"/>
      <c r="C42" s="12"/>
    </row>
    <row r="43" spans="1:47" ht="15.75" customHeight="1">
      <c r="A43" s="12" t="s">
        <v>738</v>
      </c>
      <c r="B43" s="62"/>
      <c r="C43" s="62"/>
      <c r="D43" s="63"/>
      <c r="E43" s="55"/>
    </row>
    <row r="44" spans="1:47" ht="15.75" customHeight="1">
      <c r="A44" s="62" t="s">
        <v>739</v>
      </c>
      <c r="B44" s="62"/>
      <c r="C44" s="62"/>
      <c r="D44" s="64"/>
      <c r="E44" s="55"/>
      <c r="H44" s="65"/>
      <c r="I44" s="65"/>
      <c r="J44" s="65"/>
      <c r="K44" s="65"/>
      <c r="L44" s="65"/>
      <c r="M44" s="65"/>
      <c r="N44" s="65"/>
    </row>
    <row r="45" spans="1:47" ht="15.75" customHeight="1">
      <c r="A45" s="62" t="s">
        <v>740</v>
      </c>
      <c r="B45" s="62"/>
      <c r="C45" s="62"/>
    </row>
    <row r="46" spans="1:47" ht="15.75" customHeight="1">
      <c r="A46" s="18" t="s">
        <v>741</v>
      </c>
      <c r="D46" s="63"/>
      <c r="E46" s="63"/>
    </row>
    <row r="47" spans="1:47" ht="15.75" customHeight="1">
      <c r="D47" s="64"/>
      <c r="E47" s="64"/>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M130"/>
  <sheetViews>
    <sheetView workbookViewId="0">
      <pane xSplit="1" topLeftCell="B1" activePane="topRight" state="frozen"/>
      <selection activeCell="A88" sqref="A88"/>
      <selection pane="topRight" activeCell="B27" sqref="B27:B30"/>
    </sheetView>
  </sheetViews>
  <sheetFormatPr defaultRowHeight="14.25" customHeight="1"/>
  <cols>
    <col min="1" max="1" width="11.7109375" customWidth="1"/>
    <col min="2" max="2" width="46.140625" customWidth="1"/>
    <col min="3" max="3" width="36.85546875" customWidth="1"/>
    <col min="4" max="4" width="34" customWidth="1"/>
    <col min="5" max="5" width="45.640625" style="21" bestFit="1" customWidth="1"/>
    <col min="6" max="6" width="38.5" bestFit="1" customWidth="1"/>
    <col min="7" max="7" width="36.7109375" customWidth="1"/>
    <col min="8" max="8" width="39" customWidth="1"/>
    <col min="9" max="11" width="36.2109375" customWidth="1"/>
    <col min="16" max="16" width="45.640625" bestFit="1" customWidth="1"/>
  </cols>
  <sheetData>
    <row r="1" spans="1:13" s="66" customFormat="1" ht="14.25" customHeight="1">
      <c r="A1" s="67"/>
      <c r="B1" s="808" t="s">
        <v>742</v>
      </c>
      <c r="C1" s="808"/>
      <c r="D1" s="808"/>
      <c r="E1" s="808"/>
      <c r="F1" s="808"/>
      <c r="G1" s="808"/>
      <c r="H1" s="68"/>
      <c r="I1" s="68"/>
      <c r="J1" s="68"/>
      <c r="K1" s="68"/>
      <c r="L1" s="68"/>
      <c r="M1" s="69"/>
    </row>
    <row r="2" spans="1:13" s="66" customFormat="1" ht="14.25" customHeight="1">
      <c r="A2" s="70" t="s">
        <v>23</v>
      </c>
      <c r="B2" s="809" t="s">
        <v>743</v>
      </c>
      <c r="C2" s="809"/>
      <c r="D2" s="69"/>
      <c r="E2" s="68"/>
      <c r="F2" s="68"/>
      <c r="G2" s="68"/>
      <c r="H2" s="68"/>
      <c r="I2" s="68"/>
      <c r="J2" s="68"/>
      <c r="K2" s="68"/>
      <c r="L2" s="68"/>
      <c r="M2" s="69"/>
    </row>
    <row r="3" spans="1:13" s="66" customFormat="1" ht="14.25" customHeight="1">
      <c r="A3" s="71">
        <v>1</v>
      </c>
      <c r="B3" s="810" t="s">
        <v>744</v>
      </c>
      <c r="C3" s="811"/>
      <c r="D3" s="69"/>
      <c r="E3" s="68"/>
      <c r="F3" s="68"/>
      <c r="G3" s="68"/>
      <c r="H3" s="68"/>
      <c r="M3" s="69"/>
    </row>
    <row r="4" spans="1:13" ht="14.25" customHeight="1">
      <c r="A4" s="73">
        <v>2</v>
      </c>
      <c r="B4" s="806" t="s">
        <v>745</v>
      </c>
      <c r="C4" s="807"/>
      <c r="D4" s="69"/>
      <c r="E4" s="68"/>
      <c r="F4" s="68"/>
      <c r="G4" s="68"/>
      <c r="H4" s="68"/>
      <c r="M4" s="69"/>
    </row>
    <row r="5" spans="1:13" ht="14.25" customHeight="1">
      <c r="A5" s="73">
        <v>3</v>
      </c>
      <c r="B5" s="806" t="s">
        <v>746</v>
      </c>
      <c r="C5" s="807"/>
      <c r="D5" s="69"/>
      <c r="E5" s="68"/>
      <c r="F5" s="68"/>
      <c r="G5" s="68"/>
      <c r="H5" s="68"/>
      <c r="M5" s="69"/>
    </row>
    <row r="6" spans="1:13" ht="14.25" customHeight="1">
      <c r="A6" s="73">
        <v>4</v>
      </c>
      <c r="B6" s="806" t="s">
        <v>747</v>
      </c>
      <c r="C6" s="807"/>
      <c r="D6" s="69"/>
      <c r="E6" s="68"/>
      <c r="F6" s="68"/>
      <c r="G6" s="68"/>
      <c r="H6" s="68"/>
      <c r="M6" s="69"/>
    </row>
    <row r="7" spans="1:13" ht="14.25" customHeight="1">
      <c r="A7" s="73">
        <v>5</v>
      </c>
      <c r="B7" s="806" t="s">
        <v>748</v>
      </c>
      <c r="C7" s="807"/>
      <c r="D7" s="69"/>
      <c r="E7" s="68"/>
      <c r="F7" s="68"/>
      <c r="G7" s="68"/>
      <c r="H7" s="68"/>
      <c r="M7" s="69"/>
    </row>
    <row r="8" spans="1:13" ht="14.25" customHeight="1">
      <c r="A8" s="75">
        <v>6</v>
      </c>
      <c r="B8" s="802" t="s">
        <v>749</v>
      </c>
      <c r="C8" s="803"/>
      <c r="D8" s="69"/>
      <c r="E8" s="68"/>
      <c r="F8" s="68"/>
      <c r="G8" s="68"/>
      <c r="H8" s="68"/>
      <c r="M8" s="69"/>
    </row>
    <row r="9" spans="1:13" ht="14.25" customHeight="1">
      <c r="A9" s="75">
        <v>7</v>
      </c>
      <c r="B9" s="802" t="s">
        <v>750</v>
      </c>
      <c r="C9" s="803"/>
      <c r="D9" s="69"/>
      <c r="E9" s="68"/>
      <c r="F9" s="68"/>
      <c r="G9" s="68"/>
      <c r="H9" s="68"/>
      <c r="M9" s="69"/>
    </row>
    <row r="10" spans="1:13" ht="14.25" customHeight="1">
      <c r="A10" s="75">
        <v>8</v>
      </c>
      <c r="B10" s="802" t="s">
        <v>751</v>
      </c>
      <c r="C10" s="803"/>
      <c r="D10" s="69"/>
      <c r="E10" s="68"/>
      <c r="F10" s="68"/>
      <c r="G10" s="68"/>
      <c r="H10" s="68"/>
      <c r="M10" s="69"/>
    </row>
    <row r="11" spans="1:13" ht="14.25" customHeight="1">
      <c r="A11" s="75">
        <v>9</v>
      </c>
      <c r="B11" s="802" t="s">
        <v>752</v>
      </c>
      <c r="C11" s="803"/>
      <c r="D11" s="69"/>
      <c r="E11" s="68"/>
      <c r="F11" s="68"/>
      <c r="G11" s="68"/>
      <c r="H11" s="68"/>
      <c r="M11" s="69"/>
    </row>
    <row r="12" spans="1:13" ht="14.25" customHeight="1">
      <c r="A12" s="77">
        <v>10</v>
      </c>
      <c r="B12" s="804" t="s">
        <v>753</v>
      </c>
      <c r="C12" s="805"/>
      <c r="D12" s="69"/>
      <c r="E12" s="68"/>
      <c r="F12" s="68"/>
      <c r="G12" s="68"/>
      <c r="H12" s="68"/>
      <c r="M12" s="69"/>
    </row>
    <row r="13" spans="1:13" ht="14.25" customHeight="1">
      <c r="A13" s="79">
        <v>11</v>
      </c>
      <c r="B13" s="800" t="s">
        <v>754</v>
      </c>
      <c r="C13" s="801"/>
      <c r="D13" s="69"/>
      <c r="E13" s="68"/>
      <c r="F13" s="68"/>
      <c r="G13" s="68"/>
      <c r="H13" s="68"/>
      <c r="M13" s="69"/>
    </row>
    <row r="14" spans="1:13" ht="14.25" customHeight="1">
      <c r="A14" s="79">
        <v>12</v>
      </c>
      <c r="B14" s="800" t="s">
        <v>755</v>
      </c>
      <c r="C14" s="801"/>
      <c r="D14" s="69"/>
      <c r="E14" s="68"/>
      <c r="F14" s="68"/>
      <c r="G14" s="68"/>
      <c r="H14" s="68"/>
      <c r="M14" s="69"/>
    </row>
    <row r="15" spans="1:13" s="66" customFormat="1" ht="14.25" customHeight="1">
      <c r="A15" s="79">
        <v>13</v>
      </c>
      <c r="B15" s="800" t="s">
        <v>755</v>
      </c>
      <c r="C15" s="801"/>
      <c r="D15" s="69"/>
      <c r="E15" s="68"/>
      <c r="F15" s="68"/>
      <c r="G15" s="68"/>
      <c r="H15" s="68"/>
      <c r="M15" s="69"/>
    </row>
    <row r="16" spans="1:13" ht="14.25" customHeight="1">
      <c r="A16" s="79">
        <v>14</v>
      </c>
      <c r="B16" s="800" t="s">
        <v>756</v>
      </c>
      <c r="C16" s="801"/>
      <c r="D16" s="69"/>
      <c r="E16" s="68"/>
      <c r="F16" s="68"/>
      <c r="G16" s="68"/>
      <c r="H16" s="68"/>
      <c r="M16" s="69"/>
    </row>
    <row r="17" spans="1:13" ht="13.5" customHeight="1">
      <c r="A17" s="79">
        <v>15</v>
      </c>
      <c r="B17" s="800" t="s">
        <v>756</v>
      </c>
      <c r="C17" s="801"/>
      <c r="D17" s="69"/>
      <c r="E17" s="68"/>
      <c r="F17" s="68"/>
      <c r="G17" s="68"/>
      <c r="H17" s="68"/>
      <c r="M17" s="69"/>
    </row>
    <row r="18" spans="1:13" ht="13.5" customHeight="1">
      <c r="A18" s="81">
        <v>16</v>
      </c>
      <c r="B18" s="793" t="s">
        <v>757</v>
      </c>
      <c r="C18" s="794"/>
      <c r="D18" s="69"/>
      <c r="E18" s="68"/>
      <c r="F18" s="68"/>
      <c r="G18" s="68"/>
      <c r="H18" s="68"/>
      <c r="M18" s="69"/>
    </row>
    <row r="19" spans="1:13" ht="13.5" customHeight="1">
      <c r="A19" s="81">
        <v>17</v>
      </c>
      <c r="B19" s="793" t="s">
        <v>757</v>
      </c>
      <c r="C19" s="794"/>
      <c r="D19" s="69"/>
      <c r="E19" s="68"/>
      <c r="F19" s="68"/>
      <c r="G19" s="68"/>
      <c r="H19" s="68"/>
      <c r="M19" s="69"/>
    </row>
    <row r="20" spans="1:13" ht="13.5" customHeight="1">
      <c r="A20" s="81">
        <v>18</v>
      </c>
      <c r="B20" s="793" t="s">
        <v>757</v>
      </c>
      <c r="C20" s="794"/>
      <c r="D20" s="69"/>
      <c r="E20" s="68"/>
      <c r="F20" s="68"/>
      <c r="G20" s="68"/>
      <c r="H20" s="68"/>
      <c r="M20" s="69"/>
    </row>
    <row r="21" spans="1:13" ht="13.5" customHeight="1">
      <c r="A21" s="81">
        <v>19</v>
      </c>
      <c r="B21" s="793" t="s">
        <v>757</v>
      </c>
      <c r="C21" s="794"/>
      <c r="D21" s="69"/>
      <c r="E21" s="68"/>
      <c r="F21" s="68"/>
      <c r="G21" s="68"/>
      <c r="H21" s="68"/>
      <c r="M21" s="69"/>
    </row>
    <row r="22" spans="1:13" ht="13.5" customHeight="1">
      <c r="A22" s="83">
        <v>20</v>
      </c>
      <c r="B22" s="795" t="s">
        <v>758</v>
      </c>
      <c r="C22" s="796"/>
      <c r="D22" s="69"/>
      <c r="E22" s="68"/>
      <c r="F22" s="68"/>
      <c r="G22" s="68"/>
      <c r="H22" s="68"/>
      <c r="M22" s="69"/>
    </row>
    <row r="23" spans="1:13" ht="13.5" customHeight="1">
      <c r="A23" s="85"/>
      <c r="B23" s="69"/>
      <c r="C23" s="69"/>
      <c r="D23" s="69"/>
      <c r="E23" s="68"/>
      <c r="F23" s="68"/>
      <c r="G23" s="68"/>
      <c r="H23" s="68"/>
      <c r="M23" s="69"/>
    </row>
    <row r="24" spans="1:13" ht="13.5" customHeight="1">
      <c r="A24" s="85"/>
      <c r="B24" s="797" t="s">
        <v>759</v>
      </c>
      <c r="C24" s="797"/>
      <c r="D24" s="797"/>
      <c r="E24" s="797"/>
      <c r="F24" s="797"/>
      <c r="G24" s="797"/>
      <c r="H24" s="68"/>
      <c r="M24" s="69"/>
    </row>
    <row r="25" spans="1:13" ht="13.5" customHeight="1">
      <c r="A25" s="86" t="s">
        <v>23</v>
      </c>
      <c r="B25" s="70" t="s">
        <v>760</v>
      </c>
      <c r="C25" s="70" t="s">
        <v>761</v>
      </c>
      <c r="D25" s="70" t="s">
        <v>762</v>
      </c>
      <c r="E25" s="87" t="s">
        <v>763</v>
      </c>
      <c r="F25" s="87" t="s">
        <v>764</v>
      </c>
      <c r="G25" s="68"/>
      <c r="H25" s="68"/>
      <c r="M25" s="69"/>
    </row>
    <row r="26" spans="1:13" ht="13.5" customHeight="1">
      <c r="A26" s="71">
        <v>1</v>
      </c>
      <c r="B26" s="88" t="s">
        <v>765</v>
      </c>
      <c r="C26" s="71" t="s">
        <v>766</v>
      </c>
      <c r="D26" s="88" t="s">
        <v>767</v>
      </c>
      <c r="E26" s="89" t="s">
        <v>768</v>
      </c>
      <c r="F26" s="89" t="s">
        <v>766</v>
      </c>
      <c r="G26" s="90"/>
      <c r="H26" s="68"/>
      <c r="M26" s="69"/>
    </row>
    <row r="27" spans="1:13" s="66" customFormat="1" ht="13.5" customHeight="1">
      <c r="A27" s="73">
        <v>2</v>
      </c>
      <c r="B27" s="73" t="s">
        <v>769</v>
      </c>
      <c r="C27" s="73" t="s">
        <v>770</v>
      </c>
      <c r="D27" s="73" t="s">
        <v>771</v>
      </c>
      <c r="E27" s="91" t="s">
        <v>772</v>
      </c>
      <c r="F27" s="91" t="s">
        <v>770</v>
      </c>
      <c r="G27" s="92"/>
      <c r="H27" s="68"/>
      <c r="M27" s="69"/>
    </row>
    <row r="28" spans="1:13" ht="13.5" customHeight="1">
      <c r="A28" s="73">
        <v>3</v>
      </c>
      <c r="B28" s="73" t="s">
        <v>773</v>
      </c>
      <c r="C28" s="73" t="s">
        <v>770</v>
      </c>
      <c r="D28" s="73" t="s">
        <v>774</v>
      </c>
      <c r="E28" s="91" t="s">
        <v>772</v>
      </c>
      <c r="F28" s="91" t="s">
        <v>770</v>
      </c>
      <c r="G28" s="92"/>
      <c r="H28" s="68"/>
      <c r="M28" s="69"/>
    </row>
    <row r="29" spans="1:13" ht="13.5" customHeight="1">
      <c r="A29" s="73">
        <v>4</v>
      </c>
      <c r="B29" s="73" t="s">
        <v>775</v>
      </c>
      <c r="C29" s="73" t="s">
        <v>770</v>
      </c>
      <c r="D29" s="73" t="s">
        <v>776</v>
      </c>
      <c r="E29" s="91" t="s">
        <v>772</v>
      </c>
      <c r="F29" s="91" t="s">
        <v>770</v>
      </c>
      <c r="G29" s="92"/>
      <c r="H29" s="68"/>
      <c r="M29" s="69"/>
    </row>
    <row r="30" spans="1:13" ht="13.5" customHeight="1">
      <c r="A30" s="73">
        <v>5</v>
      </c>
      <c r="B30" s="73" t="s">
        <v>777</v>
      </c>
      <c r="C30" s="73" t="s">
        <v>770</v>
      </c>
      <c r="D30" s="73" t="s">
        <v>778</v>
      </c>
      <c r="E30" s="91" t="s">
        <v>772</v>
      </c>
      <c r="F30" s="91" t="s">
        <v>770</v>
      </c>
      <c r="G30" s="92"/>
      <c r="H30" s="68"/>
      <c r="M30" s="69"/>
    </row>
    <row r="31" spans="1:13" ht="13.5" customHeight="1">
      <c r="A31" s="75">
        <v>6</v>
      </c>
      <c r="B31" s="75" t="s">
        <v>779</v>
      </c>
      <c r="C31" s="75" t="s">
        <v>770</v>
      </c>
      <c r="D31" s="75" t="s">
        <v>780</v>
      </c>
      <c r="E31" s="93" t="s">
        <v>770</v>
      </c>
      <c r="F31" s="93" t="s">
        <v>770</v>
      </c>
      <c r="G31" s="94"/>
      <c r="H31" s="68"/>
      <c r="M31" s="69"/>
    </row>
    <row r="32" spans="1:13" ht="13.5" customHeight="1">
      <c r="A32" s="75">
        <v>7</v>
      </c>
      <c r="B32" s="75" t="s">
        <v>781</v>
      </c>
      <c r="C32" s="75" t="s">
        <v>770</v>
      </c>
      <c r="D32" s="75" t="s">
        <v>780</v>
      </c>
      <c r="E32" s="93" t="s">
        <v>770</v>
      </c>
      <c r="F32" s="93" t="s">
        <v>770</v>
      </c>
      <c r="G32" s="94"/>
      <c r="H32" s="68"/>
      <c r="M32" s="69"/>
    </row>
    <row r="33" spans="1:13" ht="13.5" customHeight="1">
      <c r="A33" s="75">
        <v>8</v>
      </c>
      <c r="B33" s="75" t="s">
        <v>782</v>
      </c>
      <c r="C33" s="75" t="s">
        <v>770</v>
      </c>
      <c r="D33" s="75" t="s">
        <v>780</v>
      </c>
      <c r="E33" s="93" t="s">
        <v>770</v>
      </c>
      <c r="F33" s="93" t="s">
        <v>770</v>
      </c>
      <c r="G33" s="94"/>
      <c r="H33" s="68"/>
      <c r="M33" s="69"/>
    </row>
    <row r="34" spans="1:13" ht="13.5" customHeight="1">
      <c r="A34" s="75">
        <v>9</v>
      </c>
      <c r="B34" s="75" t="s">
        <v>783</v>
      </c>
      <c r="C34" s="75" t="s">
        <v>770</v>
      </c>
      <c r="D34" s="75" t="s">
        <v>780</v>
      </c>
      <c r="E34" s="93" t="s">
        <v>770</v>
      </c>
      <c r="F34" s="93" t="s">
        <v>770</v>
      </c>
      <c r="G34" s="94"/>
      <c r="H34" s="68"/>
      <c r="M34" s="69"/>
    </row>
    <row r="35" spans="1:13" ht="13.5" customHeight="1">
      <c r="A35" s="77">
        <v>10</v>
      </c>
      <c r="B35" s="77" t="s">
        <v>784</v>
      </c>
      <c r="C35" s="77" t="s">
        <v>770</v>
      </c>
      <c r="D35" s="77" t="s">
        <v>780</v>
      </c>
      <c r="E35" s="95" t="s">
        <v>770</v>
      </c>
      <c r="F35" s="95" t="s">
        <v>770</v>
      </c>
      <c r="G35" s="96"/>
      <c r="H35" s="68"/>
      <c r="M35" s="69"/>
    </row>
    <row r="36" spans="1:13" ht="13.5" customHeight="1">
      <c r="A36" s="79">
        <v>11</v>
      </c>
      <c r="B36" s="79" t="s">
        <v>785</v>
      </c>
      <c r="C36" s="79" t="s">
        <v>770</v>
      </c>
      <c r="D36" s="97" t="s">
        <v>786</v>
      </c>
      <c r="E36" s="98" t="s">
        <v>770</v>
      </c>
      <c r="F36" s="98" t="s">
        <v>770</v>
      </c>
      <c r="G36" s="99"/>
      <c r="H36" s="68"/>
      <c r="M36" s="69"/>
    </row>
    <row r="37" spans="1:13" ht="13.5" customHeight="1">
      <c r="A37" s="79">
        <v>12</v>
      </c>
      <c r="B37" s="79" t="s">
        <v>787</v>
      </c>
      <c r="C37" s="79" t="s">
        <v>770</v>
      </c>
      <c r="D37" s="79" t="s">
        <v>788</v>
      </c>
      <c r="E37" s="98" t="s">
        <v>770</v>
      </c>
      <c r="F37" s="98" t="s">
        <v>770</v>
      </c>
      <c r="G37" s="99"/>
      <c r="H37" s="68"/>
      <c r="M37" s="69"/>
    </row>
    <row r="38" spans="1:13" ht="13.5" customHeight="1">
      <c r="A38" s="79">
        <v>13</v>
      </c>
      <c r="B38" s="79" t="s">
        <v>789</v>
      </c>
      <c r="C38" s="79" t="s">
        <v>770</v>
      </c>
      <c r="D38" s="79" t="s">
        <v>788</v>
      </c>
      <c r="E38" s="98" t="s">
        <v>770</v>
      </c>
      <c r="F38" s="98" t="s">
        <v>770</v>
      </c>
      <c r="G38" s="99"/>
      <c r="H38" s="68"/>
      <c r="M38" s="69"/>
    </row>
    <row r="39" spans="1:13" s="66" customFormat="1" ht="13.5" customHeight="1">
      <c r="A39" s="79">
        <v>14</v>
      </c>
      <c r="B39" s="79" t="s">
        <v>790</v>
      </c>
      <c r="C39" s="79" t="s">
        <v>770</v>
      </c>
      <c r="D39" s="79" t="s">
        <v>791</v>
      </c>
      <c r="E39" s="98" t="s">
        <v>770</v>
      </c>
      <c r="F39" s="98" t="s">
        <v>770</v>
      </c>
      <c r="G39" s="99"/>
      <c r="H39" s="68"/>
      <c r="M39" s="69"/>
    </row>
    <row r="40" spans="1:13" ht="13.5" customHeight="1">
      <c r="A40" s="79">
        <v>15</v>
      </c>
      <c r="B40" s="79" t="s">
        <v>792</v>
      </c>
      <c r="C40" s="79" t="s">
        <v>770</v>
      </c>
      <c r="D40" s="79" t="s">
        <v>791</v>
      </c>
      <c r="E40" s="98" t="s">
        <v>770</v>
      </c>
      <c r="F40" s="98" t="s">
        <v>770</v>
      </c>
      <c r="G40" s="99"/>
      <c r="H40" s="68"/>
      <c r="M40" s="69"/>
    </row>
    <row r="41" spans="1:13" ht="13.5" customHeight="1">
      <c r="A41" s="81">
        <v>16</v>
      </c>
      <c r="B41" s="81" t="s">
        <v>793</v>
      </c>
      <c r="C41" s="81" t="s">
        <v>794</v>
      </c>
      <c r="D41" s="81" t="s">
        <v>795</v>
      </c>
      <c r="E41" s="100" t="s">
        <v>796</v>
      </c>
      <c r="F41" s="100" t="s">
        <v>797</v>
      </c>
      <c r="G41" s="101"/>
      <c r="H41" s="68"/>
      <c r="I41" s="68"/>
      <c r="J41" s="68"/>
      <c r="K41" s="68"/>
      <c r="L41" s="68"/>
      <c r="M41" s="69"/>
    </row>
    <row r="42" spans="1:13" ht="13.5" customHeight="1">
      <c r="A42" s="81">
        <v>17</v>
      </c>
      <c r="B42" s="81" t="s">
        <v>793</v>
      </c>
      <c r="C42" s="81" t="s">
        <v>794</v>
      </c>
      <c r="D42" s="81" t="s">
        <v>795</v>
      </c>
      <c r="E42" s="100" t="s">
        <v>796</v>
      </c>
      <c r="F42" s="100" t="s">
        <v>797</v>
      </c>
      <c r="G42" s="101"/>
      <c r="H42" s="68"/>
      <c r="I42" s="68"/>
      <c r="J42" s="68"/>
      <c r="K42" s="68"/>
      <c r="L42" s="68"/>
      <c r="M42" s="69"/>
    </row>
    <row r="43" spans="1:13" ht="13.5" customHeight="1">
      <c r="A43" s="81">
        <v>18</v>
      </c>
      <c r="B43" s="81" t="s">
        <v>793</v>
      </c>
      <c r="C43" s="81" t="s">
        <v>794</v>
      </c>
      <c r="D43" s="81" t="s">
        <v>795</v>
      </c>
      <c r="E43" s="100" t="s">
        <v>796</v>
      </c>
      <c r="F43" s="100" t="s">
        <v>797</v>
      </c>
      <c r="G43" s="101"/>
      <c r="H43" s="68"/>
      <c r="I43" s="68"/>
      <c r="J43" s="68"/>
      <c r="K43" s="68"/>
      <c r="L43" s="68"/>
      <c r="M43" s="69"/>
    </row>
    <row r="44" spans="1:13" ht="13.5" customHeight="1">
      <c r="A44" s="81">
        <v>19</v>
      </c>
      <c r="B44" s="81" t="s">
        <v>793</v>
      </c>
      <c r="C44" s="81" t="s">
        <v>794</v>
      </c>
      <c r="D44" s="81" t="s">
        <v>795</v>
      </c>
      <c r="E44" s="100" t="s">
        <v>796</v>
      </c>
      <c r="F44" s="100" t="s">
        <v>797</v>
      </c>
      <c r="G44" s="101"/>
      <c r="H44" s="68"/>
      <c r="I44" s="68"/>
      <c r="J44" s="68"/>
      <c r="K44" s="68"/>
      <c r="L44" s="68"/>
      <c r="M44" s="69"/>
    </row>
    <row r="45" spans="1:13" ht="13.5" customHeight="1">
      <c r="A45" s="83">
        <v>20</v>
      </c>
      <c r="B45" s="83" t="s">
        <v>798</v>
      </c>
      <c r="C45" s="83" t="s">
        <v>799</v>
      </c>
      <c r="D45" s="83" t="s">
        <v>800</v>
      </c>
      <c r="E45" s="102" t="s">
        <v>801</v>
      </c>
      <c r="F45" s="102" t="s">
        <v>802</v>
      </c>
      <c r="G45" s="103"/>
      <c r="H45" s="68"/>
      <c r="I45" s="68"/>
      <c r="J45" s="68"/>
      <c r="K45" s="68"/>
      <c r="L45" s="68"/>
      <c r="M45" s="69"/>
    </row>
    <row r="46" spans="1:13" ht="13.5" customHeight="1">
      <c r="A46" s="104"/>
      <c r="B46" s="69"/>
      <c r="C46" s="69"/>
      <c r="D46" s="69"/>
      <c r="E46" s="68"/>
      <c r="F46" s="68"/>
      <c r="G46" s="68"/>
      <c r="H46" s="68"/>
      <c r="I46" s="68"/>
      <c r="J46" s="68"/>
      <c r="K46" s="68"/>
      <c r="L46" s="68"/>
      <c r="M46" s="69"/>
    </row>
    <row r="47" spans="1:13" ht="13.5" customHeight="1">
      <c r="A47" s="85"/>
      <c r="B47" s="798" t="s">
        <v>803</v>
      </c>
      <c r="C47" s="798"/>
      <c r="D47" s="798"/>
      <c r="E47" s="798"/>
      <c r="F47" s="798"/>
      <c r="G47" s="798"/>
      <c r="H47" s="68"/>
      <c r="I47" s="68"/>
      <c r="J47" s="68"/>
      <c r="K47" s="68"/>
      <c r="L47" s="68"/>
      <c r="M47" s="69"/>
    </row>
    <row r="48" spans="1:13" ht="13.5" customHeight="1">
      <c r="A48" s="105" t="s">
        <v>23</v>
      </c>
      <c r="B48" s="70" t="s">
        <v>804</v>
      </c>
      <c r="C48" s="70" t="s">
        <v>805</v>
      </c>
      <c r="D48" s="70" t="s">
        <v>806</v>
      </c>
      <c r="E48" s="68"/>
      <c r="F48" s="68"/>
      <c r="G48" s="68"/>
      <c r="H48" s="68"/>
      <c r="I48" s="68"/>
      <c r="J48" s="68"/>
      <c r="K48" s="68"/>
      <c r="L48" s="68"/>
      <c r="M48" s="69"/>
    </row>
    <row r="49" spans="1:13" ht="13.5" customHeight="1">
      <c r="A49" s="71">
        <v>1</v>
      </c>
      <c r="B49" s="88" t="s">
        <v>765</v>
      </c>
      <c r="C49" s="72" t="s">
        <v>807</v>
      </c>
      <c r="D49" s="72" t="s">
        <v>808</v>
      </c>
      <c r="E49" s="68"/>
      <c r="F49" s="68"/>
      <c r="G49" s="68"/>
      <c r="H49" s="68"/>
      <c r="I49" s="68"/>
      <c r="J49" s="68"/>
      <c r="K49" s="68"/>
      <c r="L49" s="68"/>
      <c r="M49" s="69"/>
    </row>
    <row r="50" spans="1:13" ht="13.5" customHeight="1">
      <c r="A50" s="73">
        <v>2</v>
      </c>
      <c r="B50" s="73" t="s">
        <v>769</v>
      </c>
      <c r="C50" s="74" t="s">
        <v>809</v>
      </c>
      <c r="D50" s="74" t="s">
        <v>810</v>
      </c>
      <c r="E50" s="68"/>
      <c r="F50" s="68"/>
      <c r="G50" s="68"/>
      <c r="H50" s="68"/>
      <c r="I50" s="68"/>
      <c r="J50" s="68"/>
      <c r="K50" s="68"/>
      <c r="L50" s="68"/>
      <c r="M50" s="106"/>
    </row>
    <row r="51" spans="1:13" ht="13.5" customHeight="1">
      <c r="A51" s="73">
        <v>3</v>
      </c>
      <c r="B51" s="73" t="s">
        <v>773</v>
      </c>
      <c r="C51" s="74" t="s">
        <v>811</v>
      </c>
      <c r="D51" s="74" t="s">
        <v>812</v>
      </c>
      <c r="E51" s="106"/>
      <c r="F51" s="106"/>
      <c r="G51" s="106"/>
      <c r="H51" s="106"/>
      <c r="I51" s="106"/>
      <c r="J51" s="106"/>
      <c r="K51" s="106"/>
      <c r="L51" s="106"/>
      <c r="M51" s="106"/>
    </row>
    <row r="52" spans="1:13" ht="13.5" customHeight="1">
      <c r="A52" s="73">
        <v>4</v>
      </c>
      <c r="B52" s="73" t="s">
        <v>775</v>
      </c>
      <c r="C52" s="74" t="s">
        <v>813</v>
      </c>
      <c r="D52" s="74" t="s">
        <v>814</v>
      </c>
      <c r="E52" s="106"/>
      <c r="F52" s="106"/>
      <c r="G52" s="106"/>
      <c r="H52" s="106"/>
      <c r="I52" s="106"/>
      <c r="J52" s="106"/>
      <c r="K52" s="106"/>
      <c r="L52" s="106"/>
      <c r="M52" s="106"/>
    </row>
    <row r="53" spans="1:13" ht="13.5" customHeight="1">
      <c r="A53" s="73">
        <v>5</v>
      </c>
      <c r="B53" s="73" t="s">
        <v>777</v>
      </c>
      <c r="C53" s="74" t="s">
        <v>815</v>
      </c>
      <c r="D53" s="74" t="s">
        <v>816</v>
      </c>
      <c r="E53" s="106"/>
      <c r="F53" s="106"/>
      <c r="G53" s="106"/>
      <c r="H53" s="106"/>
      <c r="I53" s="106"/>
      <c r="J53" s="106"/>
      <c r="K53" s="106"/>
      <c r="L53" s="106"/>
      <c r="M53" s="106"/>
    </row>
    <row r="54" spans="1:13" ht="13.5" customHeight="1">
      <c r="A54" s="75">
        <v>6</v>
      </c>
      <c r="B54" s="75" t="s">
        <v>779</v>
      </c>
      <c r="C54" s="76" t="s">
        <v>817</v>
      </c>
      <c r="D54" s="76" t="s">
        <v>818</v>
      </c>
      <c r="E54" s="106"/>
      <c r="F54" s="106"/>
      <c r="G54" s="106"/>
      <c r="H54" s="106"/>
      <c r="I54" s="106"/>
      <c r="J54" s="106"/>
      <c r="K54" s="106"/>
      <c r="L54" s="106"/>
      <c r="M54" s="106"/>
    </row>
    <row r="55" spans="1:13" ht="13.5" customHeight="1">
      <c r="A55" s="75">
        <v>7</v>
      </c>
      <c r="B55" s="75" t="s">
        <v>781</v>
      </c>
      <c r="C55" s="76" t="s">
        <v>819</v>
      </c>
      <c r="D55" s="76" t="s">
        <v>820</v>
      </c>
      <c r="E55" s="106"/>
      <c r="F55" s="106"/>
      <c r="G55" s="106"/>
      <c r="H55" s="106"/>
      <c r="I55" s="106"/>
      <c r="J55" s="106"/>
      <c r="K55" s="106"/>
      <c r="L55" s="106"/>
      <c r="M55" s="106"/>
    </row>
    <row r="56" spans="1:13" ht="13.5" customHeight="1">
      <c r="A56" s="75">
        <v>8</v>
      </c>
      <c r="B56" s="75" t="s">
        <v>782</v>
      </c>
      <c r="C56" s="76" t="s">
        <v>821</v>
      </c>
      <c r="D56" s="76" t="s">
        <v>822</v>
      </c>
      <c r="E56" s="106"/>
      <c r="F56" s="106"/>
      <c r="G56" s="106"/>
      <c r="H56" s="106"/>
      <c r="I56" s="106"/>
      <c r="J56" s="106"/>
      <c r="K56" s="106"/>
      <c r="L56" s="106"/>
      <c r="M56" s="106"/>
    </row>
    <row r="57" spans="1:13" ht="13.5" customHeight="1">
      <c r="A57" s="75">
        <v>9</v>
      </c>
      <c r="B57" s="75" t="s">
        <v>783</v>
      </c>
      <c r="C57" s="76" t="s">
        <v>823</v>
      </c>
      <c r="D57" s="76" t="s">
        <v>824</v>
      </c>
      <c r="E57" s="106"/>
      <c r="F57" s="106"/>
      <c r="G57" s="106"/>
      <c r="H57" s="106"/>
      <c r="I57" s="106"/>
      <c r="J57" s="106"/>
      <c r="K57" s="106"/>
      <c r="L57" s="106"/>
      <c r="M57" s="106"/>
    </row>
    <row r="58" spans="1:13" ht="13.5" customHeight="1">
      <c r="A58" s="77">
        <v>10</v>
      </c>
      <c r="B58" s="77" t="s">
        <v>784</v>
      </c>
      <c r="C58" s="78" t="s">
        <v>825</v>
      </c>
      <c r="D58" s="78" t="s">
        <v>826</v>
      </c>
      <c r="E58" s="106"/>
      <c r="F58" s="106"/>
      <c r="G58" s="106"/>
      <c r="H58" s="106"/>
      <c r="I58" s="106"/>
      <c r="J58" s="106"/>
      <c r="K58" s="106"/>
      <c r="L58" s="106"/>
      <c r="M58" s="106"/>
    </row>
    <row r="59" spans="1:13" ht="13.5" customHeight="1">
      <c r="A59" s="79">
        <v>11</v>
      </c>
      <c r="B59" s="79" t="s">
        <v>785</v>
      </c>
      <c r="C59" s="80" t="s">
        <v>827</v>
      </c>
      <c r="D59" s="80" t="s">
        <v>828</v>
      </c>
      <c r="E59" s="106"/>
      <c r="F59" s="106"/>
      <c r="G59" s="106"/>
      <c r="H59" s="106"/>
      <c r="I59" s="106"/>
      <c r="J59" s="106"/>
      <c r="K59" s="106"/>
      <c r="L59" s="106"/>
      <c r="M59" s="106"/>
    </row>
    <row r="60" spans="1:13" ht="13.5" customHeight="1">
      <c r="A60" s="79">
        <v>12</v>
      </c>
      <c r="B60" s="79" t="s">
        <v>787</v>
      </c>
      <c r="C60" s="80" t="s">
        <v>827</v>
      </c>
      <c r="D60" s="80" t="s">
        <v>829</v>
      </c>
      <c r="E60" s="106"/>
      <c r="F60" s="106"/>
      <c r="G60" s="106"/>
      <c r="H60" s="106"/>
      <c r="I60" s="106"/>
      <c r="J60" s="106"/>
      <c r="K60" s="106"/>
      <c r="L60" s="106"/>
      <c r="M60" s="106"/>
    </row>
    <row r="61" spans="1:13" ht="13.5" customHeight="1">
      <c r="A61" s="79">
        <v>13</v>
      </c>
      <c r="B61" s="79" t="s">
        <v>789</v>
      </c>
      <c r="C61" s="80" t="s">
        <v>827</v>
      </c>
      <c r="D61" s="80" t="s">
        <v>830</v>
      </c>
      <c r="E61" s="106"/>
      <c r="F61" s="106"/>
      <c r="G61" s="106"/>
      <c r="H61" s="106"/>
      <c r="I61" s="106"/>
      <c r="J61" s="106"/>
      <c r="K61" s="106"/>
      <c r="L61" s="106"/>
      <c r="M61" s="106"/>
    </row>
    <row r="62" spans="1:13" ht="13.5" customHeight="1">
      <c r="A62" s="79">
        <v>14</v>
      </c>
      <c r="B62" s="79" t="s">
        <v>790</v>
      </c>
      <c r="C62" s="80" t="s">
        <v>827</v>
      </c>
      <c r="D62" s="80" t="s">
        <v>831</v>
      </c>
      <c r="E62" s="106"/>
      <c r="F62" s="106"/>
      <c r="G62" s="106"/>
      <c r="H62" s="106"/>
      <c r="I62" s="106"/>
      <c r="J62" s="106"/>
      <c r="K62" s="106"/>
      <c r="L62" s="106"/>
      <c r="M62" s="106"/>
    </row>
    <row r="63" spans="1:13" ht="13.5" customHeight="1">
      <c r="A63" s="79">
        <v>15</v>
      </c>
      <c r="B63" s="79" t="s">
        <v>792</v>
      </c>
      <c r="C63" s="80" t="s">
        <v>827</v>
      </c>
      <c r="D63" s="80" t="s">
        <v>832</v>
      </c>
      <c r="E63" s="106"/>
      <c r="F63" s="106"/>
      <c r="G63" s="106"/>
      <c r="H63" s="106"/>
      <c r="I63" s="106"/>
      <c r="J63" s="106"/>
      <c r="K63" s="106"/>
      <c r="L63" s="106"/>
      <c r="M63" s="106"/>
    </row>
    <row r="64" spans="1:13" ht="13.5" customHeight="1">
      <c r="A64" s="81">
        <v>16</v>
      </c>
      <c r="B64" s="81" t="s">
        <v>793</v>
      </c>
      <c r="C64" s="82" t="s">
        <v>833</v>
      </c>
      <c r="D64" s="82" t="s">
        <v>827</v>
      </c>
      <c r="E64" s="106"/>
      <c r="F64" s="106"/>
      <c r="G64" s="106"/>
      <c r="H64" s="106"/>
      <c r="I64" s="106"/>
      <c r="J64" s="106"/>
      <c r="K64" s="106"/>
      <c r="L64" s="106"/>
      <c r="M64" s="106"/>
    </row>
    <row r="65" spans="1:13" ht="13.5" customHeight="1">
      <c r="A65" s="81">
        <v>17</v>
      </c>
      <c r="B65" s="81" t="s">
        <v>793</v>
      </c>
      <c r="C65" s="82" t="s">
        <v>833</v>
      </c>
      <c r="D65" s="82" t="s">
        <v>827</v>
      </c>
      <c r="E65" s="106"/>
      <c r="F65" s="106"/>
      <c r="G65" s="106"/>
      <c r="H65" s="106"/>
      <c r="I65" s="106"/>
      <c r="J65" s="106"/>
      <c r="K65" s="106"/>
      <c r="L65" s="106"/>
      <c r="M65" s="106"/>
    </row>
    <row r="66" spans="1:13" ht="13.5" customHeight="1">
      <c r="A66" s="81">
        <v>18</v>
      </c>
      <c r="B66" s="81" t="s">
        <v>793</v>
      </c>
      <c r="C66" s="82" t="s">
        <v>833</v>
      </c>
      <c r="D66" s="82" t="s">
        <v>827</v>
      </c>
      <c r="E66" s="106"/>
      <c r="F66" s="106"/>
      <c r="G66" s="106"/>
      <c r="H66" s="106"/>
      <c r="I66" s="106"/>
      <c r="J66" s="106"/>
      <c r="K66" s="106"/>
      <c r="L66" s="106"/>
      <c r="M66" s="106"/>
    </row>
    <row r="67" spans="1:13" ht="13.5" customHeight="1">
      <c r="A67" s="81">
        <v>19</v>
      </c>
      <c r="B67" s="81" t="s">
        <v>793</v>
      </c>
      <c r="C67" s="82" t="s">
        <v>833</v>
      </c>
      <c r="D67" s="82" t="s">
        <v>827</v>
      </c>
      <c r="E67" s="106"/>
      <c r="F67" s="106"/>
      <c r="G67" s="106"/>
      <c r="H67" s="106"/>
      <c r="I67" s="106"/>
      <c r="J67" s="106"/>
      <c r="K67" s="106"/>
      <c r="L67" s="106"/>
      <c r="M67" s="106"/>
    </row>
    <row r="68" spans="1:13" ht="13.5" customHeight="1">
      <c r="A68" s="83">
        <v>20</v>
      </c>
      <c r="B68" s="83" t="s">
        <v>798</v>
      </c>
      <c r="C68" s="84" t="s">
        <v>834</v>
      </c>
      <c r="D68" s="84" t="s">
        <v>833</v>
      </c>
      <c r="E68" s="106"/>
      <c r="F68" s="106"/>
      <c r="G68" s="106"/>
      <c r="H68" s="106"/>
      <c r="I68" s="106"/>
      <c r="J68" s="106"/>
      <c r="K68" s="106"/>
      <c r="L68" s="106"/>
      <c r="M68" s="106"/>
    </row>
    <row r="69" spans="1:13" ht="13.5" customHeight="1">
      <c r="A69" s="106"/>
      <c r="B69" s="106"/>
      <c r="C69" s="106"/>
      <c r="D69" s="106"/>
      <c r="E69" s="106"/>
      <c r="F69" s="106"/>
      <c r="G69" s="106"/>
      <c r="H69" s="106"/>
      <c r="I69" s="106"/>
      <c r="J69" s="106"/>
      <c r="K69" s="106"/>
      <c r="L69" s="106"/>
      <c r="M69" s="106"/>
    </row>
    <row r="70" spans="1:13" ht="13.5" customHeight="1">
      <c r="A70" s="106"/>
      <c r="B70" s="799" t="s">
        <v>835</v>
      </c>
      <c r="C70" s="799"/>
      <c r="D70" s="799"/>
      <c r="E70" s="799"/>
      <c r="F70" s="799"/>
      <c r="G70" s="799"/>
      <c r="H70" s="106"/>
      <c r="I70" s="106"/>
      <c r="J70" s="106"/>
      <c r="K70" s="106"/>
      <c r="L70" s="106"/>
      <c r="M70" s="106"/>
    </row>
    <row r="71" spans="1:13" ht="13.5" customHeight="1">
      <c r="A71" s="70" t="s">
        <v>23</v>
      </c>
      <c r="B71" s="70" t="s">
        <v>836</v>
      </c>
      <c r="C71" s="70" t="s">
        <v>837</v>
      </c>
      <c r="D71" s="70" t="s">
        <v>838</v>
      </c>
      <c r="E71" s="106"/>
      <c r="F71" s="106"/>
      <c r="G71" s="106"/>
      <c r="H71" s="106"/>
      <c r="I71" s="106"/>
      <c r="J71" s="106"/>
      <c r="K71" s="106"/>
      <c r="L71" s="106"/>
      <c r="M71" s="106"/>
    </row>
    <row r="72" spans="1:13" ht="13.5" customHeight="1">
      <c r="A72" s="71">
        <v>1</v>
      </c>
      <c r="B72" s="107" t="s">
        <v>839</v>
      </c>
      <c r="C72" s="72" t="s">
        <v>811</v>
      </c>
      <c r="D72" s="72" t="s">
        <v>840</v>
      </c>
      <c r="E72" s="106"/>
      <c r="F72" s="106"/>
      <c r="G72" s="106"/>
      <c r="H72" s="106"/>
      <c r="I72" s="106"/>
      <c r="J72" s="106"/>
      <c r="K72" s="106"/>
      <c r="L72" s="106"/>
      <c r="M72" s="106"/>
    </row>
    <row r="73" spans="1:13" ht="13.5" customHeight="1">
      <c r="A73" s="73">
        <v>2</v>
      </c>
      <c r="B73" s="108" t="s">
        <v>841</v>
      </c>
      <c r="C73" s="74" t="s">
        <v>842</v>
      </c>
      <c r="D73" s="74" t="s">
        <v>811</v>
      </c>
      <c r="E73" s="106"/>
      <c r="F73" s="106"/>
      <c r="G73" s="106"/>
      <c r="H73" s="106"/>
      <c r="I73" s="106"/>
      <c r="J73" s="106"/>
      <c r="K73" s="106"/>
      <c r="L73" s="106"/>
      <c r="M73" s="106"/>
    </row>
    <row r="74" spans="1:13" ht="13.5" customHeight="1">
      <c r="A74" s="73">
        <v>3</v>
      </c>
      <c r="B74" s="108" t="s">
        <v>841</v>
      </c>
      <c r="C74" s="74" t="s">
        <v>813</v>
      </c>
      <c r="D74" s="74" t="s">
        <v>813</v>
      </c>
      <c r="E74" s="106"/>
      <c r="F74" s="106"/>
      <c r="G74" s="106"/>
      <c r="H74" s="106"/>
      <c r="I74" s="106"/>
      <c r="J74" s="106"/>
      <c r="K74" s="106"/>
      <c r="L74" s="106"/>
      <c r="M74" s="106"/>
    </row>
    <row r="75" spans="1:13" ht="13.5" customHeight="1">
      <c r="A75" s="73">
        <v>4</v>
      </c>
      <c r="B75" s="108" t="s">
        <v>841</v>
      </c>
      <c r="C75" s="74" t="s">
        <v>815</v>
      </c>
      <c r="D75" s="74" t="s">
        <v>815</v>
      </c>
      <c r="E75" s="106"/>
      <c r="F75" s="106"/>
      <c r="G75" s="106"/>
      <c r="H75" s="106"/>
      <c r="I75" s="106"/>
      <c r="J75" s="106"/>
      <c r="K75" s="106"/>
      <c r="L75" s="106"/>
      <c r="M75" s="106"/>
    </row>
    <row r="76" spans="1:13" ht="13.5" customHeight="1">
      <c r="A76" s="73">
        <v>5</v>
      </c>
      <c r="B76" s="108" t="s">
        <v>841</v>
      </c>
      <c r="C76" s="74" t="s">
        <v>843</v>
      </c>
      <c r="D76" s="74" t="s">
        <v>843</v>
      </c>
      <c r="E76" s="106"/>
      <c r="F76" s="106"/>
      <c r="G76" s="106"/>
      <c r="H76" s="106"/>
      <c r="I76" s="106"/>
      <c r="J76" s="106"/>
      <c r="K76" s="106"/>
      <c r="L76" s="106"/>
      <c r="M76" s="106"/>
    </row>
    <row r="77" spans="1:13" ht="13.5" customHeight="1">
      <c r="A77" s="75">
        <v>6</v>
      </c>
      <c r="B77" s="109" t="s">
        <v>844</v>
      </c>
      <c r="C77" s="76" t="s">
        <v>780</v>
      </c>
      <c r="D77" s="76" t="s">
        <v>780</v>
      </c>
      <c r="E77" s="106"/>
      <c r="F77" s="106"/>
      <c r="G77" s="106"/>
      <c r="H77" s="106"/>
      <c r="I77" s="106"/>
      <c r="J77" s="106"/>
      <c r="K77" s="106"/>
      <c r="L77" s="106"/>
      <c r="M77" s="106"/>
    </row>
    <row r="78" spans="1:13" ht="13.5" customHeight="1">
      <c r="A78" s="75">
        <v>7</v>
      </c>
      <c r="B78" s="109" t="s">
        <v>844</v>
      </c>
      <c r="C78" s="76" t="s">
        <v>780</v>
      </c>
      <c r="D78" s="76" t="s">
        <v>780</v>
      </c>
      <c r="E78" s="106"/>
      <c r="F78" s="106"/>
      <c r="G78" s="106"/>
      <c r="H78" s="106"/>
      <c r="I78" s="106"/>
      <c r="J78" s="106"/>
      <c r="K78" s="106"/>
      <c r="L78" s="106"/>
      <c r="M78" s="106"/>
    </row>
    <row r="79" spans="1:13" ht="13.5" customHeight="1">
      <c r="A79" s="75">
        <v>8</v>
      </c>
      <c r="B79" s="109" t="s">
        <v>844</v>
      </c>
      <c r="C79" s="76" t="s">
        <v>780</v>
      </c>
      <c r="D79" s="76" t="s">
        <v>780</v>
      </c>
      <c r="E79" s="106"/>
      <c r="F79" s="106"/>
      <c r="G79" s="106"/>
      <c r="H79" s="106"/>
      <c r="I79" s="106"/>
      <c r="J79" s="106"/>
      <c r="K79" s="106"/>
      <c r="L79" s="106"/>
      <c r="M79" s="106"/>
    </row>
    <row r="80" spans="1:13" ht="13.5" customHeight="1">
      <c r="A80" s="75">
        <v>9</v>
      </c>
      <c r="B80" s="109" t="s">
        <v>844</v>
      </c>
      <c r="C80" s="76" t="s">
        <v>780</v>
      </c>
      <c r="D80" s="76" t="s">
        <v>780</v>
      </c>
      <c r="E80" s="106"/>
      <c r="F80" s="106"/>
      <c r="G80" s="106"/>
      <c r="H80" s="106"/>
      <c r="I80" s="106"/>
      <c r="J80" s="106"/>
      <c r="K80" s="106"/>
      <c r="L80" s="106"/>
      <c r="M80" s="106"/>
    </row>
    <row r="81" spans="1:13" ht="13.5" customHeight="1">
      <c r="A81" s="77">
        <v>10</v>
      </c>
      <c r="B81" s="110" t="s">
        <v>845</v>
      </c>
      <c r="C81" s="78" t="s">
        <v>780</v>
      </c>
      <c r="D81" s="78" t="s">
        <v>780</v>
      </c>
      <c r="E81" s="106"/>
      <c r="F81" s="106"/>
      <c r="G81" s="106"/>
      <c r="H81" s="106"/>
      <c r="I81" s="106"/>
      <c r="J81" s="106"/>
      <c r="K81" s="106"/>
      <c r="L81" s="106"/>
      <c r="M81" s="106"/>
    </row>
    <row r="82" spans="1:13" ht="13.5" customHeight="1">
      <c r="A82" s="79">
        <v>11</v>
      </c>
      <c r="B82" s="111" t="s">
        <v>846</v>
      </c>
      <c r="C82" s="80" t="s">
        <v>780</v>
      </c>
      <c r="D82" s="80" t="s">
        <v>847</v>
      </c>
      <c r="E82" s="106"/>
      <c r="F82" s="106"/>
      <c r="G82" s="106"/>
      <c r="H82" s="106"/>
      <c r="I82" s="106"/>
      <c r="J82" s="106"/>
      <c r="K82" s="106"/>
      <c r="L82" s="106"/>
      <c r="M82" s="106"/>
    </row>
    <row r="83" spans="1:13" ht="13.5" customHeight="1">
      <c r="A83" s="79">
        <v>12</v>
      </c>
      <c r="B83" s="111" t="s">
        <v>846</v>
      </c>
      <c r="C83" s="80" t="s">
        <v>848</v>
      </c>
      <c r="D83" s="80" t="s">
        <v>849</v>
      </c>
      <c r="E83" s="106"/>
      <c r="F83" s="106"/>
      <c r="G83" s="106"/>
      <c r="H83" s="106"/>
      <c r="I83" s="106"/>
      <c r="J83" s="106"/>
      <c r="K83" s="106"/>
      <c r="L83" s="106"/>
      <c r="M83" s="106"/>
    </row>
    <row r="84" spans="1:13" ht="13.5" customHeight="1">
      <c r="A84" s="79">
        <v>13</v>
      </c>
      <c r="B84" s="111" t="s">
        <v>846</v>
      </c>
      <c r="C84" s="80" t="s">
        <v>850</v>
      </c>
      <c r="D84" s="80" t="s">
        <v>851</v>
      </c>
      <c r="E84" s="106"/>
      <c r="F84" s="106"/>
      <c r="G84" s="106"/>
      <c r="H84" s="106"/>
      <c r="I84" s="106"/>
      <c r="J84" s="106"/>
      <c r="K84" s="106"/>
      <c r="L84" s="106"/>
      <c r="M84" s="106"/>
    </row>
    <row r="85" spans="1:13" ht="13.5" customHeight="1">
      <c r="A85" s="79">
        <v>14</v>
      </c>
      <c r="B85" s="111" t="s">
        <v>846</v>
      </c>
      <c r="C85" s="80" t="s">
        <v>852</v>
      </c>
      <c r="D85" s="80" t="s">
        <v>853</v>
      </c>
      <c r="E85" s="106"/>
      <c r="F85" s="106"/>
      <c r="G85" s="106"/>
      <c r="H85" s="106"/>
      <c r="I85" s="106"/>
      <c r="J85" s="106"/>
      <c r="K85" s="106"/>
      <c r="L85" s="106"/>
      <c r="M85" s="106"/>
    </row>
    <row r="86" spans="1:13" ht="13.5" customHeight="1">
      <c r="A86" s="79">
        <v>15</v>
      </c>
      <c r="B86" s="111" t="s">
        <v>846</v>
      </c>
      <c r="C86" s="80" t="s">
        <v>854</v>
      </c>
      <c r="D86" s="80" t="s">
        <v>855</v>
      </c>
      <c r="E86" s="106"/>
      <c r="F86" s="106"/>
      <c r="G86" s="106"/>
      <c r="H86" s="106"/>
      <c r="I86" s="106"/>
      <c r="J86" s="106"/>
      <c r="K86" s="106"/>
      <c r="L86" s="106"/>
      <c r="M86" s="106"/>
    </row>
    <row r="87" spans="1:13" ht="13.5" customHeight="1">
      <c r="A87" s="81">
        <v>16</v>
      </c>
      <c r="B87" s="112" t="s">
        <v>856</v>
      </c>
      <c r="C87" s="82" t="s">
        <v>857</v>
      </c>
      <c r="D87" s="82" t="s">
        <v>858</v>
      </c>
      <c r="E87" s="106"/>
      <c r="F87" s="106"/>
      <c r="G87" s="106"/>
      <c r="H87" s="106"/>
      <c r="I87" s="106"/>
      <c r="J87" s="106"/>
      <c r="K87" s="106"/>
      <c r="L87" s="106"/>
      <c r="M87" s="106"/>
    </row>
    <row r="88" spans="1:13" ht="13.5" customHeight="1">
      <c r="A88" s="81">
        <v>17</v>
      </c>
      <c r="B88" s="112" t="s">
        <v>856</v>
      </c>
      <c r="C88" s="82" t="s">
        <v>859</v>
      </c>
      <c r="D88" s="82" t="s">
        <v>860</v>
      </c>
      <c r="E88" s="106"/>
      <c r="F88" s="106"/>
      <c r="G88" s="106"/>
      <c r="H88" s="106"/>
      <c r="I88" s="106"/>
      <c r="J88" s="106"/>
      <c r="K88" s="106"/>
      <c r="L88" s="106"/>
      <c r="M88" s="106"/>
    </row>
    <row r="89" spans="1:13" ht="13.5" customHeight="1">
      <c r="A89" s="81">
        <v>18</v>
      </c>
      <c r="B89" s="112" t="s">
        <v>856</v>
      </c>
      <c r="C89" s="82" t="s">
        <v>861</v>
      </c>
      <c r="D89" s="82" t="s">
        <v>862</v>
      </c>
      <c r="E89" s="106"/>
      <c r="F89" s="106"/>
      <c r="G89" s="106"/>
      <c r="H89" s="106"/>
      <c r="I89" s="106"/>
      <c r="J89" s="106"/>
      <c r="K89" s="106"/>
      <c r="L89" s="106"/>
      <c r="M89" s="106"/>
    </row>
    <row r="90" spans="1:13" ht="13.5" customHeight="1">
      <c r="A90" s="81">
        <v>19</v>
      </c>
      <c r="B90" s="112" t="s">
        <v>856</v>
      </c>
      <c r="C90" s="82" t="s">
        <v>863</v>
      </c>
      <c r="D90" s="82" t="s">
        <v>864</v>
      </c>
      <c r="E90" s="106"/>
      <c r="F90" s="106"/>
      <c r="G90" s="106"/>
      <c r="H90" s="106"/>
      <c r="I90" s="106"/>
      <c r="J90" s="106"/>
      <c r="K90" s="106"/>
      <c r="L90" s="106"/>
      <c r="M90" s="106"/>
    </row>
    <row r="91" spans="1:13" ht="13.5" customHeight="1">
      <c r="A91" s="83">
        <v>20</v>
      </c>
      <c r="B91" s="113" t="s">
        <v>865</v>
      </c>
      <c r="C91" s="84" t="s">
        <v>866</v>
      </c>
      <c r="D91" s="84" t="s">
        <v>867</v>
      </c>
      <c r="E91" s="106"/>
      <c r="F91" s="106"/>
      <c r="G91" s="106"/>
      <c r="H91" s="106"/>
      <c r="I91" s="106"/>
      <c r="J91" s="106"/>
      <c r="K91" s="106"/>
      <c r="L91" s="106"/>
      <c r="M91" s="106"/>
    </row>
    <row r="92" spans="1:13" ht="13.5" customHeight="1"/>
    <row r="93" spans="1:13" ht="13.5" customHeight="1">
      <c r="A93" s="114" t="s">
        <v>868</v>
      </c>
      <c r="B93" s="115" t="s">
        <v>869</v>
      </c>
      <c r="C93" s="116" t="s">
        <v>870</v>
      </c>
      <c r="D93" s="117" t="s">
        <v>871</v>
      </c>
    </row>
    <row r="94" spans="1:13" ht="13.5" customHeight="1">
      <c r="A94" s="118">
        <v>1</v>
      </c>
      <c r="B94" s="119" t="s">
        <v>414</v>
      </c>
      <c r="C94" s="98" t="s">
        <v>655</v>
      </c>
      <c r="D94" s="120" t="s">
        <v>872</v>
      </c>
    </row>
    <row r="95" spans="1:13" ht="13.5" customHeight="1">
      <c r="A95" s="118">
        <v>2</v>
      </c>
      <c r="B95" s="119" t="s">
        <v>416</v>
      </c>
      <c r="C95" s="98" t="s">
        <v>655</v>
      </c>
      <c r="D95" s="121"/>
    </row>
    <row r="96" spans="1:13" ht="13.5" customHeight="1">
      <c r="A96" s="118">
        <v>3</v>
      </c>
      <c r="B96" s="119" t="s">
        <v>418</v>
      </c>
      <c r="C96" s="98" t="s">
        <v>655</v>
      </c>
      <c r="D96" s="121"/>
    </row>
    <row r="97" spans="1:4" ht="13.5" customHeight="1">
      <c r="A97" s="118">
        <v>4</v>
      </c>
      <c r="B97" s="119" t="s">
        <v>422</v>
      </c>
      <c r="C97" s="98" t="s">
        <v>655</v>
      </c>
      <c r="D97" s="121"/>
    </row>
    <row r="98" spans="1:4" ht="13.5" customHeight="1">
      <c r="A98" s="118">
        <v>5</v>
      </c>
      <c r="B98" s="119" t="s">
        <v>424</v>
      </c>
      <c r="C98" s="98" t="s">
        <v>655</v>
      </c>
      <c r="D98" s="121"/>
    </row>
    <row r="99" spans="1:4" ht="13.5" customHeight="1">
      <c r="A99" s="118">
        <v>6</v>
      </c>
      <c r="B99" s="119" t="s">
        <v>426</v>
      </c>
      <c r="C99" s="98" t="s">
        <v>655</v>
      </c>
      <c r="D99" s="121"/>
    </row>
    <row r="100" spans="1:4" ht="13.5" customHeight="1">
      <c r="A100" s="122">
        <v>7</v>
      </c>
      <c r="B100" s="123" t="s">
        <v>420</v>
      </c>
      <c r="C100" s="100" t="s">
        <v>655</v>
      </c>
      <c r="D100" s="124" t="s">
        <v>873</v>
      </c>
    </row>
    <row r="101" spans="1:4" ht="13.5" customHeight="1">
      <c r="A101" s="125">
        <v>8</v>
      </c>
      <c r="B101" s="126" t="s">
        <v>429</v>
      </c>
      <c r="C101" s="127">
        <v>1</v>
      </c>
      <c r="D101" s="128" t="s">
        <v>874</v>
      </c>
    </row>
    <row r="102" spans="1:4" ht="14.15">
      <c r="A102" s="125">
        <v>9</v>
      </c>
      <c r="B102" s="126" t="s">
        <v>431</v>
      </c>
      <c r="C102" s="127">
        <v>2</v>
      </c>
      <c r="D102" s="129"/>
    </row>
    <row r="103" spans="1:4" ht="14.15">
      <c r="A103" s="125">
        <v>10</v>
      </c>
      <c r="B103" s="126" t="s">
        <v>435</v>
      </c>
      <c r="C103" s="127">
        <v>3</v>
      </c>
      <c r="D103" s="129"/>
    </row>
    <row r="104" spans="1:4" ht="14.15">
      <c r="A104" s="125">
        <v>11</v>
      </c>
      <c r="B104" s="126" t="s">
        <v>439</v>
      </c>
      <c r="C104" s="127">
        <v>4</v>
      </c>
      <c r="D104" s="129"/>
    </row>
    <row r="105" spans="1:4" ht="14.15">
      <c r="A105" s="125">
        <v>12</v>
      </c>
      <c r="B105" s="126" t="s">
        <v>441</v>
      </c>
      <c r="C105" s="127">
        <v>5</v>
      </c>
      <c r="D105" s="129"/>
    </row>
    <row r="106" spans="1:4" ht="14.15">
      <c r="A106" s="125">
        <v>13</v>
      </c>
      <c r="B106" s="126" t="s">
        <v>443</v>
      </c>
      <c r="C106" s="127">
        <v>6</v>
      </c>
      <c r="D106" s="129"/>
    </row>
    <row r="107" spans="1:4" ht="14.25" customHeight="1">
      <c r="A107" s="125">
        <v>14</v>
      </c>
      <c r="B107" s="126" t="s">
        <v>445</v>
      </c>
      <c r="C107" s="127">
        <v>7</v>
      </c>
      <c r="D107" s="129"/>
    </row>
    <row r="108" spans="1:4" ht="14.25" customHeight="1">
      <c r="A108" s="125">
        <v>15</v>
      </c>
      <c r="B108" s="126" t="s">
        <v>447</v>
      </c>
      <c r="C108" s="127">
        <v>8</v>
      </c>
      <c r="D108" s="129"/>
    </row>
    <row r="109" spans="1:4" ht="14.25" customHeight="1">
      <c r="A109" s="125">
        <v>16</v>
      </c>
      <c r="B109" s="126" t="s">
        <v>449</v>
      </c>
      <c r="C109" s="127">
        <v>9</v>
      </c>
      <c r="D109" s="129"/>
    </row>
    <row r="110" spans="1:4" ht="14.25" customHeight="1">
      <c r="A110" s="125">
        <v>17</v>
      </c>
      <c r="B110" s="126" t="s">
        <v>451</v>
      </c>
      <c r="C110" s="127">
        <v>10</v>
      </c>
      <c r="D110" s="129"/>
    </row>
    <row r="111" spans="1:4" ht="14.25" customHeight="1">
      <c r="A111" s="125">
        <v>18</v>
      </c>
      <c r="B111" s="126" t="s">
        <v>485</v>
      </c>
      <c r="C111" s="127">
        <v>11</v>
      </c>
      <c r="D111" s="129"/>
    </row>
    <row r="112" spans="1:4" ht="14.25" customHeight="1">
      <c r="A112" s="125">
        <v>19</v>
      </c>
      <c r="B112" s="126" t="s">
        <v>457</v>
      </c>
      <c r="C112" s="127">
        <v>12</v>
      </c>
      <c r="D112" s="129"/>
    </row>
    <row r="113" spans="1:4" ht="14.25" customHeight="1">
      <c r="A113" s="125">
        <v>20</v>
      </c>
      <c r="B113" s="126" t="s">
        <v>461</v>
      </c>
      <c r="C113" s="127">
        <v>13</v>
      </c>
      <c r="D113" s="129"/>
    </row>
    <row r="114" spans="1:4" ht="14.25" customHeight="1">
      <c r="A114" s="125">
        <v>20</v>
      </c>
      <c r="B114" s="126" t="s">
        <v>461</v>
      </c>
      <c r="C114" s="127">
        <v>13</v>
      </c>
      <c r="D114" s="129"/>
    </row>
    <row r="115" spans="1:4" ht="14.25" customHeight="1">
      <c r="A115" s="125">
        <v>21</v>
      </c>
      <c r="B115" s="126" t="s">
        <v>463</v>
      </c>
      <c r="C115" s="127">
        <v>14</v>
      </c>
      <c r="D115" s="129"/>
    </row>
    <row r="116" spans="1:4" ht="14.25" customHeight="1">
      <c r="A116" s="125">
        <v>22</v>
      </c>
      <c r="B116" s="126" t="s">
        <v>465</v>
      </c>
      <c r="C116" s="127">
        <v>15</v>
      </c>
      <c r="D116" s="129"/>
    </row>
    <row r="117" spans="1:4" ht="14.25" customHeight="1">
      <c r="A117" s="125">
        <v>23</v>
      </c>
      <c r="B117" s="126" t="s">
        <v>467</v>
      </c>
      <c r="C117" s="127">
        <v>16</v>
      </c>
      <c r="D117" s="129"/>
    </row>
    <row r="118" spans="1:4" ht="14.25" customHeight="1">
      <c r="A118" s="125">
        <v>24</v>
      </c>
      <c r="B118" s="126" t="s">
        <v>469</v>
      </c>
      <c r="C118" s="127">
        <v>17</v>
      </c>
      <c r="D118" s="129"/>
    </row>
    <row r="119" spans="1:4" ht="14.25" customHeight="1">
      <c r="A119" s="125">
        <v>25</v>
      </c>
      <c r="B119" s="126" t="s">
        <v>471</v>
      </c>
      <c r="C119" s="127">
        <v>18</v>
      </c>
      <c r="D119" s="129"/>
    </row>
    <row r="120" spans="1:4" ht="14.25" customHeight="1">
      <c r="A120" s="125">
        <v>26</v>
      </c>
      <c r="B120" s="126" t="s">
        <v>473</v>
      </c>
      <c r="C120" s="127">
        <v>19</v>
      </c>
      <c r="D120" s="129"/>
    </row>
    <row r="121" spans="1:4" ht="14.25" customHeight="1">
      <c r="A121" s="125">
        <v>27</v>
      </c>
      <c r="B121" s="126" t="s">
        <v>475</v>
      </c>
      <c r="C121" s="127">
        <v>20</v>
      </c>
      <c r="D121" s="129"/>
    </row>
    <row r="122" spans="1:4" ht="14.25" customHeight="1">
      <c r="A122" s="125">
        <v>28</v>
      </c>
      <c r="B122" s="126" t="s">
        <v>477</v>
      </c>
      <c r="C122" s="127">
        <v>21</v>
      </c>
      <c r="D122" s="129"/>
    </row>
    <row r="123" spans="1:4" ht="14.25" customHeight="1">
      <c r="A123" s="125">
        <v>29</v>
      </c>
      <c r="B123" s="126" t="s">
        <v>479</v>
      </c>
      <c r="C123" s="127">
        <v>22</v>
      </c>
      <c r="D123" s="129"/>
    </row>
    <row r="124" spans="1:4" ht="14.25" customHeight="1">
      <c r="A124" s="125">
        <v>30</v>
      </c>
      <c r="B124" s="126" t="s">
        <v>481</v>
      </c>
      <c r="C124" s="127">
        <v>23</v>
      </c>
      <c r="D124" s="129"/>
    </row>
    <row r="125" spans="1:4" ht="14.25" customHeight="1">
      <c r="A125" s="125">
        <v>31</v>
      </c>
      <c r="B125" s="126" t="s">
        <v>483</v>
      </c>
      <c r="C125" s="127">
        <v>24</v>
      </c>
      <c r="D125" s="129"/>
    </row>
    <row r="126" spans="1:4" ht="14.25" customHeight="1">
      <c r="A126" s="130">
        <v>32</v>
      </c>
      <c r="B126" s="131" t="s">
        <v>455</v>
      </c>
      <c r="C126" s="132">
        <v>25</v>
      </c>
      <c r="D126" s="133" t="s">
        <v>875</v>
      </c>
    </row>
    <row r="127" spans="1:4" ht="14.25" customHeight="1">
      <c r="A127" s="130">
        <v>33</v>
      </c>
      <c r="B127" s="131" t="s">
        <v>876</v>
      </c>
      <c r="C127" s="132">
        <v>26</v>
      </c>
      <c r="D127" s="134"/>
    </row>
    <row r="128" spans="1:4" ht="14.25" customHeight="1">
      <c r="A128" s="130">
        <v>34</v>
      </c>
      <c r="B128" s="131" t="s">
        <v>459</v>
      </c>
      <c r="C128" s="132">
        <v>27</v>
      </c>
      <c r="D128" s="134"/>
    </row>
    <row r="129" spans="1:4" ht="14.25" customHeight="1">
      <c r="A129" s="130">
        <v>35</v>
      </c>
      <c r="B129" s="131" t="s">
        <v>453</v>
      </c>
      <c r="C129" s="132">
        <v>28</v>
      </c>
      <c r="D129" s="134"/>
    </row>
    <row r="130" spans="1:4" ht="14.25" customHeight="1">
      <c r="A130" s="135">
        <v>36</v>
      </c>
      <c r="B130" s="136" t="s">
        <v>433</v>
      </c>
      <c r="C130" s="137">
        <v>29</v>
      </c>
      <c r="D130" s="138"/>
    </row>
  </sheetData>
  <mergeCells count="25">
    <mergeCell ref="B1:G1"/>
    <mergeCell ref="B2:C2"/>
    <mergeCell ref="B3:C3"/>
    <mergeCell ref="B4:C4"/>
    <mergeCell ref="B5:C5"/>
    <mergeCell ref="B6:C6"/>
    <mergeCell ref="B7:C7"/>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4:G24"/>
    <mergeCell ref="B47:G47"/>
    <mergeCell ref="B70:G70"/>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BI588"/>
  <sheetViews>
    <sheetView workbookViewId="0">
      <pane ySplit="1" topLeftCell="A2" activePane="bottomLeft" state="frozen"/>
      <selection activeCell="B1" sqref="B1"/>
      <selection pane="bottomLeft"/>
    </sheetView>
  </sheetViews>
  <sheetFormatPr defaultColWidth="9" defaultRowHeight="15" customHeight="1"/>
  <cols>
    <col min="1" max="1" width="24.140625" bestFit="1" customWidth="1"/>
    <col min="2" max="3" width="22.640625" customWidth="1"/>
    <col min="4" max="4" width="15" style="139" customWidth="1"/>
    <col min="5" max="5" width="14.140625" style="139" customWidth="1"/>
    <col min="6" max="6" width="32.35546875" customWidth="1"/>
    <col min="7" max="7" width="18.2109375" customWidth="1"/>
    <col min="8" max="8" width="17.35546875" customWidth="1"/>
    <col min="9" max="9" width="16.7109375" customWidth="1"/>
    <col min="10" max="11" width="16.640625" customWidth="1"/>
    <col min="12" max="12" width="16.2109375" customWidth="1"/>
    <col min="13" max="13" width="16.7109375" customWidth="1"/>
    <col min="14" max="21" width="12" customWidth="1"/>
    <col min="22" max="22" width="9" customWidth="1"/>
    <col min="23" max="23" width="11.85546875" customWidth="1"/>
    <col min="24" max="25" width="9" customWidth="1"/>
    <col min="26" max="26" width="12.5" customWidth="1"/>
    <col min="27" max="27" width="19" customWidth="1"/>
    <col min="28" max="28" width="11.2109375" customWidth="1"/>
    <col min="29" max="29" width="20.7109375" customWidth="1"/>
    <col min="30" max="30" width="23.85546875" customWidth="1"/>
    <col min="31" max="31" width="17.2109375" customWidth="1"/>
    <col min="32" max="32" width="14.35546875" customWidth="1"/>
    <col min="33" max="33" width="24.640625" customWidth="1"/>
    <col min="34" max="34" width="21.85546875" customWidth="1"/>
    <col min="35" max="35" width="19.7109375" customWidth="1"/>
    <col min="36" max="36" width="18.85546875" customWidth="1"/>
    <col min="37" max="62" width="9" customWidth="1"/>
  </cols>
  <sheetData>
    <row r="1" spans="1:61" ht="21.45">
      <c r="A1" s="140" t="s">
        <v>877</v>
      </c>
      <c r="B1" s="141" t="s">
        <v>878</v>
      </c>
      <c r="C1" s="142" t="s">
        <v>879</v>
      </c>
      <c r="D1" s="143" t="s">
        <v>880</v>
      </c>
      <c r="E1" s="144" t="s">
        <v>881</v>
      </c>
      <c r="F1" s="145" t="s">
        <v>882</v>
      </c>
      <c r="G1" s="146" t="s">
        <v>883</v>
      </c>
      <c r="H1" s="147" t="s">
        <v>884</v>
      </c>
      <c r="I1" s="148" t="s">
        <v>885</v>
      </c>
      <c r="J1" s="149" t="s">
        <v>886</v>
      </c>
      <c r="K1" s="150" t="s">
        <v>887</v>
      </c>
      <c r="L1" s="151" t="s">
        <v>888</v>
      </c>
      <c r="M1" s="152" t="s">
        <v>889</v>
      </c>
      <c r="N1" s="857" t="s">
        <v>890</v>
      </c>
      <c r="O1" s="857"/>
      <c r="P1" s="857"/>
      <c r="Q1" s="857"/>
      <c r="R1" s="857"/>
      <c r="S1" s="857"/>
      <c r="T1" s="857"/>
      <c r="U1" s="857"/>
      <c r="V1" s="857"/>
      <c r="W1" s="106"/>
      <c r="X1" s="106"/>
      <c r="Y1" s="106"/>
      <c r="Z1" s="106"/>
      <c r="AA1" s="153" t="s">
        <v>891</v>
      </c>
      <c r="AB1" s="154" t="s">
        <v>892</v>
      </c>
      <c r="AC1" s="153" t="s">
        <v>893</v>
      </c>
      <c r="AD1" s="153" t="s">
        <v>894</v>
      </c>
      <c r="AE1" s="153" t="s">
        <v>895</v>
      </c>
      <c r="AF1" s="106"/>
      <c r="AG1" s="106"/>
      <c r="AH1" s="106"/>
      <c r="AI1" s="106"/>
      <c r="AJ1" s="106"/>
      <c r="AK1" s="106"/>
      <c r="AL1" s="106"/>
      <c r="AM1" s="106"/>
      <c r="AN1" s="106"/>
      <c r="AO1" s="106"/>
      <c r="AP1" s="106"/>
      <c r="AQ1" s="106"/>
      <c r="AR1" s="106"/>
      <c r="AS1" s="106"/>
      <c r="AT1" s="106"/>
      <c r="AU1" s="106"/>
      <c r="AV1" s="106"/>
      <c r="AW1" s="106"/>
      <c r="AX1" s="106"/>
      <c r="AY1" s="106"/>
      <c r="AZ1" s="106"/>
      <c r="BA1" s="106"/>
      <c r="BB1" s="106"/>
      <c r="BC1" s="106"/>
      <c r="BD1" s="106"/>
      <c r="BE1" s="106"/>
      <c r="BF1" s="106"/>
      <c r="BG1" s="106"/>
      <c r="BH1" s="106"/>
      <c r="BI1" s="106"/>
    </row>
    <row r="2" spans="1:61" ht="16.3">
      <c r="A2" s="155"/>
      <c r="B2" s="858" t="s">
        <v>896</v>
      </c>
      <c r="C2" s="156" t="s">
        <v>897</v>
      </c>
      <c r="D2" s="157">
        <v>100</v>
      </c>
      <c r="E2" s="158">
        <v>100</v>
      </c>
      <c r="F2" s="159" t="s">
        <v>898</v>
      </c>
      <c r="G2" s="160">
        <v>1</v>
      </c>
      <c r="H2" s="160">
        <v>1</v>
      </c>
      <c r="I2" s="160">
        <v>0</v>
      </c>
      <c r="J2" s="160">
        <v>2</v>
      </c>
      <c r="K2" s="160">
        <v>1</v>
      </c>
      <c r="L2" s="161" t="s">
        <v>899</v>
      </c>
      <c r="M2" s="162" t="s">
        <v>665</v>
      </c>
      <c r="N2" s="163">
        <v>0.1</v>
      </c>
      <c r="O2" s="164">
        <v>-0.2</v>
      </c>
      <c r="P2" s="165">
        <v>0</v>
      </c>
      <c r="Q2" s="166">
        <v>-0.1</v>
      </c>
      <c r="R2" s="167">
        <v>0</v>
      </c>
      <c r="S2" s="168">
        <v>0.1</v>
      </c>
      <c r="T2" s="169">
        <v>0</v>
      </c>
      <c r="U2" s="170">
        <v>0</v>
      </c>
      <c r="V2" s="171">
        <v>-0.1</v>
      </c>
      <c r="W2" s="172">
        <v>-1</v>
      </c>
      <c r="X2" s="173">
        <v>0</v>
      </c>
      <c r="Y2" s="174">
        <v>-1</v>
      </c>
      <c r="Z2" s="175" t="s">
        <v>900</v>
      </c>
      <c r="AA2" s="176">
        <v>0</v>
      </c>
      <c r="AB2" s="177">
        <v>0</v>
      </c>
      <c r="AC2" s="178">
        <v>9</v>
      </c>
      <c r="AD2" s="179">
        <v>-1</v>
      </c>
      <c r="AE2" s="179">
        <v>0</v>
      </c>
      <c r="AF2" s="173">
        <v>2</v>
      </c>
      <c r="AG2" s="173">
        <v>3</v>
      </c>
      <c r="AH2" s="180">
        <v>0</v>
      </c>
      <c r="AI2" s="106"/>
      <c r="AJ2" s="106"/>
      <c r="AK2" s="106"/>
      <c r="AL2" s="106"/>
      <c r="AM2" s="106"/>
      <c r="AN2" s="106"/>
      <c r="AO2" s="106"/>
      <c r="AP2" s="106"/>
      <c r="AQ2" s="181" t="s">
        <v>901</v>
      </c>
      <c r="AR2" s="181" t="s">
        <v>491</v>
      </c>
      <c r="AS2" s="181" t="s">
        <v>902</v>
      </c>
      <c r="AT2" s="181" t="s">
        <v>903</v>
      </c>
      <c r="AU2" s="181" t="s">
        <v>904</v>
      </c>
      <c r="AV2" s="181" t="s">
        <v>905</v>
      </c>
      <c r="AW2" s="181" t="s">
        <v>906</v>
      </c>
      <c r="AX2" s="181" t="s">
        <v>533</v>
      </c>
      <c r="AY2" s="181" t="s">
        <v>907</v>
      </c>
      <c r="AZ2" s="181" t="s">
        <v>908</v>
      </c>
      <c r="BA2" s="181" t="s">
        <v>909</v>
      </c>
      <c r="BB2" s="181" t="s">
        <v>910</v>
      </c>
      <c r="BC2" s="182" t="s">
        <v>911</v>
      </c>
      <c r="BD2" s="182" t="s">
        <v>912</v>
      </c>
      <c r="BE2" s="182" t="s">
        <v>913</v>
      </c>
      <c r="BF2" s="183" t="s">
        <v>914</v>
      </c>
      <c r="BG2" s="184" t="s">
        <v>915</v>
      </c>
      <c r="BH2" s="185" t="s">
        <v>916</v>
      </c>
      <c r="BI2" s="182" t="s">
        <v>917</v>
      </c>
    </row>
    <row r="3" spans="1:61" ht="16.3">
      <c r="A3" s="155"/>
      <c r="B3" s="859"/>
      <c r="C3" s="186" t="s">
        <v>918</v>
      </c>
      <c r="D3" s="157">
        <v>100</v>
      </c>
      <c r="E3" s="158">
        <v>100</v>
      </c>
      <c r="F3" s="159" t="s">
        <v>919</v>
      </c>
      <c r="G3" s="160">
        <v>1</v>
      </c>
      <c r="H3" s="160">
        <v>1</v>
      </c>
      <c r="I3" s="160">
        <v>2</v>
      </c>
      <c r="J3" s="160">
        <v>1</v>
      </c>
      <c r="K3" s="160">
        <v>1</v>
      </c>
      <c r="L3" s="161" t="s">
        <v>899</v>
      </c>
      <c r="M3" s="162" t="s">
        <v>665</v>
      </c>
      <c r="N3" s="163">
        <v>0</v>
      </c>
      <c r="O3" s="164">
        <v>0</v>
      </c>
      <c r="P3" s="165">
        <v>0</v>
      </c>
      <c r="Q3" s="166">
        <v>0</v>
      </c>
      <c r="R3" s="167">
        <v>0</v>
      </c>
      <c r="S3" s="168">
        <v>0</v>
      </c>
      <c r="T3" s="169">
        <v>0</v>
      </c>
      <c r="U3" s="170">
        <v>0</v>
      </c>
      <c r="V3" s="171">
        <v>0</v>
      </c>
      <c r="W3" s="172">
        <v>0</v>
      </c>
      <c r="X3" s="173">
        <v>1</v>
      </c>
      <c r="Y3" s="174">
        <v>1</v>
      </c>
      <c r="Z3" s="175" t="s">
        <v>900</v>
      </c>
      <c r="AA3" s="176">
        <v>0</v>
      </c>
      <c r="AB3" s="177">
        <v>0</v>
      </c>
      <c r="AC3" s="178">
        <v>7</v>
      </c>
      <c r="AD3" s="179">
        <v>1</v>
      </c>
      <c r="AE3" s="187"/>
      <c r="AF3" s="173">
        <v>2</v>
      </c>
      <c r="AG3" s="173">
        <v>4</v>
      </c>
      <c r="AH3" s="180">
        <v>0</v>
      </c>
      <c r="AI3" s="106"/>
      <c r="AJ3" s="106"/>
      <c r="AK3" s="106"/>
      <c r="AL3" s="106"/>
      <c r="AM3" s="106"/>
      <c r="AN3" s="106"/>
      <c r="AO3" s="106"/>
      <c r="AP3" s="106"/>
      <c r="AQ3" s="156" t="s">
        <v>897</v>
      </c>
      <c r="AR3" s="157">
        <v>100</v>
      </c>
      <c r="AS3" s="158">
        <v>100</v>
      </c>
      <c r="AT3" s="182" t="s">
        <v>596</v>
      </c>
      <c r="AU3" s="182" t="s">
        <v>548</v>
      </c>
      <c r="AV3" s="173">
        <v>2</v>
      </c>
      <c r="AW3" s="173">
        <v>3</v>
      </c>
      <c r="AX3" s="161" t="s">
        <v>899</v>
      </c>
      <c r="AY3" s="179">
        <v>0</v>
      </c>
      <c r="AZ3" s="188">
        <v>9</v>
      </c>
      <c r="BA3" s="70">
        <v>0</v>
      </c>
      <c r="BB3" s="70">
        <v>0</v>
      </c>
      <c r="BC3" s="70">
        <v>0</v>
      </c>
      <c r="BD3" s="189" t="s">
        <v>900</v>
      </c>
      <c r="BE3" s="190">
        <v>1</v>
      </c>
      <c r="BF3" s="189" t="s">
        <v>900</v>
      </c>
      <c r="BG3" s="191" t="s">
        <v>546</v>
      </c>
      <c r="BH3" s="192">
        <v>1.5</v>
      </c>
      <c r="BI3" s="193">
        <v>0</v>
      </c>
    </row>
    <row r="4" spans="1:61" ht="16.3">
      <c r="A4" s="155"/>
      <c r="B4" s="859"/>
      <c r="C4" s="194" t="s">
        <v>920</v>
      </c>
      <c r="D4" s="157">
        <v>100</v>
      </c>
      <c r="E4" s="158">
        <v>100</v>
      </c>
      <c r="F4" s="159" t="s">
        <v>921</v>
      </c>
      <c r="G4" s="160">
        <v>1</v>
      </c>
      <c r="H4" s="160">
        <v>1</v>
      </c>
      <c r="I4" s="160">
        <v>1</v>
      </c>
      <c r="J4" s="160">
        <v>1</v>
      </c>
      <c r="K4" s="160">
        <v>1</v>
      </c>
      <c r="L4" s="161" t="s">
        <v>899</v>
      </c>
      <c r="M4" s="162" t="s">
        <v>677</v>
      </c>
      <c r="N4" s="163">
        <v>0</v>
      </c>
      <c r="O4" s="164">
        <v>0</v>
      </c>
      <c r="P4" s="165">
        <v>-0.2</v>
      </c>
      <c r="Q4" s="166">
        <v>-0.2</v>
      </c>
      <c r="R4" s="167">
        <v>0</v>
      </c>
      <c r="S4" s="168">
        <v>0</v>
      </c>
      <c r="T4" s="169">
        <v>0</v>
      </c>
      <c r="U4" s="170">
        <v>0</v>
      </c>
      <c r="V4" s="171">
        <v>0</v>
      </c>
      <c r="W4" s="172">
        <v>-2</v>
      </c>
      <c r="X4" s="173">
        <v>0</v>
      </c>
      <c r="Y4" s="174">
        <v>-2</v>
      </c>
      <c r="Z4" s="175" t="s">
        <v>900</v>
      </c>
      <c r="AA4" s="176">
        <v>0</v>
      </c>
      <c r="AB4" s="177">
        <v>0</v>
      </c>
      <c r="AC4" s="178">
        <v>8</v>
      </c>
      <c r="AD4" s="179">
        <v>-2</v>
      </c>
      <c r="AE4" s="187"/>
      <c r="AF4" s="173">
        <v>2</v>
      </c>
      <c r="AG4" s="173">
        <v>3</v>
      </c>
      <c r="AH4" s="195">
        <v>2</v>
      </c>
      <c r="AI4" s="106"/>
      <c r="AJ4" s="106"/>
      <c r="AK4" s="106"/>
      <c r="AL4" s="106"/>
      <c r="AM4" s="106"/>
      <c r="AN4" s="106"/>
      <c r="AO4" s="106"/>
      <c r="AP4" s="106"/>
      <c r="AQ4" s="186" t="s">
        <v>918</v>
      </c>
      <c r="AR4" s="157">
        <v>100</v>
      </c>
      <c r="AS4" s="158">
        <v>100</v>
      </c>
      <c r="AT4" s="182" t="s">
        <v>596</v>
      </c>
      <c r="AU4" s="182" t="s">
        <v>554</v>
      </c>
      <c r="AV4" s="173">
        <v>2</v>
      </c>
      <c r="AW4" s="173">
        <v>3</v>
      </c>
      <c r="AX4" s="161" t="s">
        <v>899</v>
      </c>
      <c r="AY4" s="179">
        <v>0</v>
      </c>
      <c r="AZ4" s="196">
        <v>7</v>
      </c>
      <c r="BA4" s="70">
        <v>0</v>
      </c>
      <c r="BB4" s="70">
        <v>0</v>
      </c>
      <c r="BC4" s="70">
        <v>0</v>
      </c>
      <c r="BD4" s="189" t="s">
        <v>900</v>
      </c>
      <c r="BE4" s="197">
        <v>-1</v>
      </c>
      <c r="BF4" s="189" t="s">
        <v>900</v>
      </c>
      <c r="BG4" s="191" t="s">
        <v>548</v>
      </c>
      <c r="BH4" s="192">
        <v>4</v>
      </c>
      <c r="BI4" s="193">
        <v>0</v>
      </c>
    </row>
    <row r="5" spans="1:61" ht="16.3">
      <c r="A5" s="198"/>
      <c r="B5" s="858" t="s">
        <v>922</v>
      </c>
      <c r="C5" s="156" t="s">
        <v>923</v>
      </c>
      <c r="D5" s="199">
        <v>125</v>
      </c>
      <c r="E5" s="200">
        <v>85</v>
      </c>
      <c r="F5" s="159" t="s">
        <v>924</v>
      </c>
      <c r="G5" s="160">
        <v>3</v>
      </c>
      <c r="H5" s="160">
        <v>2</v>
      </c>
      <c r="I5" s="160">
        <v>1</v>
      </c>
      <c r="J5" s="160">
        <v>2</v>
      </c>
      <c r="K5" s="160">
        <v>1</v>
      </c>
      <c r="L5" s="161" t="s">
        <v>899</v>
      </c>
      <c r="M5" s="162" t="s">
        <v>665</v>
      </c>
      <c r="N5" s="201">
        <v>-0.5</v>
      </c>
      <c r="O5" s="202">
        <v>0.5</v>
      </c>
      <c r="P5" s="165">
        <v>-0.6</v>
      </c>
      <c r="Q5" s="166">
        <v>-0.6</v>
      </c>
      <c r="R5" s="167">
        <v>-0.6</v>
      </c>
      <c r="S5" s="168">
        <v>0.2</v>
      </c>
      <c r="T5" s="169">
        <v>0.2</v>
      </c>
      <c r="U5" s="170">
        <v>-0.2</v>
      </c>
      <c r="V5" s="171">
        <v>0.2</v>
      </c>
      <c r="W5" s="172">
        <v>-7</v>
      </c>
      <c r="X5" s="173">
        <v>4</v>
      </c>
      <c r="Y5" s="174">
        <v>-3</v>
      </c>
      <c r="Z5" s="175" t="s">
        <v>900</v>
      </c>
      <c r="AA5" s="176">
        <v>1</v>
      </c>
      <c r="AB5" s="177">
        <v>0</v>
      </c>
      <c r="AC5" s="178">
        <v>10</v>
      </c>
      <c r="AD5" s="179">
        <v>-3</v>
      </c>
      <c r="AE5" s="187"/>
      <c r="AF5" s="173">
        <v>5</v>
      </c>
      <c r="AG5" s="173">
        <v>4</v>
      </c>
      <c r="AH5" s="180">
        <v>0</v>
      </c>
      <c r="AI5" s="106"/>
      <c r="AJ5" s="106"/>
      <c r="AK5" s="106"/>
      <c r="AL5" s="106"/>
      <c r="AM5" s="106"/>
      <c r="AN5" s="106"/>
      <c r="AO5" s="106"/>
      <c r="AP5" s="106"/>
      <c r="AQ5" s="194" t="s">
        <v>920</v>
      </c>
      <c r="AR5" s="157">
        <v>100</v>
      </c>
      <c r="AS5" s="158">
        <v>100</v>
      </c>
      <c r="AT5" s="182" t="s">
        <v>596</v>
      </c>
      <c r="AU5" s="182" t="s">
        <v>580</v>
      </c>
      <c r="AV5" s="173">
        <v>2</v>
      </c>
      <c r="AW5" s="173">
        <v>3</v>
      </c>
      <c r="AX5" s="161" t="s">
        <v>899</v>
      </c>
      <c r="AY5" s="179">
        <v>0</v>
      </c>
      <c r="AZ5" s="203">
        <v>8</v>
      </c>
      <c r="BA5" s="70">
        <v>0</v>
      </c>
      <c r="BB5" s="70">
        <v>0</v>
      </c>
      <c r="BC5" s="70">
        <v>0</v>
      </c>
      <c r="BD5" s="189" t="s">
        <v>900</v>
      </c>
      <c r="BE5" s="204">
        <v>0</v>
      </c>
      <c r="BF5" s="189" t="s">
        <v>900</v>
      </c>
      <c r="BG5" s="191" t="s">
        <v>550</v>
      </c>
      <c r="BH5" s="192">
        <v>4</v>
      </c>
      <c r="BI5" s="193">
        <v>0</v>
      </c>
    </row>
    <row r="6" spans="1:61" ht="16.3">
      <c r="A6" s="198"/>
      <c r="B6" s="859"/>
      <c r="C6" s="186" t="s">
        <v>925</v>
      </c>
      <c r="D6" s="199">
        <v>80</v>
      </c>
      <c r="E6" s="200">
        <v>130</v>
      </c>
      <c r="F6" s="159" t="s">
        <v>926</v>
      </c>
      <c r="G6" s="160">
        <v>1</v>
      </c>
      <c r="H6" s="160">
        <v>2</v>
      </c>
      <c r="I6" s="160">
        <v>1</v>
      </c>
      <c r="J6" s="160">
        <v>1</v>
      </c>
      <c r="K6" s="160">
        <v>2</v>
      </c>
      <c r="L6" s="161" t="s">
        <v>899</v>
      </c>
      <c r="M6" s="162" t="s">
        <v>665</v>
      </c>
      <c r="N6" s="201">
        <v>-0.3</v>
      </c>
      <c r="O6" s="202">
        <v>0</v>
      </c>
      <c r="P6" s="165">
        <v>0.4</v>
      </c>
      <c r="Q6" s="166">
        <v>0</v>
      </c>
      <c r="R6" s="167">
        <v>0</v>
      </c>
      <c r="S6" s="168">
        <v>-0.2</v>
      </c>
      <c r="T6" s="169">
        <v>0</v>
      </c>
      <c r="U6" s="170">
        <v>0</v>
      </c>
      <c r="V6" s="171">
        <v>0</v>
      </c>
      <c r="W6" s="172">
        <v>-0.5</v>
      </c>
      <c r="X6" s="173">
        <v>2</v>
      </c>
      <c r="Y6" s="174">
        <v>2</v>
      </c>
      <c r="Z6" s="175" t="s">
        <v>900</v>
      </c>
      <c r="AA6" s="176">
        <v>1</v>
      </c>
      <c r="AB6" s="177">
        <v>0</v>
      </c>
      <c r="AC6" s="178">
        <v>5.5</v>
      </c>
      <c r="AD6" s="179">
        <v>2</v>
      </c>
      <c r="AE6" s="187"/>
      <c r="AF6" s="173">
        <v>3</v>
      </c>
      <c r="AG6" s="173">
        <v>4</v>
      </c>
      <c r="AH6" s="180">
        <v>0</v>
      </c>
      <c r="AI6" s="106"/>
      <c r="AJ6" s="106"/>
      <c r="AK6" s="106"/>
      <c r="AL6" s="106"/>
      <c r="AM6" s="106"/>
      <c r="AN6" s="106"/>
      <c r="AO6" s="106"/>
      <c r="AP6" s="106"/>
      <c r="AQ6" s="156" t="s">
        <v>923</v>
      </c>
      <c r="AR6" s="199">
        <v>135</v>
      </c>
      <c r="AS6" s="200">
        <v>115</v>
      </c>
      <c r="AT6" s="182" t="s">
        <v>624</v>
      </c>
      <c r="AU6" s="182" t="s">
        <v>636</v>
      </c>
      <c r="AV6" s="173">
        <v>5</v>
      </c>
      <c r="AW6" s="173">
        <v>4</v>
      </c>
      <c r="AX6" s="161" t="s">
        <v>899</v>
      </c>
      <c r="AY6" s="179">
        <v>0</v>
      </c>
      <c r="AZ6" s="205">
        <v>10</v>
      </c>
      <c r="BA6" s="70">
        <v>5</v>
      </c>
      <c r="BB6" s="70">
        <v>3</v>
      </c>
      <c r="BC6" s="70">
        <v>1</v>
      </c>
      <c r="BD6" s="189" t="s">
        <v>900</v>
      </c>
      <c r="BE6" s="206">
        <v>7</v>
      </c>
      <c r="BF6" s="189" t="s">
        <v>927</v>
      </c>
      <c r="BG6" s="191" t="s">
        <v>552</v>
      </c>
      <c r="BH6" s="192">
        <v>7</v>
      </c>
      <c r="BI6" s="207">
        <v>5</v>
      </c>
    </row>
    <row r="7" spans="1:61" ht="16.3">
      <c r="A7" s="198"/>
      <c r="B7" s="859"/>
      <c r="C7" s="194" t="s">
        <v>928</v>
      </c>
      <c r="D7" s="199">
        <v>100</v>
      </c>
      <c r="E7" s="200">
        <v>100</v>
      </c>
      <c r="F7" s="159" t="s">
        <v>929</v>
      </c>
      <c r="G7" s="160">
        <v>2</v>
      </c>
      <c r="H7" s="160">
        <v>2</v>
      </c>
      <c r="I7" s="160">
        <v>2</v>
      </c>
      <c r="J7" s="160">
        <v>1</v>
      </c>
      <c r="K7" s="160">
        <v>0</v>
      </c>
      <c r="L7" s="161" t="s">
        <v>899</v>
      </c>
      <c r="M7" s="162" t="s">
        <v>677</v>
      </c>
      <c r="N7" s="201">
        <v>0</v>
      </c>
      <c r="O7" s="202">
        <v>0.2</v>
      </c>
      <c r="P7" s="165">
        <v>-0.3</v>
      </c>
      <c r="Q7" s="166">
        <v>0</v>
      </c>
      <c r="R7" s="167">
        <v>-0.1</v>
      </c>
      <c r="S7" s="168">
        <v>0</v>
      </c>
      <c r="T7" s="169">
        <v>-0.5</v>
      </c>
      <c r="U7" s="170">
        <v>0</v>
      </c>
      <c r="V7" s="171">
        <v>0.4</v>
      </c>
      <c r="W7" s="172">
        <v>-1.5</v>
      </c>
      <c r="X7" s="173">
        <v>2</v>
      </c>
      <c r="Y7" s="174">
        <v>1</v>
      </c>
      <c r="Z7" s="175" t="s">
        <v>900</v>
      </c>
      <c r="AA7" s="176">
        <v>0</v>
      </c>
      <c r="AB7" s="177">
        <v>0</v>
      </c>
      <c r="AC7" s="178">
        <v>5.5</v>
      </c>
      <c r="AD7" s="179">
        <v>1</v>
      </c>
      <c r="AE7" s="187"/>
      <c r="AF7" s="173">
        <v>4</v>
      </c>
      <c r="AG7" s="173">
        <v>3</v>
      </c>
      <c r="AH7" s="195">
        <v>2</v>
      </c>
      <c r="AI7" s="106"/>
      <c r="AJ7" s="106"/>
      <c r="AK7" s="106"/>
      <c r="AL7" s="106"/>
      <c r="AM7" s="106"/>
      <c r="AN7" s="106"/>
      <c r="AO7" s="106"/>
      <c r="AP7" s="106"/>
      <c r="AQ7" s="186" t="s">
        <v>925</v>
      </c>
      <c r="AR7" s="199">
        <v>80</v>
      </c>
      <c r="AS7" s="200">
        <v>130</v>
      </c>
      <c r="AT7" s="182" t="s">
        <v>624</v>
      </c>
      <c r="AU7" s="182" t="s">
        <v>588</v>
      </c>
      <c r="AV7" s="173">
        <v>3</v>
      </c>
      <c r="AW7" s="173">
        <v>4</v>
      </c>
      <c r="AX7" s="161" t="s">
        <v>899</v>
      </c>
      <c r="AY7" s="179">
        <v>3</v>
      </c>
      <c r="AZ7" s="208">
        <v>5.5</v>
      </c>
      <c r="BA7" s="70">
        <v>1</v>
      </c>
      <c r="BB7" s="70">
        <v>1</v>
      </c>
      <c r="BC7" s="70">
        <v>1</v>
      </c>
      <c r="BD7" s="189" t="s">
        <v>900</v>
      </c>
      <c r="BE7" s="190">
        <v>1</v>
      </c>
      <c r="BF7" s="189" t="s">
        <v>930</v>
      </c>
      <c r="BG7" s="191" t="s">
        <v>554</v>
      </c>
      <c r="BH7" s="192">
        <v>2</v>
      </c>
      <c r="BI7" s="207">
        <v>4</v>
      </c>
    </row>
    <row r="8" spans="1:61" ht="16.3">
      <c r="A8" s="198"/>
      <c r="B8" s="847" t="s">
        <v>931</v>
      </c>
      <c r="C8" s="156" t="s">
        <v>932</v>
      </c>
      <c r="D8" s="199">
        <v>100</v>
      </c>
      <c r="E8" s="200">
        <v>80</v>
      </c>
      <c r="F8" s="159" t="s">
        <v>933</v>
      </c>
      <c r="G8" s="160">
        <v>1</v>
      </c>
      <c r="H8" s="160">
        <v>1</v>
      </c>
      <c r="I8" s="160">
        <v>1</v>
      </c>
      <c r="J8" s="160">
        <v>3</v>
      </c>
      <c r="K8" s="160">
        <v>1</v>
      </c>
      <c r="L8" s="161" t="s">
        <v>899</v>
      </c>
      <c r="M8" s="162" t="s">
        <v>665</v>
      </c>
      <c r="N8" s="201">
        <v>-0.2</v>
      </c>
      <c r="O8" s="202">
        <v>0</v>
      </c>
      <c r="P8" s="165">
        <v>0</v>
      </c>
      <c r="Q8" s="166">
        <v>0</v>
      </c>
      <c r="R8" s="167">
        <v>0</v>
      </c>
      <c r="S8" s="168">
        <v>0</v>
      </c>
      <c r="T8" s="169">
        <v>0</v>
      </c>
      <c r="U8" s="170">
        <v>0.1</v>
      </c>
      <c r="V8" s="171">
        <v>0</v>
      </c>
      <c r="W8" s="172">
        <v>-0.5</v>
      </c>
      <c r="X8" s="173">
        <v>2</v>
      </c>
      <c r="Y8" s="174">
        <v>2</v>
      </c>
      <c r="Z8" s="175" t="s">
        <v>900</v>
      </c>
      <c r="AA8" s="176">
        <v>-2</v>
      </c>
      <c r="AB8" s="177">
        <v>0</v>
      </c>
      <c r="AC8" s="178">
        <v>8.5</v>
      </c>
      <c r="AD8" s="179">
        <v>2</v>
      </c>
      <c r="AE8" s="187"/>
      <c r="AF8" s="173">
        <v>2</v>
      </c>
      <c r="AG8" s="173">
        <v>5</v>
      </c>
      <c r="AH8" s="180">
        <v>0</v>
      </c>
      <c r="AI8" s="106"/>
      <c r="AJ8" s="106"/>
      <c r="AK8" s="106"/>
      <c r="AL8" s="106"/>
      <c r="AM8" s="106"/>
      <c r="AN8" s="106"/>
      <c r="AO8" s="106"/>
      <c r="AP8" s="106"/>
      <c r="AQ8" s="194" t="s">
        <v>928</v>
      </c>
      <c r="AR8" s="199">
        <v>100</v>
      </c>
      <c r="AS8" s="200">
        <v>100</v>
      </c>
      <c r="AT8" s="182" t="s">
        <v>624</v>
      </c>
      <c r="AU8" s="182" t="s">
        <v>572</v>
      </c>
      <c r="AV8" s="173">
        <v>5</v>
      </c>
      <c r="AW8" s="173">
        <v>3</v>
      </c>
      <c r="AX8" s="161" t="s">
        <v>899</v>
      </c>
      <c r="AY8" s="179">
        <v>4</v>
      </c>
      <c r="AZ8" s="208">
        <v>5.5</v>
      </c>
      <c r="BA8" s="70">
        <v>0</v>
      </c>
      <c r="BB8" s="70">
        <v>3</v>
      </c>
      <c r="BC8" s="70">
        <v>0</v>
      </c>
      <c r="BD8" s="189" t="s">
        <v>900</v>
      </c>
      <c r="BE8" s="209">
        <v>2</v>
      </c>
      <c r="BF8" s="189" t="s">
        <v>934</v>
      </c>
      <c r="BG8" s="191" t="s">
        <v>556</v>
      </c>
      <c r="BH8" s="192">
        <v>1.5</v>
      </c>
      <c r="BI8" s="207">
        <v>4</v>
      </c>
    </row>
    <row r="9" spans="1:61" ht="16.3">
      <c r="A9" s="198"/>
      <c r="B9" s="848"/>
      <c r="C9" s="186" t="s">
        <v>935</v>
      </c>
      <c r="D9" s="199">
        <v>80</v>
      </c>
      <c r="E9" s="200">
        <v>100</v>
      </c>
      <c r="F9" s="159" t="s">
        <v>936</v>
      </c>
      <c r="G9" s="160">
        <v>-1</v>
      </c>
      <c r="H9" s="160">
        <v>2</v>
      </c>
      <c r="I9" s="160">
        <v>-1</v>
      </c>
      <c r="J9" s="160">
        <v>1</v>
      </c>
      <c r="K9" s="160">
        <v>2</v>
      </c>
      <c r="L9" s="161" t="s">
        <v>899</v>
      </c>
      <c r="M9" s="162" t="s">
        <v>677</v>
      </c>
      <c r="N9" s="201">
        <v>0</v>
      </c>
      <c r="O9" s="202">
        <v>0</v>
      </c>
      <c r="P9" s="165">
        <v>-0.5</v>
      </c>
      <c r="Q9" s="166">
        <v>0</v>
      </c>
      <c r="R9" s="167">
        <v>0</v>
      </c>
      <c r="S9" s="168">
        <v>-0.2</v>
      </c>
      <c r="T9" s="169">
        <v>-0.3</v>
      </c>
      <c r="U9" s="170">
        <v>0</v>
      </c>
      <c r="V9" s="171">
        <v>0</v>
      </c>
      <c r="W9" s="172">
        <v>-5</v>
      </c>
      <c r="X9" s="173">
        <v>-2</v>
      </c>
      <c r="Y9" s="174">
        <v>-7</v>
      </c>
      <c r="Z9" s="175" t="s">
        <v>900</v>
      </c>
      <c r="AA9" s="176">
        <v>-2</v>
      </c>
      <c r="AB9" s="177">
        <v>0</v>
      </c>
      <c r="AC9" s="178">
        <v>15</v>
      </c>
      <c r="AD9" s="179">
        <v>-7</v>
      </c>
      <c r="AE9" s="187"/>
      <c r="AF9" s="173">
        <v>1</v>
      </c>
      <c r="AG9" s="173">
        <v>2</v>
      </c>
      <c r="AH9" s="195">
        <v>2</v>
      </c>
      <c r="AI9" s="106"/>
      <c r="AJ9" s="106"/>
      <c r="AK9" s="106"/>
      <c r="AL9" s="106"/>
      <c r="AM9" s="106"/>
      <c r="AN9" s="106"/>
      <c r="AO9" s="106"/>
      <c r="AP9" s="106"/>
      <c r="AQ9" s="156" t="s">
        <v>932</v>
      </c>
      <c r="AR9" s="199">
        <v>100</v>
      </c>
      <c r="AS9" s="200">
        <v>80</v>
      </c>
      <c r="AT9" s="182" t="s">
        <v>552</v>
      </c>
      <c r="AU9" s="182" t="s">
        <v>556</v>
      </c>
      <c r="AV9" s="173">
        <v>2</v>
      </c>
      <c r="AW9" s="173">
        <v>5</v>
      </c>
      <c r="AX9" s="161" t="s">
        <v>899</v>
      </c>
      <c r="AY9" s="179">
        <v>3</v>
      </c>
      <c r="AZ9" s="210">
        <v>8.5</v>
      </c>
      <c r="BA9" s="70">
        <v>-2</v>
      </c>
      <c r="BB9" s="70">
        <v>0</v>
      </c>
      <c r="BC9" s="70">
        <v>2</v>
      </c>
      <c r="BD9" s="189" t="s">
        <v>900</v>
      </c>
      <c r="BE9" s="190">
        <v>1</v>
      </c>
      <c r="BF9" s="189" t="s">
        <v>937</v>
      </c>
      <c r="BG9" s="191" t="s">
        <v>558</v>
      </c>
      <c r="BH9" s="192">
        <v>2.5</v>
      </c>
      <c r="BI9" s="193">
        <v>1</v>
      </c>
    </row>
    <row r="10" spans="1:61" ht="16.3">
      <c r="A10" s="198"/>
      <c r="B10" s="848"/>
      <c r="C10" s="194" t="s">
        <v>938</v>
      </c>
      <c r="D10" s="199">
        <v>100</v>
      </c>
      <c r="E10" s="200">
        <v>70</v>
      </c>
      <c r="F10" s="159" t="s">
        <v>939</v>
      </c>
      <c r="G10" s="160">
        <v>1</v>
      </c>
      <c r="H10" s="160">
        <v>1</v>
      </c>
      <c r="I10" s="160">
        <v>2</v>
      </c>
      <c r="J10" s="160">
        <v>1</v>
      </c>
      <c r="K10" s="160">
        <v>0</v>
      </c>
      <c r="L10" s="161" t="s">
        <v>899</v>
      </c>
      <c r="M10" s="162" t="s">
        <v>665</v>
      </c>
      <c r="N10" s="201">
        <v>0</v>
      </c>
      <c r="O10" s="202">
        <v>0</v>
      </c>
      <c r="P10" s="165">
        <v>-0.2</v>
      </c>
      <c r="Q10" s="166">
        <v>0.2</v>
      </c>
      <c r="R10" s="167">
        <v>-0.2</v>
      </c>
      <c r="S10" s="168">
        <v>0</v>
      </c>
      <c r="T10" s="169">
        <v>0</v>
      </c>
      <c r="U10" s="170">
        <v>0</v>
      </c>
      <c r="V10" s="171">
        <v>0</v>
      </c>
      <c r="W10" s="172">
        <v>-1</v>
      </c>
      <c r="X10" s="173">
        <v>0</v>
      </c>
      <c r="Y10" s="174">
        <v>-1</v>
      </c>
      <c r="Z10" s="175" t="s">
        <v>900</v>
      </c>
      <c r="AA10" s="176">
        <v>-3</v>
      </c>
      <c r="AB10" s="177">
        <v>0</v>
      </c>
      <c r="AC10" s="178">
        <v>12</v>
      </c>
      <c r="AD10" s="179">
        <v>-1</v>
      </c>
      <c r="AE10" s="187"/>
      <c r="AF10" s="173">
        <v>2</v>
      </c>
      <c r="AG10" s="173">
        <v>3</v>
      </c>
      <c r="AH10" s="180">
        <v>0</v>
      </c>
      <c r="AI10" s="106"/>
      <c r="AJ10" s="106"/>
      <c r="AK10" s="106"/>
      <c r="AL10" s="106"/>
      <c r="AM10" s="106"/>
      <c r="AN10" s="106"/>
      <c r="AO10" s="106"/>
      <c r="AP10" s="106"/>
      <c r="AQ10" s="186" t="s">
        <v>935</v>
      </c>
      <c r="AR10" s="199">
        <v>100</v>
      </c>
      <c r="AS10" s="200">
        <v>100</v>
      </c>
      <c r="AT10" s="182" t="s">
        <v>552</v>
      </c>
      <c r="AU10" s="182" t="s">
        <v>612</v>
      </c>
      <c r="AV10" s="173">
        <v>3</v>
      </c>
      <c r="AW10" s="173">
        <v>4</v>
      </c>
      <c r="AX10" s="161" t="s">
        <v>899</v>
      </c>
      <c r="AY10" s="179">
        <v>0</v>
      </c>
      <c r="AZ10" s="211">
        <v>15</v>
      </c>
      <c r="BA10" s="70">
        <v>0</v>
      </c>
      <c r="BB10" s="70">
        <v>1</v>
      </c>
      <c r="BC10" s="70">
        <v>1</v>
      </c>
      <c r="BD10" s="189" t="s">
        <v>900</v>
      </c>
      <c r="BE10" s="206">
        <v>7</v>
      </c>
      <c r="BF10" s="189" t="s">
        <v>900</v>
      </c>
      <c r="BG10" s="191" t="s">
        <v>560</v>
      </c>
      <c r="BH10" s="192">
        <v>3</v>
      </c>
      <c r="BI10" s="193">
        <v>0</v>
      </c>
    </row>
    <row r="11" spans="1:61" ht="16.3">
      <c r="A11" s="198"/>
      <c r="B11" s="847" t="s">
        <v>940</v>
      </c>
      <c r="C11" s="156" t="s">
        <v>941</v>
      </c>
      <c r="D11" s="199">
        <v>100</v>
      </c>
      <c r="E11" s="200">
        <v>80</v>
      </c>
      <c r="F11" s="159" t="s">
        <v>942</v>
      </c>
      <c r="G11" s="160">
        <v>1</v>
      </c>
      <c r="H11" s="160">
        <v>1</v>
      </c>
      <c r="I11" s="160">
        <v>1</v>
      </c>
      <c r="J11" s="160">
        <v>1</v>
      </c>
      <c r="K11" s="160">
        <v>1</v>
      </c>
      <c r="L11" s="161" t="s">
        <v>899</v>
      </c>
      <c r="M11" s="162" t="s">
        <v>665</v>
      </c>
      <c r="N11" s="201">
        <v>0.2</v>
      </c>
      <c r="O11" s="202">
        <v>0</v>
      </c>
      <c r="P11" s="165">
        <v>-0.1</v>
      </c>
      <c r="Q11" s="166">
        <v>-0.1</v>
      </c>
      <c r="R11" s="167">
        <v>0.1</v>
      </c>
      <c r="S11" s="168">
        <v>-0.1</v>
      </c>
      <c r="T11" s="169">
        <v>0.2</v>
      </c>
      <c r="U11" s="170">
        <v>-0.1</v>
      </c>
      <c r="V11" s="171">
        <v>-0.1</v>
      </c>
      <c r="W11" s="172">
        <v>0</v>
      </c>
      <c r="X11" s="173">
        <v>0</v>
      </c>
      <c r="Y11" s="174">
        <v>0</v>
      </c>
      <c r="Z11" s="175" t="s">
        <v>900</v>
      </c>
      <c r="AA11" s="176">
        <v>-2</v>
      </c>
      <c r="AB11" s="177">
        <v>0</v>
      </c>
      <c r="AC11" s="178">
        <v>10</v>
      </c>
      <c r="AD11" s="179">
        <v>0</v>
      </c>
      <c r="AE11" s="187"/>
      <c r="AF11" s="173">
        <v>2</v>
      </c>
      <c r="AG11" s="173">
        <v>3</v>
      </c>
      <c r="AH11" s="180">
        <v>0</v>
      </c>
      <c r="AI11" s="106"/>
      <c r="AJ11" s="106"/>
      <c r="AK11" s="106"/>
      <c r="AL11" s="106"/>
      <c r="AM11" s="106"/>
      <c r="AN11" s="106"/>
      <c r="AO11" s="106"/>
      <c r="AP11" s="106"/>
      <c r="AQ11" s="194" t="s">
        <v>938</v>
      </c>
      <c r="AR11" s="199">
        <v>100</v>
      </c>
      <c r="AS11" s="200">
        <v>80</v>
      </c>
      <c r="AT11" s="182" t="s">
        <v>552</v>
      </c>
      <c r="AU11" s="182" t="s">
        <v>634</v>
      </c>
      <c r="AV11" s="173">
        <v>3</v>
      </c>
      <c r="AW11" s="173">
        <v>4</v>
      </c>
      <c r="AX11" s="161" t="s">
        <v>899</v>
      </c>
      <c r="AY11" s="179">
        <v>1</v>
      </c>
      <c r="AZ11" s="212">
        <v>12</v>
      </c>
      <c r="BA11" s="70">
        <v>-2</v>
      </c>
      <c r="BB11" s="70">
        <v>1</v>
      </c>
      <c r="BC11" s="70">
        <v>1</v>
      </c>
      <c r="BD11" s="189" t="s">
        <v>900</v>
      </c>
      <c r="BE11" s="213">
        <v>3</v>
      </c>
      <c r="BF11" s="189" t="s">
        <v>943</v>
      </c>
      <c r="BG11" s="191" t="s">
        <v>562</v>
      </c>
      <c r="BH11" s="192">
        <v>2</v>
      </c>
      <c r="BI11" s="193">
        <v>-1</v>
      </c>
    </row>
    <row r="12" spans="1:61" ht="16.3">
      <c r="A12" s="198"/>
      <c r="B12" s="848"/>
      <c r="C12" s="186" t="s">
        <v>944</v>
      </c>
      <c r="D12" s="199">
        <v>80</v>
      </c>
      <c r="E12" s="200">
        <v>120</v>
      </c>
      <c r="F12" s="159" t="s">
        <v>945</v>
      </c>
      <c r="G12" s="160">
        <v>0</v>
      </c>
      <c r="H12" s="160">
        <v>1</v>
      </c>
      <c r="I12" s="160">
        <v>0</v>
      </c>
      <c r="J12" s="160">
        <v>1</v>
      </c>
      <c r="K12" s="160">
        <v>2</v>
      </c>
      <c r="L12" s="161" t="s">
        <v>899</v>
      </c>
      <c r="M12" s="162" t="s">
        <v>660</v>
      </c>
      <c r="N12" s="201">
        <v>0.3</v>
      </c>
      <c r="O12" s="202">
        <v>0.3</v>
      </c>
      <c r="P12" s="165">
        <v>-0.5</v>
      </c>
      <c r="Q12" s="166">
        <v>-0.5</v>
      </c>
      <c r="R12" s="167">
        <v>0.5</v>
      </c>
      <c r="S12" s="168">
        <v>-0.9</v>
      </c>
      <c r="T12" s="169">
        <v>0.4</v>
      </c>
      <c r="U12" s="170">
        <v>-0.2</v>
      </c>
      <c r="V12" s="171">
        <v>-0.2</v>
      </c>
      <c r="W12" s="172">
        <v>-4</v>
      </c>
      <c r="X12" s="173">
        <v>-1</v>
      </c>
      <c r="Y12" s="174">
        <v>-5</v>
      </c>
      <c r="Z12" s="175" t="s">
        <v>900</v>
      </c>
      <c r="AA12" s="176">
        <v>0</v>
      </c>
      <c r="AB12" s="177">
        <v>0</v>
      </c>
      <c r="AC12" s="178">
        <v>7</v>
      </c>
      <c r="AD12" s="179">
        <v>-5</v>
      </c>
      <c r="AE12" s="187"/>
      <c r="AF12" s="173">
        <v>1</v>
      </c>
      <c r="AG12" s="173">
        <v>3</v>
      </c>
      <c r="AH12" s="214">
        <v>6</v>
      </c>
      <c r="AI12" s="106"/>
      <c r="AJ12" s="106"/>
      <c r="AK12" s="106"/>
      <c r="AL12" s="106"/>
      <c r="AM12" s="106"/>
      <c r="AN12" s="106"/>
      <c r="AO12" s="106"/>
      <c r="AP12" s="106"/>
      <c r="AQ12" s="156" t="s">
        <v>941</v>
      </c>
      <c r="AR12" s="199">
        <v>100</v>
      </c>
      <c r="AS12" s="200">
        <v>80</v>
      </c>
      <c r="AT12" s="182" t="s">
        <v>643</v>
      </c>
      <c r="AU12" s="182" t="s">
        <v>586</v>
      </c>
      <c r="AV12" s="173">
        <v>2</v>
      </c>
      <c r="AW12" s="173">
        <v>3</v>
      </c>
      <c r="AX12" s="161" t="s">
        <v>899</v>
      </c>
      <c r="AY12" s="179">
        <v>-2</v>
      </c>
      <c r="AZ12" s="205">
        <v>10</v>
      </c>
      <c r="BA12" s="70">
        <v>-2</v>
      </c>
      <c r="BB12" s="70">
        <v>0</v>
      </c>
      <c r="BC12" s="70">
        <v>0</v>
      </c>
      <c r="BD12" s="189" t="s">
        <v>900</v>
      </c>
      <c r="BE12" s="215">
        <v>-2</v>
      </c>
      <c r="BF12" s="189" t="s">
        <v>946</v>
      </c>
      <c r="BG12" s="191" t="s">
        <v>564</v>
      </c>
      <c r="BH12" s="192">
        <v>-8</v>
      </c>
      <c r="BI12" s="207">
        <v>-4</v>
      </c>
    </row>
    <row r="13" spans="1:61" ht="16.3">
      <c r="A13" s="198"/>
      <c r="B13" s="848"/>
      <c r="C13" s="194" t="s">
        <v>947</v>
      </c>
      <c r="D13" s="199">
        <v>90</v>
      </c>
      <c r="E13" s="200">
        <v>90</v>
      </c>
      <c r="F13" s="159" t="s">
        <v>948</v>
      </c>
      <c r="G13" s="160">
        <v>1</v>
      </c>
      <c r="H13" s="160">
        <v>1</v>
      </c>
      <c r="I13" s="160">
        <v>0</v>
      </c>
      <c r="J13" s="160">
        <v>3</v>
      </c>
      <c r="K13" s="160">
        <v>1</v>
      </c>
      <c r="L13" s="161" t="s">
        <v>899</v>
      </c>
      <c r="M13" s="162" t="s">
        <v>665</v>
      </c>
      <c r="N13" s="201">
        <v>0</v>
      </c>
      <c r="O13" s="202">
        <v>0.3</v>
      </c>
      <c r="P13" s="165">
        <v>-0.2</v>
      </c>
      <c r="Q13" s="166">
        <v>-0.2</v>
      </c>
      <c r="R13" s="167">
        <v>0.4</v>
      </c>
      <c r="S13" s="168">
        <v>0</v>
      </c>
      <c r="T13" s="169">
        <v>0</v>
      </c>
      <c r="U13" s="170">
        <v>0.2</v>
      </c>
      <c r="V13" s="171">
        <v>0</v>
      </c>
      <c r="W13" s="172">
        <v>2.5</v>
      </c>
      <c r="X13" s="173">
        <v>1</v>
      </c>
      <c r="Y13" s="174">
        <v>4</v>
      </c>
      <c r="Z13" s="175" t="s">
        <v>900</v>
      </c>
      <c r="AA13" s="176">
        <v>-2</v>
      </c>
      <c r="AB13" s="177">
        <v>0</v>
      </c>
      <c r="AC13" s="178">
        <v>6.5</v>
      </c>
      <c r="AD13" s="179">
        <v>4</v>
      </c>
      <c r="AE13" s="187"/>
      <c r="AF13" s="173">
        <v>2</v>
      </c>
      <c r="AG13" s="173">
        <v>4</v>
      </c>
      <c r="AH13" s="180">
        <v>0</v>
      </c>
      <c r="AI13" s="106"/>
      <c r="AJ13" s="106"/>
      <c r="AK13" s="106"/>
      <c r="AL13" s="106"/>
      <c r="AM13" s="106"/>
      <c r="AN13" s="106"/>
      <c r="AO13" s="106"/>
      <c r="AP13" s="106"/>
      <c r="AQ13" s="186" t="s">
        <v>944</v>
      </c>
      <c r="AR13" s="199">
        <v>80</v>
      </c>
      <c r="AS13" s="200">
        <v>100</v>
      </c>
      <c r="AT13" s="182" t="s">
        <v>643</v>
      </c>
      <c r="AU13" s="182" t="s">
        <v>639</v>
      </c>
      <c r="AV13" s="173">
        <v>2</v>
      </c>
      <c r="AW13" s="173">
        <v>3</v>
      </c>
      <c r="AX13" s="161" t="s">
        <v>899</v>
      </c>
      <c r="AY13" s="179">
        <v>-1</v>
      </c>
      <c r="AZ13" s="196">
        <v>7</v>
      </c>
      <c r="BA13" s="70">
        <v>-2</v>
      </c>
      <c r="BB13" s="70">
        <v>0</v>
      </c>
      <c r="BC13" s="70">
        <v>0</v>
      </c>
      <c r="BD13" s="189" t="s">
        <v>900</v>
      </c>
      <c r="BE13" s="216">
        <v>-4</v>
      </c>
      <c r="BF13" s="189" t="s">
        <v>949</v>
      </c>
      <c r="BG13" s="191" t="s">
        <v>566</v>
      </c>
      <c r="BH13" s="192">
        <v>6</v>
      </c>
      <c r="BI13" s="193">
        <v>-3</v>
      </c>
    </row>
    <row r="14" spans="1:61" ht="16.3">
      <c r="A14" s="198"/>
      <c r="B14" s="847" t="s">
        <v>950</v>
      </c>
      <c r="C14" s="156" t="s">
        <v>951</v>
      </c>
      <c r="D14" s="199">
        <v>120</v>
      </c>
      <c r="E14" s="200">
        <v>50</v>
      </c>
      <c r="F14" s="159" t="s">
        <v>952</v>
      </c>
      <c r="G14" s="160">
        <v>2</v>
      </c>
      <c r="H14" s="160">
        <v>2</v>
      </c>
      <c r="I14" s="160">
        <v>2</v>
      </c>
      <c r="J14" s="160">
        <v>-1</v>
      </c>
      <c r="K14" s="160">
        <v>-1</v>
      </c>
      <c r="L14" s="161" t="s">
        <v>930</v>
      </c>
      <c r="M14" s="162" t="s">
        <v>681</v>
      </c>
      <c r="N14" s="201">
        <v>-0.2</v>
      </c>
      <c r="O14" s="202">
        <v>0.1</v>
      </c>
      <c r="P14" s="165">
        <v>0</v>
      </c>
      <c r="Q14" s="166">
        <v>0</v>
      </c>
      <c r="R14" s="167">
        <v>-0.4</v>
      </c>
      <c r="S14" s="168">
        <v>0.4</v>
      </c>
      <c r="T14" s="169">
        <v>-0.8</v>
      </c>
      <c r="U14" s="170">
        <v>-0.3</v>
      </c>
      <c r="V14" s="171">
        <v>0.5</v>
      </c>
      <c r="W14" s="172">
        <v>-3.5</v>
      </c>
      <c r="X14" s="173">
        <v>-1</v>
      </c>
      <c r="Y14" s="174">
        <v>-5</v>
      </c>
      <c r="Z14" s="175" t="s">
        <v>953</v>
      </c>
      <c r="AA14" s="176">
        <v>-3</v>
      </c>
      <c r="AB14" s="177">
        <v>0</v>
      </c>
      <c r="AC14" s="178">
        <v>9</v>
      </c>
      <c r="AD14" s="179">
        <v>-2</v>
      </c>
      <c r="AE14" s="187"/>
      <c r="AF14" s="173">
        <v>4</v>
      </c>
      <c r="AG14" s="173">
        <v>0</v>
      </c>
      <c r="AH14" s="217">
        <v>4</v>
      </c>
      <c r="AI14" s="106"/>
      <c r="AJ14" s="106"/>
      <c r="AK14" s="106"/>
      <c r="AL14" s="106"/>
      <c r="AM14" s="106"/>
      <c r="AN14" s="106"/>
      <c r="AO14" s="106"/>
      <c r="AP14" s="106"/>
      <c r="AQ14" s="194" t="s">
        <v>947</v>
      </c>
      <c r="AR14" s="199">
        <v>90</v>
      </c>
      <c r="AS14" s="200">
        <v>90</v>
      </c>
      <c r="AT14" s="182" t="s">
        <v>643</v>
      </c>
      <c r="AU14" s="182" t="s">
        <v>584</v>
      </c>
      <c r="AV14" s="173">
        <v>2</v>
      </c>
      <c r="AW14" s="173">
        <v>3</v>
      </c>
      <c r="AX14" s="161" t="s">
        <v>899</v>
      </c>
      <c r="AY14" s="179">
        <v>3</v>
      </c>
      <c r="AZ14" s="218">
        <v>6.5</v>
      </c>
      <c r="BA14" s="70">
        <v>-2</v>
      </c>
      <c r="BB14" s="70">
        <v>0</v>
      </c>
      <c r="BC14" s="70">
        <v>0</v>
      </c>
      <c r="BD14" s="189" t="s">
        <v>900</v>
      </c>
      <c r="BE14" s="197">
        <v>-1</v>
      </c>
      <c r="BF14" s="189" t="s">
        <v>937</v>
      </c>
      <c r="BG14" s="191" t="s">
        <v>568</v>
      </c>
      <c r="BH14" s="192">
        <v>4</v>
      </c>
      <c r="BI14" s="193">
        <v>1</v>
      </c>
    </row>
    <row r="15" spans="1:61" ht="16.3">
      <c r="A15" s="198"/>
      <c r="B15" s="848"/>
      <c r="C15" s="186" t="s">
        <v>954</v>
      </c>
      <c r="D15" s="199">
        <v>115</v>
      </c>
      <c r="E15" s="200">
        <v>95</v>
      </c>
      <c r="F15" s="159" t="s">
        <v>955</v>
      </c>
      <c r="G15" s="160">
        <v>1</v>
      </c>
      <c r="H15" s="160">
        <v>1</v>
      </c>
      <c r="I15" s="160">
        <v>1</v>
      </c>
      <c r="J15" s="160">
        <v>1</v>
      </c>
      <c r="K15" s="160">
        <v>1</v>
      </c>
      <c r="L15" s="161" t="s">
        <v>899</v>
      </c>
      <c r="M15" s="162" t="s">
        <v>665</v>
      </c>
      <c r="N15" s="201">
        <v>0</v>
      </c>
      <c r="O15" s="202">
        <v>0</v>
      </c>
      <c r="P15" s="165">
        <v>0</v>
      </c>
      <c r="Q15" s="166">
        <v>0</v>
      </c>
      <c r="R15" s="167">
        <v>0</v>
      </c>
      <c r="S15" s="168">
        <v>0.2</v>
      </c>
      <c r="T15" s="169">
        <v>-0.2</v>
      </c>
      <c r="U15" s="170">
        <v>0.2</v>
      </c>
      <c r="V15" s="171">
        <v>0.1</v>
      </c>
      <c r="W15" s="172">
        <v>1.5</v>
      </c>
      <c r="X15" s="173">
        <v>0</v>
      </c>
      <c r="Y15" s="174">
        <v>2</v>
      </c>
      <c r="Z15" s="175" t="s">
        <v>900</v>
      </c>
      <c r="AA15" s="176">
        <v>1</v>
      </c>
      <c r="AB15" s="177">
        <v>0</v>
      </c>
      <c r="AC15" s="178">
        <v>5.5</v>
      </c>
      <c r="AD15" s="179">
        <v>2</v>
      </c>
      <c r="AE15" s="187"/>
      <c r="AF15" s="173">
        <v>2</v>
      </c>
      <c r="AG15" s="173">
        <v>3</v>
      </c>
      <c r="AH15" s="180">
        <v>0</v>
      </c>
      <c r="AI15" s="106"/>
      <c r="AJ15" s="106"/>
      <c r="AK15" s="106"/>
      <c r="AL15" s="106"/>
      <c r="AM15" s="106"/>
      <c r="AN15" s="106"/>
      <c r="AO15" s="106"/>
      <c r="AP15" s="106"/>
      <c r="AQ15" s="156" t="s">
        <v>951</v>
      </c>
      <c r="AR15" s="199">
        <v>120</v>
      </c>
      <c r="AS15" s="200">
        <v>70</v>
      </c>
      <c r="AT15" s="182" t="s">
        <v>568</v>
      </c>
      <c r="AU15" s="182" t="s">
        <v>634</v>
      </c>
      <c r="AV15" s="173">
        <v>4</v>
      </c>
      <c r="AW15" s="173">
        <v>1</v>
      </c>
      <c r="AX15" s="161" t="s">
        <v>899</v>
      </c>
      <c r="AY15" s="179">
        <v>-2</v>
      </c>
      <c r="AZ15" s="188">
        <v>9</v>
      </c>
      <c r="BA15" s="70">
        <v>-1</v>
      </c>
      <c r="BB15" s="70">
        <v>2</v>
      </c>
      <c r="BC15" s="70">
        <v>-2</v>
      </c>
      <c r="BD15" s="189" t="s">
        <v>900</v>
      </c>
      <c r="BE15" s="219">
        <v>-2</v>
      </c>
      <c r="BF15" s="189" t="s">
        <v>956</v>
      </c>
      <c r="BG15" s="191" t="s">
        <v>570</v>
      </c>
      <c r="BH15" s="192">
        <v>1.5</v>
      </c>
      <c r="BI15" s="193">
        <v>-3</v>
      </c>
    </row>
    <row r="16" spans="1:61" ht="16.3">
      <c r="A16" s="198"/>
      <c r="B16" s="848"/>
      <c r="C16" s="194" t="s">
        <v>957</v>
      </c>
      <c r="D16" s="199">
        <v>90</v>
      </c>
      <c r="E16" s="200">
        <v>110</v>
      </c>
      <c r="F16" s="159" t="s">
        <v>958</v>
      </c>
      <c r="G16" s="160">
        <v>1</v>
      </c>
      <c r="H16" s="160">
        <v>2</v>
      </c>
      <c r="I16" s="160">
        <v>0</v>
      </c>
      <c r="J16" s="160">
        <v>1</v>
      </c>
      <c r="K16" s="160">
        <v>0</v>
      </c>
      <c r="L16" s="161" t="s">
        <v>899</v>
      </c>
      <c r="M16" s="162" t="s">
        <v>665</v>
      </c>
      <c r="N16" s="201">
        <v>0</v>
      </c>
      <c r="O16" s="202">
        <v>0.5</v>
      </c>
      <c r="P16" s="165">
        <v>0</v>
      </c>
      <c r="Q16" s="166">
        <v>0</v>
      </c>
      <c r="R16" s="167">
        <v>-0.6</v>
      </c>
      <c r="S16" s="168">
        <v>0</v>
      </c>
      <c r="T16" s="169">
        <v>-0.3</v>
      </c>
      <c r="U16" s="170">
        <v>0</v>
      </c>
      <c r="V16" s="171">
        <v>0</v>
      </c>
      <c r="W16" s="172">
        <v>-2</v>
      </c>
      <c r="X16" s="173">
        <v>-1</v>
      </c>
      <c r="Y16" s="174">
        <v>-3</v>
      </c>
      <c r="Z16" s="175" t="s">
        <v>900</v>
      </c>
      <c r="AA16" s="176">
        <v>0</v>
      </c>
      <c r="AB16" s="177">
        <v>0</v>
      </c>
      <c r="AC16" s="178">
        <v>11</v>
      </c>
      <c r="AD16" s="179">
        <v>-3</v>
      </c>
      <c r="AE16" s="187"/>
      <c r="AF16" s="173">
        <v>3</v>
      </c>
      <c r="AG16" s="173">
        <v>1</v>
      </c>
      <c r="AH16" s="180">
        <v>0</v>
      </c>
      <c r="AI16" s="106"/>
      <c r="AJ16" s="106"/>
      <c r="AK16" s="106"/>
      <c r="AL16" s="106"/>
      <c r="AM16" s="106"/>
      <c r="AN16" s="106"/>
      <c r="AO16" s="106"/>
      <c r="AP16" s="106"/>
      <c r="AQ16" s="186" t="s">
        <v>954</v>
      </c>
      <c r="AR16" s="199">
        <v>110</v>
      </c>
      <c r="AS16" s="200">
        <v>100</v>
      </c>
      <c r="AT16" s="182" t="s">
        <v>568</v>
      </c>
      <c r="AU16" s="182" t="s">
        <v>630</v>
      </c>
      <c r="AV16" s="173">
        <v>2</v>
      </c>
      <c r="AW16" s="173">
        <v>3</v>
      </c>
      <c r="AX16" s="161" t="s">
        <v>899</v>
      </c>
      <c r="AY16" s="179">
        <v>-4</v>
      </c>
      <c r="AZ16" s="208">
        <v>5.5</v>
      </c>
      <c r="BA16" s="70">
        <v>1</v>
      </c>
      <c r="BB16" s="70">
        <v>0</v>
      </c>
      <c r="BC16" s="70">
        <v>0</v>
      </c>
      <c r="BD16" s="189" t="s">
        <v>900</v>
      </c>
      <c r="BE16" s="220">
        <v>-5</v>
      </c>
      <c r="BF16" s="189" t="s">
        <v>956</v>
      </c>
      <c r="BG16" s="191" t="s">
        <v>572</v>
      </c>
      <c r="BH16" s="192">
        <v>1.5</v>
      </c>
      <c r="BI16" s="193">
        <v>-3</v>
      </c>
    </row>
    <row r="17" spans="1:61" ht="15" customHeight="1">
      <c r="A17" s="853" t="s">
        <v>959</v>
      </c>
      <c r="B17" s="849" t="s">
        <v>960</v>
      </c>
      <c r="C17" s="156" t="s">
        <v>961</v>
      </c>
      <c r="D17" s="199">
        <v>60</v>
      </c>
      <c r="E17" s="200">
        <v>80</v>
      </c>
      <c r="F17" s="159" t="s">
        <v>962</v>
      </c>
      <c r="G17" s="160">
        <v>1</v>
      </c>
      <c r="H17" s="160">
        <v>1</v>
      </c>
      <c r="I17" s="160">
        <v>1</v>
      </c>
      <c r="J17" s="160">
        <v>4</v>
      </c>
      <c r="K17" s="160">
        <v>1</v>
      </c>
      <c r="L17" s="161" t="s">
        <v>934</v>
      </c>
      <c r="M17" s="162" t="s">
        <v>665</v>
      </c>
      <c r="N17" s="201">
        <v>-0.2</v>
      </c>
      <c r="O17" s="202">
        <v>0.4</v>
      </c>
      <c r="P17" s="165">
        <v>0</v>
      </c>
      <c r="Q17" s="166">
        <v>0</v>
      </c>
      <c r="R17" s="167">
        <v>0</v>
      </c>
      <c r="S17" s="168">
        <v>0</v>
      </c>
      <c r="T17" s="169">
        <v>0</v>
      </c>
      <c r="U17" s="170">
        <v>0</v>
      </c>
      <c r="V17" s="171">
        <v>0.6</v>
      </c>
      <c r="W17" s="172">
        <v>4</v>
      </c>
      <c r="X17" s="173">
        <v>3</v>
      </c>
      <c r="Y17" s="174">
        <v>7</v>
      </c>
      <c r="Z17" s="175" t="s">
        <v>927</v>
      </c>
      <c r="AA17" s="176">
        <v>-6</v>
      </c>
      <c r="AB17" s="177">
        <v>0</v>
      </c>
      <c r="AC17" s="178">
        <v>2</v>
      </c>
      <c r="AD17" s="179">
        <v>12</v>
      </c>
      <c r="AE17" s="187"/>
      <c r="AF17" s="173">
        <v>2</v>
      </c>
      <c r="AG17" s="173">
        <v>6</v>
      </c>
      <c r="AH17" s="180">
        <v>0</v>
      </c>
      <c r="AI17" s="106"/>
      <c r="AJ17" s="106"/>
      <c r="AK17" s="106"/>
      <c r="AL17" s="106"/>
      <c r="AM17" s="106"/>
      <c r="AN17" s="106"/>
      <c r="AO17" s="106"/>
      <c r="AP17" s="106"/>
      <c r="AQ17" s="194" t="s">
        <v>957</v>
      </c>
      <c r="AR17" s="199">
        <v>90</v>
      </c>
      <c r="AS17" s="200">
        <v>110</v>
      </c>
      <c r="AT17" s="182" t="s">
        <v>568</v>
      </c>
      <c r="AU17" s="182" t="s">
        <v>552</v>
      </c>
      <c r="AV17" s="173">
        <v>3</v>
      </c>
      <c r="AW17" s="173">
        <v>0</v>
      </c>
      <c r="AX17" s="161" t="s">
        <v>899</v>
      </c>
      <c r="AY17" s="179">
        <v>-4</v>
      </c>
      <c r="AZ17" s="221">
        <v>11</v>
      </c>
      <c r="BA17" s="70">
        <v>0</v>
      </c>
      <c r="BB17" s="70">
        <v>1</v>
      </c>
      <c r="BC17" s="70">
        <v>-3</v>
      </c>
      <c r="BD17" s="189" t="s">
        <v>900</v>
      </c>
      <c r="BE17" s="222">
        <v>-1</v>
      </c>
      <c r="BF17" s="189" t="s">
        <v>963</v>
      </c>
      <c r="BG17" s="191" t="s">
        <v>574</v>
      </c>
      <c r="BH17" s="192">
        <v>-3</v>
      </c>
      <c r="BI17" s="207">
        <v>-4</v>
      </c>
    </row>
    <row r="18" spans="1:61" ht="15" customHeight="1">
      <c r="A18" s="854"/>
      <c r="B18" s="850"/>
      <c r="C18" s="186" t="s">
        <v>964</v>
      </c>
      <c r="D18" s="199">
        <v>120</v>
      </c>
      <c r="E18" s="200">
        <v>80</v>
      </c>
      <c r="F18" s="159" t="s">
        <v>965</v>
      </c>
      <c r="G18" s="160">
        <v>2</v>
      </c>
      <c r="H18" s="160">
        <v>-2</v>
      </c>
      <c r="I18" s="160">
        <v>2</v>
      </c>
      <c r="J18" s="160">
        <v>1</v>
      </c>
      <c r="K18" s="160">
        <v>0</v>
      </c>
      <c r="L18" s="161" t="s">
        <v>899</v>
      </c>
      <c r="M18" s="162" t="s">
        <v>665</v>
      </c>
      <c r="N18" s="201">
        <v>-0.5</v>
      </c>
      <c r="O18" s="202">
        <v>0.3</v>
      </c>
      <c r="P18" s="165">
        <v>0</v>
      </c>
      <c r="Q18" s="166">
        <v>0</v>
      </c>
      <c r="R18" s="167">
        <v>0</v>
      </c>
      <c r="S18" s="168">
        <v>0.2</v>
      </c>
      <c r="T18" s="169">
        <v>0</v>
      </c>
      <c r="U18" s="170">
        <v>0.1</v>
      </c>
      <c r="V18" s="171">
        <v>0.1</v>
      </c>
      <c r="W18" s="172">
        <v>1</v>
      </c>
      <c r="X18" s="173">
        <v>-2</v>
      </c>
      <c r="Y18" s="174">
        <v>-1</v>
      </c>
      <c r="Z18" s="175" t="s">
        <v>900</v>
      </c>
      <c r="AA18" s="176">
        <v>0</v>
      </c>
      <c r="AB18" s="177">
        <v>0</v>
      </c>
      <c r="AC18" s="178">
        <v>9</v>
      </c>
      <c r="AD18" s="179">
        <v>-1</v>
      </c>
      <c r="AE18" s="187"/>
      <c r="AF18" s="173">
        <v>0</v>
      </c>
      <c r="AG18" s="173">
        <v>3</v>
      </c>
      <c r="AH18" s="180">
        <v>0</v>
      </c>
      <c r="AI18" s="106"/>
      <c r="AJ18" s="106"/>
      <c r="AK18" s="106"/>
      <c r="AL18" s="106"/>
      <c r="AM18" s="106"/>
      <c r="AN18" s="106"/>
      <c r="AO18" s="106"/>
      <c r="AP18" s="106"/>
      <c r="AQ18" s="156" t="s">
        <v>961</v>
      </c>
      <c r="AR18" s="199">
        <v>70</v>
      </c>
      <c r="AS18" s="200">
        <v>80</v>
      </c>
      <c r="AT18" s="182" t="s">
        <v>586</v>
      </c>
      <c r="AU18" s="182" t="s">
        <v>574</v>
      </c>
      <c r="AV18" s="173">
        <v>2</v>
      </c>
      <c r="AW18" s="173">
        <v>6</v>
      </c>
      <c r="AX18" s="161" t="s">
        <v>934</v>
      </c>
      <c r="AY18" s="179">
        <v>10</v>
      </c>
      <c r="AZ18" s="223">
        <v>2</v>
      </c>
      <c r="BA18" s="70">
        <v>-5</v>
      </c>
      <c r="BB18" s="70">
        <v>0</v>
      </c>
      <c r="BC18" s="70">
        <v>3</v>
      </c>
      <c r="BD18" s="189" t="s">
        <v>927</v>
      </c>
      <c r="BE18" s="190">
        <v>1</v>
      </c>
      <c r="BF18" s="189" t="s">
        <v>966</v>
      </c>
      <c r="BG18" s="191" t="s">
        <v>576</v>
      </c>
      <c r="BH18" s="183" t="s">
        <v>967</v>
      </c>
      <c r="BI18" s="207">
        <v>7</v>
      </c>
    </row>
    <row r="19" spans="1:61" ht="17.25" customHeight="1">
      <c r="A19" s="854"/>
      <c r="B19" s="850"/>
      <c r="C19" s="194" t="s">
        <v>968</v>
      </c>
      <c r="D19" s="199">
        <v>110</v>
      </c>
      <c r="E19" s="200">
        <v>100</v>
      </c>
      <c r="F19" s="159" t="s">
        <v>969</v>
      </c>
      <c r="G19" s="160">
        <v>1</v>
      </c>
      <c r="H19" s="160">
        <v>1</v>
      </c>
      <c r="I19" s="160">
        <v>1</v>
      </c>
      <c r="J19" s="160">
        <v>1</v>
      </c>
      <c r="K19" s="160">
        <v>1</v>
      </c>
      <c r="L19" s="161" t="s">
        <v>899</v>
      </c>
      <c r="M19" s="162" t="s">
        <v>665</v>
      </c>
      <c r="N19" s="201">
        <v>-0.8</v>
      </c>
      <c r="O19" s="202">
        <v>0.6</v>
      </c>
      <c r="P19" s="165">
        <v>0</v>
      </c>
      <c r="Q19" s="166">
        <v>0</v>
      </c>
      <c r="R19" s="167">
        <v>0</v>
      </c>
      <c r="S19" s="168">
        <v>0.2</v>
      </c>
      <c r="T19" s="169">
        <v>0</v>
      </c>
      <c r="U19" s="170">
        <v>-0.2</v>
      </c>
      <c r="V19" s="171">
        <v>0</v>
      </c>
      <c r="W19" s="172">
        <v>-1</v>
      </c>
      <c r="X19" s="173">
        <v>0</v>
      </c>
      <c r="Y19" s="174">
        <v>-1</v>
      </c>
      <c r="Z19" s="175" t="s">
        <v>900</v>
      </c>
      <c r="AA19" s="176">
        <v>1</v>
      </c>
      <c r="AB19" s="177">
        <v>0</v>
      </c>
      <c r="AC19" s="178">
        <v>8</v>
      </c>
      <c r="AD19" s="179">
        <v>-1</v>
      </c>
      <c r="AE19" s="187"/>
      <c r="AF19" s="173">
        <v>2</v>
      </c>
      <c r="AG19" s="173">
        <v>3</v>
      </c>
      <c r="AH19" s="180">
        <v>0</v>
      </c>
      <c r="AI19" s="106"/>
      <c r="AJ19" s="106"/>
      <c r="AK19" s="106"/>
      <c r="AL19" s="106"/>
      <c r="AM19" s="106"/>
      <c r="AN19" s="106"/>
      <c r="AO19" s="106"/>
      <c r="AP19" s="106"/>
      <c r="AQ19" s="186" t="s">
        <v>964</v>
      </c>
      <c r="AR19" s="199">
        <v>120</v>
      </c>
      <c r="AS19" s="200">
        <v>80</v>
      </c>
      <c r="AT19" s="182" t="s">
        <v>586</v>
      </c>
      <c r="AU19" s="182" t="s">
        <v>568</v>
      </c>
      <c r="AV19" s="173">
        <v>0</v>
      </c>
      <c r="AW19" s="173">
        <v>3</v>
      </c>
      <c r="AX19" s="161" t="s">
        <v>899</v>
      </c>
      <c r="AY19" s="179">
        <v>-4</v>
      </c>
      <c r="AZ19" s="188">
        <v>9</v>
      </c>
      <c r="BA19" s="70">
        <v>0</v>
      </c>
      <c r="BB19" s="70">
        <v>-2</v>
      </c>
      <c r="BC19" s="70">
        <v>0</v>
      </c>
      <c r="BD19" s="189" t="s">
        <v>900</v>
      </c>
      <c r="BE19" s="224">
        <v>-3</v>
      </c>
      <c r="BF19" s="189" t="s">
        <v>946</v>
      </c>
      <c r="BG19" s="191" t="s">
        <v>578</v>
      </c>
      <c r="BH19" s="192">
        <v>-6</v>
      </c>
      <c r="BI19" s="207">
        <v>-4</v>
      </c>
    </row>
    <row r="20" spans="1:61" ht="15" customHeight="1">
      <c r="A20" s="854"/>
      <c r="B20" s="855" t="s">
        <v>970</v>
      </c>
      <c r="C20" s="156" t="s">
        <v>971</v>
      </c>
      <c r="D20" s="199">
        <v>100</v>
      </c>
      <c r="E20" s="200">
        <v>100</v>
      </c>
      <c r="F20" s="159" t="s">
        <v>972</v>
      </c>
      <c r="G20" s="160">
        <v>2</v>
      </c>
      <c r="H20" s="160">
        <v>1</v>
      </c>
      <c r="I20" s="160">
        <v>2</v>
      </c>
      <c r="J20" s="160">
        <v>1</v>
      </c>
      <c r="K20" s="160">
        <v>0</v>
      </c>
      <c r="L20" s="161" t="s">
        <v>953</v>
      </c>
      <c r="M20" s="162" t="s">
        <v>665</v>
      </c>
      <c r="N20" s="163">
        <v>-0.2</v>
      </c>
      <c r="O20" s="164">
        <v>0.2</v>
      </c>
      <c r="P20" s="165">
        <v>0.3</v>
      </c>
      <c r="Q20" s="166">
        <v>-0.4</v>
      </c>
      <c r="R20" s="167">
        <v>0</v>
      </c>
      <c r="S20" s="168">
        <v>0.2</v>
      </c>
      <c r="T20" s="169">
        <v>-0.4</v>
      </c>
      <c r="U20" s="170">
        <v>0</v>
      </c>
      <c r="V20" s="171">
        <v>0.2</v>
      </c>
      <c r="W20" s="172">
        <v>-0.5</v>
      </c>
      <c r="X20" s="173">
        <v>1</v>
      </c>
      <c r="Y20" s="174">
        <v>1</v>
      </c>
      <c r="Z20" s="175" t="s">
        <v>956</v>
      </c>
      <c r="AA20" s="176">
        <v>0</v>
      </c>
      <c r="AB20" s="177">
        <v>0</v>
      </c>
      <c r="AC20" s="178">
        <v>10</v>
      </c>
      <c r="AD20" s="179">
        <v>-2</v>
      </c>
      <c r="AE20" s="187"/>
      <c r="AF20" s="173">
        <v>3</v>
      </c>
      <c r="AG20" s="173">
        <v>3</v>
      </c>
      <c r="AH20" s="180">
        <v>0</v>
      </c>
      <c r="AI20" s="106"/>
      <c r="AJ20" s="106"/>
      <c r="AK20" s="106"/>
      <c r="AL20" s="106"/>
      <c r="AM20" s="106"/>
      <c r="AN20" s="106"/>
      <c r="AO20" s="106"/>
      <c r="AP20" s="106"/>
      <c r="AQ20" s="194" t="s">
        <v>968</v>
      </c>
      <c r="AR20" s="199">
        <v>110</v>
      </c>
      <c r="AS20" s="200">
        <v>100</v>
      </c>
      <c r="AT20" s="182" t="s">
        <v>586</v>
      </c>
      <c r="AU20" s="182" t="s">
        <v>641</v>
      </c>
      <c r="AV20" s="173">
        <v>2</v>
      </c>
      <c r="AW20" s="173">
        <v>2</v>
      </c>
      <c r="AX20" s="161" t="s">
        <v>899</v>
      </c>
      <c r="AY20" s="179">
        <v>-4</v>
      </c>
      <c r="AZ20" s="203">
        <v>8</v>
      </c>
      <c r="BA20" s="70">
        <v>1</v>
      </c>
      <c r="BB20" s="70">
        <v>0</v>
      </c>
      <c r="BC20" s="70">
        <v>-1</v>
      </c>
      <c r="BD20" s="189" t="s">
        <v>900</v>
      </c>
      <c r="BE20" s="224">
        <v>-3</v>
      </c>
      <c r="BF20" s="189" t="s">
        <v>949</v>
      </c>
      <c r="BG20" s="191" t="s">
        <v>580</v>
      </c>
      <c r="BH20" s="192">
        <v>3</v>
      </c>
      <c r="BI20" s="193">
        <v>-3</v>
      </c>
    </row>
    <row r="21" spans="1:61" ht="15" customHeight="1">
      <c r="A21" s="854"/>
      <c r="B21" s="856"/>
      <c r="C21" s="186" t="s">
        <v>973</v>
      </c>
      <c r="D21" s="199">
        <v>140</v>
      </c>
      <c r="E21" s="200">
        <v>90</v>
      </c>
      <c r="F21" s="159" t="s">
        <v>974</v>
      </c>
      <c r="G21" s="160">
        <v>3</v>
      </c>
      <c r="H21" s="160">
        <v>0</v>
      </c>
      <c r="I21" s="160">
        <v>1</v>
      </c>
      <c r="J21" s="160">
        <v>1</v>
      </c>
      <c r="K21" s="160">
        <v>1</v>
      </c>
      <c r="L21" s="161" t="s">
        <v>899</v>
      </c>
      <c r="M21" s="162" t="s">
        <v>681</v>
      </c>
      <c r="N21" s="163">
        <v>0.1</v>
      </c>
      <c r="O21" s="164">
        <v>0.1</v>
      </c>
      <c r="P21" s="165">
        <v>0.1</v>
      </c>
      <c r="Q21" s="166">
        <v>0.1</v>
      </c>
      <c r="R21" s="167">
        <v>0.1</v>
      </c>
      <c r="S21" s="168">
        <v>0.1</v>
      </c>
      <c r="T21" s="169">
        <v>0.1</v>
      </c>
      <c r="U21" s="170">
        <v>0</v>
      </c>
      <c r="V21" s="171">
        <v>0.1</v>
      </c>
      <c r="W21" s="172">
        <v>4</v>
      </c>
      <c r="X21" s="173">
        <v>1</v>
      </c>
      <c r="Y21" s="174">
        <v>5</v>
      </c>
      <c r="Z21" s="175" t="s">
        <v>900</v>
      </c>
      <c r="AA21" s="176">
        <v>3</v>
      </c>
      <c r="AB21" s="177">
        <v>0</v>
      </c>
      <c r="AC21" s="178">
        <v>-4</v>
      </c>
      <c r="AD21" s="179">
        <v>5</v>
      </c>
      <c r="AE21" s="187"/>
      <c r="AF21" s="173">
        <v>3</v>
      </c>
      <c r="AG21" s="173">
        <v>3</v>
      </c>
      <c r="AH21" s="217">
        <v>4</v>
      </c>
      <c r="AI21" s="106"/>
      <c r="AJ21" s="106"/>
      <c r="AK21" s="106"/>
      <c r="AL21" s="106"/>
      <c r="AM21" s="106"/>
      <c r="AN21" s="106"/>
      <c r="AO21" s="106"/>
      <c r="AP21" s="106"/>
      <c r="AQ21" s="156" t="s">
        <v>971</v>
      </c>
      <c r="AR21" s="199">
        <v>100</v>
      </c>
      <c r="AS21" s="200">
        <v>100</v>
      </c>
      <c r="AT21" s="182" t="s">
        <v>620</v>
      </c>
      <c r="AU21" s="182" t="s">
        <v>636</v>
      </c>
      <c r="AV21" s="173">
        <v>4</v>
      </c>
      <c r="AW21" s="173">
        <v>3</v>
      </c>
      <c r="AX21" s="161" t="s">
        <v>899</v>
      </c>
      <c r="AY21" s="179">
        <v>6</v>
      </c>
      <c r="AZ21" s="205">
        <v>10</v>
      </c>
      <c r="BA21" s="70">
        <v>0</v>
      </c>
      <c r="BB21" s="70">
        <v>2</v>
      </c>
      <c r="BC21" s="70">
        <v>0</v>
      </c>
      <c r="BD21" s="189" t="s">
        <v>900</v>
      </c>
      <c r="BE21" s="225">
        <v>8</v>
      </c>
      <c r="BF21" s="189" t="s">
        <v>975</v>
      </c>
      <c r="BG21" s="191" t="s">
        <v>582</v>
      </c>
      <c r="BH21" s="192">
        <v>10</v>
      </c>
      <c r="BI21" s="207">
        <v>6</v>
      </c>
    </row>
    <row r="22" spans="1:61" ht="17.25" customHeight="1">
      <c r="A22" s="854"/>
      <c r="B22" s="856"/>
      <c r="C22" s="194" t="s">
        <v>976</v>
      </c>
      <c r="D22" s="199">
        <v>50</v>
      </c>
      <c r="E22" s="200">
        <v>70</v>
      </c>
      <c r="F22" s="159" t="s">
        <v>977</v>
      </c>
      <c r="G22" s="160">
        <v>1</v>
      </c>
      <c r="H22" s="160">
        <v>1</v>
      </c>
      <c r="I22" s="160">
        <v>1</v>
      </c>
      <c r="J22" s="160">
        <v>1</v>
      </c>
      <c r="K22" s="160">
        <v>1</v>
      </c>
      <c r="L22" s="161" t="s">
        <v>934</v>
      </c>
      <c r="M22" s="162" t="s">
        <v>665</v>
      </c>
      <c r="N22" s="201">
        <v>0.4</v>
      </c>
      <c r="O22" s="202">
        <v>-0.4</v>
      </c>
      <c r="P22" s="165">
        <v>0</v>
      </c>
      <c r="Q22" s="166">
        <v>0</v>
      </c>
      <c r="R22" s="167">
        <v>-0.2</v>
      </c>
      <c r="S22" s="168">
        <v>0</v>
      </c>
      <c r="T22" s="169">
        <v>0</v>
      </c>
      <c r="U22" s="170">
        <v>-0.4</v>
      </c>
      <c r="V22" s="171">
        <v>0</v>
      </c>
      <c r="W22" s="172">
        <v>-3</v>
      </c>
      <c r="X22" s="173">
        <v>0</v>
      </c>
      <c r="Y22" s="174">
        <v>-3</v>
      </c>
      <c r="Z22" s="175" t="s">
        <v>927</v>
      </c>
      <c r="AA22" s="176">
        <v>-8</v>
      </c>
      <c r="AB22" s="177">
        <v>0</v>
      </c>
      <c r="AC22" s="178">
        <v>14</v>
      </c>
      <c r="AD22" s="179">
        <v>2</v>
      </c>
      <c r="AE22" s="187"/>
      <c r="AF22" s="173">
        <v>2</v>
      </c>
      <c r="AG22" s="173">
        <v>3</v>
      </c>
      <c r="AH22" s="180">
        <v>0</v>
      </c>
      <c r="AI22" s="106"/>
      <c r="AJ22" s="106"/>
      <c r="AK22" s="106"/>
      <c r="AL22" s="106"/>
      <c r="AM22" s="106"/>
      <c r="AN22" s="106"/>
      <c r="AO22" s="106"/>
      <c r="AP22" s="106"/>
      <c r="AQ22" s="186" t="s">
        <v>973</v>
      </c>
      <c r="AR22" s="199">
        <v>120</v>
      </c>
      <c r="AS22" s="200">
        <v>100</v>
      </c>
      <c r="AT22" s="182" t="s">
        <v>620</v>
      </c>
      <c r="AU22" s="182" t="s">
        <v>594</v>
      </c>
      <c r="AV22" s="173">
        <v>2</v>
      </c>
      <c r="AW22" s="173">
        <v>3</v>
      </c>
      <c r="AX22" s="161" t="s">
        <v>899</v>
      </c>
      <c r="AY22" s="179">
        <v>6</v>
      </c>
      <c r="AZ22" s="226">
        <v>-4</v>
      </c>
      <c r="BA22" s="70">
        <v>2</v>
      </c>
      <c r="BB22" s="70">
        <v>0</v>
      </c>
      <c r="BC22" s="70">
        <v>0</v>
      </c>
      <c r="BD22" s="189" t="s">
        <v>900</v>
      </c>
      <c r="BE22" s="227">
        <v>-5</v>
      </c>
      <c r="BF22" s="189" t="s">
        <v>978</v>
      </c>
      <c r="BG22" s="191" t="s">
        <v>584</v>
      </c>
      <c r="BH22" s="192">
        <v>1.5</v>
      </c>
      <c r="BI22" s="207">
        <v>8</v>
      </c>
    </row>
    <row r="23" spans="1:61" ht="16.3">
      <c r="A23" s="155"/>
      <c r="B23" s="847" t="s">
        <v>979</v>
      </c>
      <c r="C23" s="156" t="s">
        <v>980</v>
      </c>
      <c r="D23" s="199">
        <v>160</v>
      </c>
      <c r="E23" s="200">
        <v>100</v>
      </c>
      <c r="F23" s="159" t="s">
        <v>981</v>
      </c>
      <c r="G23" s="160">
        <v>4</v>
      </c>
      <c r="H23" s="160">
        <v>1</v>
      </c>
      <c r="I23" s="160">
        <v>3</v>
      </c>
      <c r="J23" s="160">
        <v>-2</v>
      </c>
      <c r="K23" s="160">
        <v>1</v>
      </c>
      <c r="L23" s="161" t="s">
        <v>982</v>
      </c>
      <c r="M23" s="162" t="s">
        <v>665</v>
      </c>
      <c r="N23" s="201">
        <v>-0.4</v>
      </c>
      <c r="O23" s="202">
        <v>0.1</v>
      </c>
      <c r="P23" s="165">
        <v>0.1</v>
      </c>
      <c r="Q23" s="166">
        <v>0.1</v>
      </c>
      <c r="R23" s="167">
        <v>0.7</v>
      </c>
      <c r="S23" s="168">
        <v>0.7</v>
      </c>
      <c r="T23" s="169">
        <v>0.2</v>
      </c>
      <c r="U23" s="170">
        <v>0.4</v>
      </c>
      <c r="V23" s="171">
        <v>0.4</v>
      </c>
      <c r="W23" s="172">
        <v>11.5</v>
      </c>
      <c r="X23" s="173">
        <v>2</v>
      </c>
      <c r="Y23" s="174">
        <v>14</v>
      </c>
      <c r="Z23" s="175" t="s">
        <v>983</v>
      </c>
      <c r="AA23" s="176">
        <v>6</v>
      </c>
      <c r="AB23" s="177">
        <v>0</v>
      </c>
      <c r="AC23" s="178">
        <v>-6.5</v>
      </c>
      <c r="AD23" s="179">
        <v>9</v>
      </c>
      <c r="AE23" s="187"/>
      <c r="AF23" s="173">
        <v>5</v>
      </c>
      <c r="AG23" s="173">
        <v>2</v>
      </c>
      <c r="AH23" s="180">
        <v>0</v>
      </c>
      <c r="AI23" s="106"/>
      <c r="AJ23" s="106"/>
      <c r="AK23" s="106"/>
      <c r="AL23" s="106"/>
      <c r="AM23" s="106"/>
      <c r="AN23" s="106"/>
      <c r="AO23" s="106"/>
      <c r="AP23" s="106"/>
      <c r="AQ23" s="194" t="s">
        <v>976</v>
      </c>
      <c r="AR23" s="199">
        <v>70</v>
      </c>
      <c r="AS23" s="200">
        <v>80</v>
      </c>
      <c r="AT23" s="182" t="s">
        <v>620</v>
      </c>
      <c r="AU23" s="182" t="s">
        <v>632</v>
      </c>
      <c r="AV23" s="173">
        <v>2</v>
      </c>
      <c r="AW23" s="173">
        <v>3</v>
      </c>
      <c r="AX23" s="161" t="s">
        <v>934</v>
      </c>
      <c r="AY23" s="179">
        <v>4</v>
      </c>
      <c r="AZ23" s="228">
        <v>14</v>
      </c>
      <c r="BA23" s="70">
        <v>-5</v>
      </c>
      <c r="BB23" s="70">
        <v>0</v>
      </c>
      <c r="BC23" s="70">
        <v>0</v>
      </c>
      <c r="BD23" s="189" t="s">
        <v>927</v>
      </c>
      <c r="BE23" s="206">
        <v>7</v>
      </c>
      <c r="BF23" s="189" t="s">
        <v>671</v>
      </c>
      <c r="BG23" s="191" t="s">
        <v>586</v>
      </c>
      <c r="BH23" s="192">
        <v>5</v>
      </c>
      <c r="BI23" s="193">
        <v>1</v>
      </c>
    </row>
    <row r="24" spans="1:61" ht="16.3">
      <c r="A24" s="155"/>
      <c r="B24" s="848"/>
      <c r="C24" s="186" t="s">
        <v>984</v>
      </c>
      <c r="D24" s="199">
        <v>140</v>
      </c>
      <c r="E24" s="200">
        <v>140</v>
      </c>
      <c r="F24" s="159" t="s">
        <v>985</v>
      </c>
      <c r="G24" s="160">
        <v>2</v>
      </c>
      <c r="H24" s="160">
        <v>2</v>
      </c>
      <c r="I24" s="160">
        <v>1</v>
      </c>
      <c r="J24" s="160">
        <v>1</v>
      </c>
      <c r="K24" s="160">
        <v>1</v>
      </c>
      <c r="L24" s="161" t="s">
        <v>899</v>
      </c>
      <c r="M24" s="162" t="s">
        <v>665</v>
      </c>
      <c r="N24" s="201">
        <v>-0.3</v>
      </c>
      <c r="O24" s="202">
        <v>0</v>
      </c>
      <c r="P24" s="165">
        <v>-0.6</v>
      </c>
      <c r="Q24" s="166">
        <v>0.2</v>
      </c>
      <c r="R24" s="167">
        <v>0.1</v>
      </c>
      <c r="S24" s="168">
        <v>0.2</v>
      </c>
      <c r="T24" s="169">
        <v>0</v>
      </c>
      <c r="U24" s="170">
        <v>0</v>
      </c>
      <c r="V24" s="171">
        <v>0.2</v>
      </c>
      <c r="W24" s="172">
        <v>-1</v>
      </c>
      <c r="X24" s="173">
        <v>2</v>
      </c>
      <c r="Y24" s="174">
        <v>1</v>
      </c>
      <c r="Z24" s="175" t="s">
        <v>900</v>
      </c>
      <c r="AA24" s="176">
        <v>8</v>
      </c>
      <c r="AB24" s="177">
        <v>0</v>
      </c>
      <c r="AC24" s="178">
        <v>-1</v>
      </c>
      <c r="AD24" s="179">
        <v>1</v>
      </c>
      <c r="AE24" s="187"/>
      <c r="AF24" s="173">
        <v>4</v>
      </c>
      <c r="AG24" s="173">
        <v>3</v>
      </c>
      <c r="AH24" s="180">
        <v>0</v>
      </c>
      <c r="AI24" s="106"/>
      <c r="AJ24" s="106"/>
      <c r="AK24" s="106"/>
      <c r="AL24" s="106"/>
      <c r="AM24" s="106"/>
      <c r="AN24" s="106"/>
      <c r="AO24" s="106"/>
      <c r="AP24" s="106"/>
      <c r="AQ24" s="156" t="s">
        <v>980</v>
      </c>
      <c r="AR24" s="199">
        <v>160</v>
      </c>
      <c r="AS24" s="200">
        <v>100</v>
      </c>
      <c r="AT24" s="182" t="s">
        <v>594</v>
      </c>
      <c r="AU24" s="182" t="s">
        <v>630</v>
      </c>
      <c r="AV24" s="173">
        <v>5</v>
      </c>
      <c r="AW24" s="173">
        <v>2</v>
      </c>
      <c r="AX24" s="161" t="s">
        <v>982</v>
      </c>
      <c r="AY24" s="179">
        <v>2</v>
      </c>
      <c r="AZ24" s="229">
        <v>-6.5</v>
      </c>
      <c r="BA24" s="70">
        <v>6</v>
      </c>
      <c r="BB24" s="70">
        <v>3</v>
      </c>
      <c r="BC24" s="70">
        <v>-1</v>
      </c>
      <c r="BD24" s="189" t="s">
        <v>983</v>
      </c>
      <c r="BE24" s="230">
        <v>-9</v>
      </c>
      <c r="BF24" s="189" t="s">
        <v>986</v>
      </c>
      <c r="BG24" s="191" t="s">
        <v>588</v>
      </c>
      <c r="BH24" s="192">
        <v>1.5</v>
      </c>
      <c r="BI24" s="207">
        <v>6</v>
      </c>
    </row>
    <row r="25" spans="1:61" ht="16.3">
      <c r="A25" s="155"/>
      <c r="B25" s="848"/>
      <c r="C25" s="194" t="s">
        <v>987</v>
      </c>
      <c r="D25" s="199">
        <v>135</v>
      </c>
      <c r="E25" s="200">
        <v>125</v>
      </c>
      <c r="F25" s="159" t="s">
        <v>988</v>
      </c>
      <c r="G25" s="160">
        <v>2</v>
      </c>
      <c r="H25" s="160">
        <v>2</v>
      </c>
      <c r="I25" s="160">
        <v>1</v>
      </c>
      <c r="J25" s="160">
        <v>0</v>
      </c>
      <c r="K25" s="160">
        <v>1</v>
      </c>
      <c r="L25" s="161" t="s">
        <v>899</v>
      </c>
      <c r="M25" s="162" t="s">
        <v>665</v>
      </c>
      <c r="N25" s="163">
        <v>-0.8</v>
      </c>
      <c r="O25" s="164">
        <v>0.4</v>
      </c>
      <c r="P25" s="165">
        <v>0</v>
      </c>
      <c r="Q25" s="166">
        <v>0</v>
      </c>
      <c r="R25" s="167">
        <v>0</v>
      </c>
      <c r="S25" s="168">
        <v>0.6</v>
      </c>
      <c r="T25" s="169">
        <v>0</v>
      </c>
      <c r="U25" s="170">
        <v>0.6</v>
      </c>
      <c r="V25" s="171">
        <v>0</v>
      </c>
      <c r="W25" s="172">
        <v>4</v>
      </c>
      <c r="X25" s="173">
        <v>1</v>
      </c>
      <c r="Y25" s="174">
        <v>5</v>
      </c>
      <c r="Z25" s="175" t="s">
        <v>900</v>
      </c>
      <c r="AA25" s="176">
        <v>6</v>
      </c>
      <c r="AB25" s="177">
        <v>0</v>
      </c>
      <c r="AC25" s="178">
        <v>-3</v>
      </c>
      <c r="AD25" s="179">
        <v>5</v>
      </c>
      <c r="AE25" s="187"/>
      <c r="AF25" s="173">
        <v>4</v>
      </c>
      <c r="AG25" s="173">
        <v>2</v>
      </c>
      <c r="AH25" s="180">
        <v>0</v>
      </c>
      <c r="AI25" s="106"/>
      <c r="AJ25" s="106"/>
      <c r="AK25" s="106"/>
      <c r="AL25" s="106"/>
      <c r="AM25" s="106"/>
      <c r="AN25" s="106"/>
      <c r="AO25" s="106"/>
      <c r="AP25" s="106"/>
      <c r="AQ25" s="186" t="s">
        <v>984</v>
      </c>
      <c r="AR25" s="199">
        <v>140</v>
      </c>
      <c r="AS25" s="200">
        <v>120</v>
      </c>
      <c r="AT25" s="182" t="s">
        <v>594</v>
      </c>
      <c r="AU25" s="182" t="s">
        <v>616</v>
      </c>
      <c r="AV25" s="173">
        <v>4</v>
      </c>
      <c r="AW25" s="173">
        <v>3</v>
      </c>
      <c r="AX25" s="161" t="s">
        <v>899</v>
      </c>
      <c r="AY25" s="179">
        <v>-1</v>
      </c>
      <c r="AZ25" s="231">
        <v>-1</v>
      </c>
      <c r="BA25" s="70">
        <v>6</v>
      </c>
      <c r="BB25" s="70">
        <v>2</v>
      </c>
      <c r="BC25" s="70">
        <v>0</v>
      </c>
      <c r="BD25" s="189" t="s">
        <v>900</v>
      </c>
      <c r="BE25" s="232">
        <v>-4</v>
      </c>
      <c r="BF25" s="189" t="s">
        <v>975</v>
      </c>
      <c r="BG25" s="191" t="s">
        <v>590</v>
      </c>
      <c r="BH25" s="192">
        <v>6</v>
      </c>
      <c r="BI25" s="207">
        <v>6</v>
      </c>
    </row>
    <row r="26" spans="1:61" ht="16.3">
      <c r="A26" s="198"/>
      <c r="B26" s="847" t="s">
        <v>989</v>
      </c>
      <c r="C26" s="156" t="s">
        <v>990</v>
      </c>
      <c r="D26" s="199">
        <v>90</v>
      </c>
      <c r="E26" s="200">
        <v>130</v>
      </c>
      <c r="F26" s="159" t="s">
        <v>991</v>
      </c>
      <c r="G26" s="160">
        <v>1</v>
      </c>
      <c r="H26" s="160">
        <v>1</v>
      </c>
      <c r="I26" s="160">
        <v>0</v>
      </c>
      <c r="J26" s="160">
        <v>1</v>
      </c>
      <c r="K26" s="160">
        <v>1</v>
      </c>
      <c r="L26" s="161" t="s">
        <v>899</v>
      </c>
      <c r="M26" s="162" t="s">
        <v>665</v>
      </c>
      <c r="N26" s="163">
        <v>0</v>
      </c>
      <c r="O26" s="164">
        <v>0.1</v>
      </c>
      <c r="P26" s="165">
        <v>0</v>
      </c>
      <c r="Q26" s="166">
        <v>0</v>
      </c>
      <c r="R26" s="167">
        <v>0</v>
      </c>
      <c r="S26" s="168">
        <v>0</v>
      </c>
      <c r="T26" s="169">
        <v>0</v>
      </c>
      <c r="U26" s="170">
        <v>0</v>
      </c>
      <c r="V26" s="171">
        <v>0</v>
      </c>
      <c r="W26" s="172">
        <v>0.5</v>
      </c>
      <c r="X26" s="173">
        <v>-1</v>
      </c>
      <c r="Y26" s="174">
        <v>-1</v>
      </c>
      <c r="Z26" s="175" t="s">
        <v>900</v>
      </c>
      <c r="AA26" s="176">
        <v>2</v>
      </c>
      <c r="AB26" s="177">
        <v>0</v>
      </c>
      <c r="AC26" s="178">
        <v>6.5</v>
      </c>
      <c r="AD26" s="179">
        <v>-1</v>
      </c>
      <c r="AE26" s="187"/>
      <c r="AF26" s="173">
        <v>2</v>
      </c>
      <c r="AG26" s="173">
        <v>2</v>
      </c>
      <c r="AH26" s="180">
        <v>0</v>
      </c>
      <c r="AI26" s="106"/>
      <c r="AJ26" s="106"/>
      <c r="AK26" s="106"/>
      <c r="AL26" s="106"/>
      <c r="AM26" s="106"/>
      <c r="AN26" s="106"/>
      <c r="AO26" s="106"/>
      <c r="AP26" s="106"/>
      <c r="AQ26" s="194" t="s">
        <v>987</v>
      </c>
      <c r="AR26" s="199">
        <v>135</v>
      </c>
      <c r="AS26" s="200">
        <v>125</v>
      </c>
      <c r="AT26" s="182" t="s">
        <v>594</v>
      </c>
      <c r="AU26" s="182" t="s">
        <v>586</v>
      </c>
      <c r="AV26" s="173">
        <v>4</v>
      </c>
      <c r="AW26" s="173">
        <v>2</v>
      </c>
      <c r="AX26" s="161" t="s">
        <v>899</v>
      </c>
      <c r="AY26" s="179">
        <v>-1</v>
      </c>
      <c r="AZ26" s="233">
        <v>-3</v>
      </c>
      <c r="BA26" s="70">
        <v>6</v>
      </c>
      <c r="BB26" s="70">
        <v>2</v>
      </c>
      <c r="BC26" s="70">
        <v>-1</v>
      </c>
      <c r="BD26" s="189" t="s">
        <v>900</v>
      </c>
      <c r="BE26" s="234">
        <v>-6</v>
      </c>
      <c r="BF26" s="189" t="s">
        <v>975</v>
      </c>
      <c r="BG26" s="191" t="s">
        <v>592</v>
      </c>
      <c r="BH26" s="192">
        <v>4</v>
      </c>
      <c r="BI26" s="207">
        <v>6</v>
      </c>
    </row>
    <row r="27" spans="1:61" ht="16.3">
      <c r="A27" s="198"/>
      <c r="B27" s="848"/>
      <c r="C27" s="186" t="s">
        <v>992</v>
      </c>
      <c r="D27" s="199">
        <v>125</v>
      </c>
      <c r="E27" s="200">
        <v>125</v>
      </c>
      <c r="F27" s="159" t="s">
        <v>993</v>
      </c>
      <c r="G27" s="160">
        <v>-1</v>
      </c>
      <c r="H27" s="160">
        <v>2</v>
      </c>
      <c r="I27" s="160">
        <v>1</v>
      </c>
      <c r="J27" s="160">
        <v>1</v>
      </c>
      <c r="K27" s="160">
        <v>1</v>
      </c>
      <c r="L27" s="161" t="s">
        <v>899</v>
      </c>
      <c r="M27" s="162" t="s">
        <v>681</v>
      </c>
      <c r="N27" s="163">
        <v>-0.5</v>
      </c>
      <c r="O27" s="164">
        <v>0.2</v>
      </c>
      <c r="P27" s="165">
        <v>-0.2</v>
      </c>
      <c r="Q27" s="166">
        <v>0</v>
      </c>
      <c r="R27" s="167">
        <v>0.2</v>
      </c>
      <c r="S27" s="168">
        <v>0</v>
      </c>
      <c r="T27" s="169">
        <v>-0.4</v>
      </c>
      <c r="U27" s="170">
        <v>0</v>
      </c>
      <c r="V27" s="171">
        <v>0.1</v>
      </c>
      <c r="W27" s="172">
        <v>-3</v>
      </c>
      <c r="X27" s="173">
        <v>-1</v>
      </c>
      <c r="Y27" s="174">
        <v>-4</v>
      </c>
      <c r="Z27" s="175" t="s">
        <v>900</v>
      </c>
      <c r="AA27" s="176">
        <v>5</v>
      </c>
      <c r="AB27" s="177">
        <v>0</v>
      </c>
      <c r="AC27" s="178">
        <v>3</v>
      </c>
      <c r="AD27" s="179">
        <v>-4</v>
      </c>
      <c r="AE27" s="187"/>
      <c r="AF27" s="173">
        <v>1</v>
      </c>
      <c r="AG27" s="173">
        <v>3</v>
      </c>
      <c r="AH27" s="217">
        <v>4</v>
      </c>
      <c r="AI27" s="106"/>
      <c r="AJ27" s="106"/>
      <c r="AK27" s="106"/>
      <c r="AL27" s="106"/>
      <c r="AM27" s="106"/>
      <c r="AN27" s="106"/>
      <c r="AO27" s="106"/>
      <c r="AP27" s="106"/>
      <c r="AQ27" s="156" t="s">
        <v>990</v>
      </c>
      <c r="AR27" s="199">
        <v>80</v>
      </c>
      <c r="AS27" s="200">
        <v>130</v>
      </c>
      <c r="AT27" s="182" t="s">
        <v>610</v>
      </c>
      <c r="AU27" s="182" t="s">
        <v>643</v>
      </c>
      <c r="AV27" s="173">
        <v>2</v>
      </c>
      <c r="AW27" s="173">
        <v>2</v>
      </c>
      <c r="AX27" s="161" t="s">
        <v>899</v>
      </c>
      <c r="AY27" s="179">
        <v>-1</v>
      </c>
      <c r="AZ27" s="218">
        <v>6.5</v>
      </c>
      <c r="BA27" s="70">
        <v>1</v>
      </c>
      <c r="BB27" s="70">
        <v>0</v>
      </c>
      <c r="BC27" s="70">
        <v>-1</v>
      </c>
      <c r="BD27" s="189" t="s">
        <v>900</v>
      </c>
      <c r="BE27" s="219">
        <v>-2</v>
      </c>
      <c r="BF27" s="189" t="s">
        <v>900</v>
      </c>
      <c r="BG27" s="191" t="s">
        <v>594</v>
      </c>
      <c r="BH27" s="192">
        <v>-8</v>
      </c>
      <c r="BI27" s="193">
        <v>0</v>
      </c>
    </row>
    <row r="28" spans="1:61" ht="16.3">
      <c r="A28" s="198"/>
      <c r="B28" s="848"/>
      <c r="C28" s="194" t="s">
        <v>994</v>
      </c>
      <c r="D28" s="199">
        <v>45</v>
      </c>
      <c r="E28" s="200">
        <v>85</v>
      </c>
      <c r="F28" s="159" t="s">
        <v>995</v>
      </c>
      <c r="G28" s="160">
        <v>5</v>
      </c>
      <c r="H28" s="160">
        <v>3</v>
      </c>
      <c r="I28" s="160">
        <v>3</v>
      </c>
      <c r="J28" s="160">
        <v>1</v>
      </c>
      <c r="K28" s="160">
        <v>0</v>
      </c>
      <c r="L28" s="161" t="s">
        <v>899</v>
      </c>
      <c r="M28" s="162" t="s">
        <v>665</v>
      </c>
      <c r="N28" s="163">
        <v>0</v>
      </c>
      <c r="O28" s="164">
        <v>0.1</v>
      </c>
      <c r="P28" s="165">
        <v>0</v>
      </c>
      <c r="Q28" s="166">
        <v>0.1</v>
      </c>
      <c r="R28" s="167">
        <v>0.6</v>
      </c>
      <c r="S28" s="168">
        <v>0.2</v>
      </c>
      <c r="T28" s="169">
        <v>0</v>
      </c>
      <c r="U28" s="170">
        <v>0</v>
      </c>
      <c r="V28" s="171">
        <v>0</v>
      </c>
      <c r="W28" s="172">
        <v>5</v>
      </c>
      <c r="X28" s="173">
        <v>7</v>
      </c>
      <c r="Y28" s="174">
        <v>12</v>
      </c>
      <c r="Z28" s="175" t="s">
        <v>900</v>
      </c>
      <c r="AA28" s="176">
        <v>-7</v>
      </c>
      <c r="AB28" s="177">
        <v>0</v>
      </c>
      <c r="AC28" s="178">
        <v>3</v>
      </c>
      <c r="AD28" s="179">
        <v>12</v>
      </c>
      <c r="AE28" s="187"/>
      <c r="AF28" s="173">
        <v>8</v>
      </c>
      <c r="AG28" s="173">
        <v>4</v>
      </c>
      <c r="AH28" s="180">
        <v>0</v>
      </c>
      <c r="AI28" s="106"/>
      <c r="AJ28" s="106"/>
      <c r="AK28" s="106"/>
      <c r="AL28" s="106"/>
      <c r="AM28" s="106"/>
      <c r="AN28" s="106"/>
      <c r="AO28" s="106"/>
      <c r="AP28" s="106"/>
      <c r="AQ28" s="186" t="s">
        <v>992</v>
      </c>
      <c r="AR28" s="199">
        <v>125</v>
      </c>
      <c r="AS28" s="200">
        <v>125</v>
      </c>
      <c r="AT28" s="182" t="s">
        <v>610</v>
      </c>
      <c r="AU28" s="182" t="s">
        <v>556</v>
      </c>
      <c r="AV28" s="173">
        <v>1</v>
      </c>
      <c r="AW28" s="173">
        <v>3</v>
      </c>
      <c r="AX28" s="161" t="s">
        <v>899</v>
      </c>
      <c r="AY28" s="179">
        <v>0</v>
      </c>
      <c r="AZ28" s="235">
        <v>3</v>
      </c>
      <c r="BA28" s="70">
        <v>5</v>
      </c>
      <c r="BB28" s="70">
        <v>-1</v>
      </c>
      <c r="BC28" s="70">
        <v>0</v>
      </c>
      <c r="BD28" s="189" t="s">
        <v>900</v>
      </c>
      <c r="BE28" s="204">
        <v>0</v>
      </c>
      <c r="BF28" s="189" t="s">
        <v>927</v>
      </c>
      <c r="BG28" s="191" t="s">
        <v>596</v>
      </c>
      <c r="BH28" s="192">
        <v>5</v>
      </c>
      <c r="BI28" s="207">
        <v>5</v>
      </c>
    </row>
    <row r="29" spans="1:61" ht="16.3">
      <c r="A29" s="198"/>
      <c r="B29" s="849" t="s">
        <v>996</v>
      </c>
      <c r="C29" s="156" t="s">
        <v>997</v>
      </c>
      <c r="D29" s="199">
        <v>100</v>
      </c>
      <c r="E29" s="200">
        <v>130</v>
      </c>
      <c r="F29" s="159" t="s">
        <v>998</v>
      </c>
      <c r="G29" s="160">
        <v>0</v>
      </c>
      <c r="H29" s="160">
        <v>2</v>
      </c>
      <c r="I29" s="160">
        <v>0</v>
      </c>
      <c r="J29" s="160">
        <v>2</v>
      </c>
      <c r="K29" s="160">
        <v>1</v>
      </c>
      <c r="L29" s="161" t="s">
        <v>899</v>
      </c>
      <c r="M29" s="162" t="s">
        <v>677</v>
      </c>
      <c r="N29" s="201">
        <v>0</v>
      </c>
      <c r="O29" s="202">
        <v>0</v>
      </c>
      <c r="P29" s="165">
        <v>-0.7</v>
      </c>
      <c r="Q29" s="166">
        <v>0.5</v>
      </c>
      <c r="R29" s="236">
        <v>0.3</v>
      </c>
      <c r="S29" s="168">
        <v>0</v>
      </c>
      <c r="T29" s="169">
        <v>-0.2</v>
      </c>
      <c r="U29" s="170">
        <v>0</v>
      </c>
      <c r="V29" s="171">
        <v>0</v>
      </c>
      <c r="W29" s="172">
        <v>-0.5</v>
      </c>
      <c r="X29" s="173">
        <v>0</v>
      </c>
      <c r="Y29" s="174">
        <v>-1</v>
      </c>
      <c r="Z29" s="175" t="s">
        <v>900</v>
      </c>
      <c r="AA29" s="176">
        <v>3</v>
      </c>
      <c r="AB29" s="177">
        <v>0</v>
      </c>
      <c r="AC29" s="178">
        <v>3.5</v>
      </c>
      <c r="AD29" s="179">
        <v>-1</v>
      </c>
      <c r="AE29" s="187"/>
      <c r="AF29" s="173">
        <v>2</v>
      </c>
      <c r="AG29" s="173">
        <v>3</v>
      </c>
      <c r="AH29" s="195">
        <v>2</v>
      </c>
      <c r="AI29" s="106"/>
      <c r="AJ29" s="106"/>
      <c r="AK29" s="106"/>
      <c r="AL29" s="106"/>
      <c r="AM29" s="106"/>
      <c r="AN29" s="106"/>
      <c r="AO29" s="106"/>
      <c r="AP29" s="106"/>
      <c r="AQ29" s="194" t="s">
        <v>994</v>
      </c>
      <c r="AR29" s="199">
        <v>45</v>
      </c>
      <c r="AS29" s="200">
        <v>85</v>
      </c>
      <c r="AT29" s="182" t="s">
        <v>610</v>
      </c>
      <c r="AU29" s="182" t="s">
        <v>628</v>
      </c>
      <c r="AV29" s="173">
        <v>8</v>
      </c>
      <c r="AW29" s="173">
        <v>4</v>
      </c>
      <c r="AX29" s="161" t="s">
        <v>899</v>
      </c>
      <c r="AY29" s="179">
        <v>9</v>
      </c>
      <c r="AZ29" s="235">
        <v>3</v>
      </c>
      <c r="BA29" s="70">
        <v>-7</v>
      </c>
      <c r="BB29" s="70">
        <v>6</v>
      </c>
      <c r="BC29" s="70">
        <v>1</v>
      </c>
      <c r="BD29" s="189" t="s">
        <v>900</v>
      </c>
      <c r="BE29" s="224">
        <v>-3</v>
      </c>
      <c r="BF29" s="189" t="s">
        <v>982</v>
      </c>
      <c r="BG29" s="191" t="s">
        <v>598</v>
      </c>
      <c r="BH29" s="192">
        <v>1.5</v>
      </c>
      <c r="BI29" s="193">
        <v>2</v>
      </c>
    </row>
    <row r="30" spans="1:61" ht="16.3">
      <c r="A30" s="198"/>
      <c r="B30" s="850"/>
      <c r="C30" s="186" t="s">
        <v>999</v>
      </c>
      <c r="D30" s="199">
        <v>120</v>
      </c>
      <c r="E30" s="200">
        <v>100</v>
      </c>
      <c r="F30" s="159" t="s">
        <v>1000</v>
      </c>
      <c r="G30" s="160">
        <v>2</v>
      </c>
      <c r="H30" s="160">
        <v>1</v>
      </c>
      <c r="I30" s="160">
        <v>2</v>
      </c>
      <c r="J30" s="160">
        <v>1</v>
      </c>
      <c r="K30" s="160">
        <v>1</v>
      </c>
      <c r="L30" s="161" t="s">
        <v>899</v>
      </c>
      <c r="M30" s="162" t="s">
        <v>665</v>
      </c>
      <c r="N30" s="201">
        <v>0</v>
      </c>
      <c r="O30" s="202">
        <v>0</v>
      </c>
      <c r="P30" s="165">
        <v>-0.7</v>
      </c>
      <c r="Q30" s="166">
        <v>0.5</v>
      </c>
      <c r="R30" s="236">
        <v>0</v>
      </c>
      <c r="S30" s="168">
        <v>0.2</v>
      </c>
      <c r="T30" s="169">
        <v>-0.5</v>
      </c>
      <c r="U30" s="170">
        <v>0</v>
      </c>
      <c r="V30" s="171">
        <v>0</v>
      </c>
      <c r="W30" s="172">
        <v>-2.5</v>
      </c>
      <c r="X30" s="173">
        <v>2</v>
      </c>
      <c r="Y30" s="174">
        <v>-1</v>
      </c>
      <c r="Z30" s="175" t="s">
        <v>900</v>
      </c>
      <c r="AA30" s="176">
        <v>2</v>
      </c>
      <c r="AB30" s="177">
        <v>0</v>
      </c>
      <c r="AC30" s="178">
        <v>6.5</v>
      </c>
      <c r="AD30" s="179">
        <v>-1</v>
      </c>
      <c r="AE30" s="187"/>
      <c r="AF30" s="173">
        <v>3</v>
      </c>
      <c r="AG30" s="173">
        <v>4</v>
      </c>
      <c r="AH30" s="180">
        <v>0</v>
      </c>
      <c r="AI30" s="106"/>
      <c r="AJ30" s="106"/>
      <c r="AK30" s="106"/>
      <c r="AL30" s="106"/>
      <c r="AM30" s="106"/>
      <c r="AN30" s="106"/>
      <c r="AO30" s="106"/>
      <c r="AP30" s="106"/>
      <c r="AQ30" s="156" t="s">
        <v>997</v>
      </c>
      <c r="AR30" s="199">
        <v>100</v>
      </c>
      <c r="AS30" s="200">
        <v>120</v>
      </c>
      <c r="AT30" s="182" t="s">
        <v>558</v>
      </c>
      <c r="AU30" s="182" t="s">
        <v>626</v>
      </c>
      <c r="AV30" s="173">
        <v>3</v>
      </c>
      <c r="AW30" s="173">
        <v>4</v>
      </c>
      <c r="AX30" s="161" t="s">
        <v>899</v>
      </c>
      <c r="AY30" s="179">
        <v>2</v>
      </c>
      <c r="AZ30" s="237">
        <v>3.5</v>
      </c>
      <c r="BA30" s="70">
        <v>2</v>
      </c>
      <c r="BB30" s="70">
        <v>1</v>
      </c>
      <c r="BC30" s="70">
        <v>1</v>
      </c>
      <c r="BD30" s="189" t="s">
        <v>900</v>
      </c>
      <c r="BE30" s="222">
        <v>-1</v>
      </c>
      <c r="BF30" s="189" t="s">
        <v>934</v>
      </c>
      <c r="BG30" s="191" t="s">
        <v>600</v>
      </c>
      <c r="BH30" s="192">
        <v>6</v>
      </c>
      <c r="BI30" s="207">
        <v>4</v>
      </c>
    </row>
    <row r="31" spans="1:61" ht="16.3">
      <c r="A31" s="198"/>
      <c r="B31" s="850"/>
      <c r="C31" s="194" t="s">
        <v>1001</v>
      </c>
      <c r="D31" s="199">
        <v>70</v>
      </c>
      <c r="E31" s="200">
        <v>140</v>
      </c>
      <c r="F31" s="159" t="s">
        <v>1002</v>
      </c>
      <c r="G31" s="160">
        <v>-2</v>
      </c>
      <c r="H31" s="160">
        <v>2</v>
      </c>
      <c r="I31" s="160">
        <v>0</v>
      </c>
      <c r="J31" s="160">
        <v>1</v>
      </c>
      <c r="K31" s="160">
        <v>2</v>
      </c>
      <c r="L31" s="161" t="s">
        <v>899</v>
      </c>
      <c r="M31" s="162" t="s">
        <v>665</v>
      </c>
      <c r="N31" s="201">
        <v>0.2</v>
      </c>
      <c r="O31" s="202">
        <v>0.2</v>
      </c>
      <c r="P31" s="165">
        <v>-0.5</v>
      </c>
      <c r="Q31" s="166">
        <v>0.7</v>
      </c>
      <c r="R31" s="236">
        <v>0.2</v>
      </c>
      <c r="S31" s="168">
        <v>0</v>
      </c>
      <c r="T31" s="169">
        <v>-0.5</v>
      </c>
      <c r="U31" s="170">
        <v>0</v>
      </c>
      <c r="V31" s="171">
        <v>-0.2</v>
      </c>
      <c r="W31" s="172">
        <v>0.5</v>
      </c>
      <c r="X31" s="173">
        <v>-2</v>
      </c>
      <c r="Y31" s="174">
        <v>-2</v>
      </c>
      <c r="Z31" s="175" t="s">
        <v>900</v>
      </c>
      <c r="AA31" s="176">
        <v>1</v>
      </c>
      <c r="AB31" s="177">
        <v>0</v>
      </c>
      <c r="AC31" s="178">
        <v>8.5</v>
      </c>
      <c r="AD31" s="179">
        <v>-2</v>
      </c>
      <c r="AE31" s="187"/>
      <c r="AF31" s="173">
        <v>0</v>
      </c>
      <c r="AG31" s="173">
        <v>3</v>
      </c>
      <c r="AH31" s="180">
        <v>0</v>
      </c>
      <c r="AI31" s="106"/>
      <c r="AJ31" s="106"/>
      <c r="AK31" s="106"/>
      <c r="AL31" s="106"/>
      <c r="AM31" s="106"/>
      <c r="AN31" s="106"/>
      <c r="AO31" s="106"/>
      <c r="AP31" s="106"/>
      <c r="AQ31" s="186" t="s">
        <v>999</v>
      </c>
      <c r="AR31" s="199">
        <v>120</v>
      </c>
      <c r="AS31" s="200">
        <v>100</v>
      </c>
      <c r="AT31" s="182" t="s">
        <v>558</v>
      </c>
      <c r="AU31" s="182" t="s">
        <v>624</v>
      </c>
      <c r="AV31" s="173">
        <v>3</v>
      </c>
      <c r="AW31" s="173">
        <v>4</v>
      </c>
      <c r="AX31" s="161" t="s">
        <v>899</v>
      </c>
      <c r="AY31" s="179">
        <v>-1</v>
      </c>
      <c r="AZ31" s="218">
        <v>6.5</v>
      </c>
      <c r="BA31" s="70">
        <v>2</v>
      </c>
      <c r="BB31" s="70">
        <v>1</v>
      </c>
      <c r="BC31" s="70">
        <v>1</v>
      </c>
      <c r="BD31" s="189" t="s">
        <v>900</v>
      </c>
      <c r="BE31" s="204">
        <v>0</v>
      </c>
      <c r="BF31" s="189" t="s">
        <v>1003</v>
      </c>
      <c r="BG31" s="191" t="s">
        <v>602</v>
      </c>
      <c r="BH31" s="192">
        <v>1.5</v>
      </c>
      <c r="BI31" s="193">
        <v>2</v>
      </c>
    </row>
    <row r="32" spans="1:61" ht="16.3">
      <c r="A32" s="198"/>
      <c r="B32" s="849" t="s">
        <v>1004</v>
      </c>
      <c r="C32" s="156" t="s">
        <v>1005</v>
      </c>
      <c r="D32" s="199">
        <v>150</v>
      </c>
      <c r="E32" s="200">
        <v>150</v>
      </c>
      <c r="F32" s="159" t="s">
        <v>1006</v>
      </c>
      <c r="G32" s="160">
        <v>1</v>
      </c>
      <c r="H32" s="160">
        <v>1</v>
      </c>
      <c r="I32" s="160">
        <v>1</v>
      </c>
      <c r="J32" s="160">
        <v>1</v>
      </c>
      <c r="K32" s="160">
        <v>1</v>
      </c>
      <c r="L32" s="161" t="s">
        <v>899</v>
      </c>
      <c r="M32" s="162" t="s">
        <v>665</v>
      </c>
      <c r="N32" s="163">
        <v>0</v>
      </c>
      <c r="O32" s="164">
        <v>0.2</v>
      </c>
      <c r="P32" s="165">
        <v>0</v>
      </c>
      <c r="Q32" s="166">
        <v>0</v>
      </c>
      <c r="R32" s="167">
        <v>0</v>
      </c>
      <c r="S32" s="168">
        <v>0.2</v>
      </c>
      <c r="T32" s="169">
        <v>0</v>
      </c>
      <c r="U32" s="170">
        <v>0</v>
      </c>
      <c r="V32" s="171">
        <v>0.4</v>
      </c>
      <c r="W32" s="172">
        <v>4</v>
      </c>
      <c r="X32" s="173">
        <v>0</v>
      </c>
      <c r="Y32" s="174">
        <v>4</v>
      </c>
      <c r="Z32" s="175" t="s">
        <v>900</v>
      </c>
      <c r="AA32" s="176">
        <v>10</v>
      </c>
      <c r="AB32" s="177">
        <v>0</v>
      </c>
      <c r="AC32" s="178">
        <v>-6</v>
      </c>
      <c r="AD32" s="179">
        <v>4</v>
      </c>
      <c r="AE32" s="187"/>
      <c r="AF32" s="173">
        <v>2</v>
      </c>
      <c r="AG32" s="173">
        <v>3</v>
      </c>
      <c r="AH32" s="180">
        <v>0</v>
      </c>
      <c r="AI32" s="106"/>
      <c r="AJ32" s="106"/>
      <c r="AK32" s="106"/>
      <c r="AL32" s="106"/>
      <c r="AM32" s="106"/>
      <c r="AN32" s="106"/>
      <c r="AO32" s="106"/>
      <c r="AP32" s="106"/>
      <c r="AQ32" s="194" t="s">
        <v>1001</v>
      </c>
      <c r="AR32" s="199">
        <v>70</v>
      </c>
      <c r="AS32" s="200">
        <v>140</v>
      </c>
      <c r="AT32" s="182" t="s">
        <v>558</v>
      </c>
      <c r="AU32" s="182" t="s">
        <v>590</v>
      </c>
      <c r="AV32" s="173">
        <v>0</v>
      </c>
      <c r="AW32" s="173">
        <v>3</v>
      </c>
      <c r="AX32" s="161" t="s">
        <v>899</v>
      </c>
      <c r="AY32" s="179">
        <v>-1</v>
      </c>
      <c r="AZ32" s="210">
        <v>8.5</v>
      </c>
      <c r="BA32" s="70">
        <v>1</v>
      </c>
      <c r="BB32" s="70">
        <v>-2</v>
      </c>
      <c r="BC32" s="70">
        <v>0</v>
      </c>
      <c r="BD32" s="189" t="s">
        <v>900</v>
      </c>
      <c r="BE32" s="204">
        <v>0</v>
      </c>
      <c r="BF32" s="189" t="s">
        <v>1007</v>
      </c>
      <c r="BG32" s="191" t="s">
        <v>604</v>
      </c>
      <c r="BH32" s="192">
        <v>1.5</v>
      </c>
      <c r="BI32" s="193">
        <v>-1</v>
      </c>
    </row>
    <row r="33" spans="1:61" ht="16.3">
      <c r="A33" s="198"/>
      <c r="B33" s="850"/>
      <c r="C33" s="186" t="s">
        <v>1008</v>
      </c>
      <c r="D33" s="199">
        <v>120</v>
      </c>
      <c r="E33" s="200">
        <v>50</v>
      </c>
      <c r="F33" s="159" t="s">
        <v>1009</v>
      </c>
      <c r="G33" s="160">
        <v>0</v>
      </c>
      <c r="H33" s="160">
        <v>2</v>
      </c>
      <c r="I33" s="160">
        <v>-2</v>
      </c>
      <c r="J33" s="160">
        <v>0</v>
      </c>
      <c r="K33" s="160">
        <v>2</v>
      </c>
      <c r="L33" s="161" t="s">
        <v>899</v>
      </c>
      <c r="M33" s="162" t="s">
        <v>665</v>
      </c>
      <c r="N33" s="163">
        <v>0</v>
      </c>
      <c r="O33" s="164">
        <v>0.3</v>
      </c>
      <c r="P33" s="165">
        <v>0</v>
      </c>
      <c r="Q33" s="166">
        <v>0</v>
      </c>
      <c r="R33" s="167">
        <v>0</v>
      </c>
      <c r="S33" s="168">
        <v>0</v>
      </c>
      <c r="T33" s="169">
        <v>0</v>
      </c>
      <c r="U33" s="170">
        <v>0</v>
      </c>
      <c r="V33" s="171">
        <v>0.3</v>
      </c>
      <c r="W33" s="172">
        <v>3</v>
      </c>
      <c r="X33" s="173">
        <v>-3</v>
      </c>
      <c r="Y33" s="174">
        <v>0</v>
      </c>
      <c r="Z33" s="175" t="s">
        <v>900</v>
      </c>
      <c r="AA33" s="176">
        <v>-3</v>
      </c>
      <c r="AB33" s="177">
        <v>0</v>
      </c>
      <c r="AC33" s="178">
        <v>11</v>
      </c>
      <c r="AD33" s="179">
        <v>0</v>
      </c>
      <c r="AE33" s="187"/>
      <c r="AF33" s="173">
        <v>2</v>
      </c>
      <c r="AG33" s="173">
        <v>0</v>
      </c>
      <c r="AH33" s="180">
        <v>0</v>
      </c>
      <c r="AI33" s="106"/>
      <c r="AJ33" s="106"/>
      <c r="AK33" s="106"/>
      <c r="AL33" s="106"/>
      <c r="AM33" s="106"/>
      <c r="AN33" s="106"/>
      <c r="AO33" s="106"/>
      <c r="AP33" s="106"/>
      <c r="AQ33" s="156" t="s">
        <v>1005</v>
      </c>
      <c r="AR33" s="199">
        <v>150</v>
      </c>
      <c r="AS33" s="200">
        <v>150</v>
      </c>
      <c r="AT33" s="182" t="s">
        <v>636</v>
      </c>
      <c r="AU33" s="182" t="s">
        <v>622</v>
      </c>
      <c r="AV33" s="173">
        <v>2</v>
      </c>
      <c r="AW33" s="173">
        <v>3</v>
      </c>
      <c r="AX33" s="161" t="s">
        <v>899</v>
      </c>
      <c r="AY33" s="179">
        <v>5</v>
      </c>
      <c r="AZ33" s="238">
        <v>-6</v>
      </c>
      <c r="BA33" s="70">
        <v>10</v>
      </c>
      <c r="BB33" s="70">
        <v>0</v>
      </c>
      <c r="BC33" s="70">
        <v>0</v>
      </c>
      <c r="BD33" s="189" t="s">
        <v>900</v>
      </c>
      <c r="BE33" s="239">
        <v>1</v>
      </c>
      <c r="BF33" s="189" t="s">
        <v>1010</v>
      </c>
      <c r="BG33" s="191" t="s">
        <v>606</v>
      </c>
      <c r="BH33" s="192">
        <v>6</v>
      </c>
      <c r="BI33" s="207">
        <v>15</v>
      </c>
    </row>
    <row r="34" spans="1:61" ht="16.3">
      <c r="A34" s="198"/>
      <c r="B34" s="850"/>
      <c r="C34" s="194" t="s">
        <v>1011</v>
      </c>
      <c r="D34" s="199">
        <v>165</v>
      </c>
      <c r="E34" s="200">
        <v>35</v>
      </c>
      <c r="F34" s="159" t="s">
        <v>1012</v>
      </c>
      <c r="G34" s="160">
        <v>2</v>
      </c>
      <c r="H34" s="160">
        <v>2</v>
      </c>
      <c r="I34" s="160">
        <v>2</v>
      </c>
      <c r="J34" s="160">
        <v>2</v>
      </c>
      <c r="K34" s="160">
        <v>-2</v>
      </c>
      <c r="L34" s="161" t="s">
        <v>899</v>
      </c>
      <c r="M34" s="162" t="s">
        <v>677</v>
      </c>
      <c r="N34" s="163">
        <v>0</v>
      </c>
      <c r="O34" s="164">
        <v>0</v>
      </c>
      <c r="P34" s="165">
        <v>-0.4</v>
      </c>
      <c r="Q34" s="166">
        <v>-0.2</v>
      </c>
      <c r="R34" s="167">
        <v>0</v>
      </c>
      <c r="S34" s="168">
        <v>0</v>
      </c>
      <c r="T34" s="169">
        <v>0</v>
      </c>
      <c r="U34" s="170">
        <v>0.2</v>
      </c>
      <c r="V34" s="171">
        <v>-0.4</v>
      </c>
      <c r="W34" s="172">
        <v>-4</v>
      </c>
      <c r="X34" s="173">
        <v>1</v>
      </c>
      <c r="Y34" s="174">
        <v>-3</v>
      </c>
      <c r="Z34" s="175" t="s">
        <v>900</v>
      </c>
      <c r="AA34" s="176">
        <v>0</v>
      </c>
      <c r="AB34" s="177">
        <v>0</v>
      </c>
      <c r="AC34" s="178">
        <v>9</v>
      </c>
      <c r="AD34" s="179">
        <v>-3</v>
      </c>
      <c r="AE34" s="187"/>
      <c r="AF34" s="173">
        <v>4</v>
      </c>
      <c r="AG34" s="173">
        <v>2</v>
      </c>
      <c r="AH34" s="195">
        <v>2</v>
      </c>
      <c r="AI34" s="106"/>
      <c r="AJ34" s="106"/>
      <c r="AK34" s="106"/>
      <c r="AL34" s="106"/>
      <c r="AM34" s="106"/>
      <c r="AN34" s="106"/>
      <c r="AO34" s="106"/>
      <c r="AP34" s="106"/>
      <c r="AQ34" s="186" t="s">
        <v>1008</v>
      </c>
      <c r="AR34" s="199">
        <v>180</v>
      </c>
      <c r="AS34" s="200">
        <v>50</v>
      </c>
      <c r="AT34" s="182" t="s">
        <v>636</v>
      </c>
      <c r="AU34" s="182" t="s">
        <v>618</v>
      </c>
      <c r="AV34" s="173">
        <v>2</v>
      </c>
      <c r="AW34" s="173">
        <v>0</v>
      </c>
      <c r="AX34" s="161" t="s">
        <v>899</v>
      </c>
      <c r="AY34" s="179">
        <v>2</v>
      </c>
      <c r="AZ34" s="221">
        <v>11</v>
      </c>
      <c r="BA34" s="70">
        <v>3</v>
      </c>
      <c r="BB34" s="70">
        <v>0</v>
      </c>
      <c r="BC34" s="70">
        <v>-3</v>
      </c>
      <c r="BD34" s="189" t="s">
        <v>900</v>
      </c>
      <c r="BE34" s="225">
        <v>8</v>
      </c>
      <c r="BF34" s="189" t="s">
        <v>1013</v>
      </c>
      <c r="BG34" s="191" t="s">
        <v>1014</v>
      </c>
      <c r="BH34" s="192">
        <v>4</v>
      </c>
      <c r="BI34" s="207">
        <v>5</v>
      </c>
    </row>
    <row r="35" spans="1:61" ht="16.3">
      <c r="A35" s="198"/>
      <c r="B35" s="849" t="s">
        <v>1015</v>
      </c>
      <c r="C35" s="156" t="s">
        <v>1016</v>
      </c>
      <c r="D35" s="199">
        <v>110</v>
      </c>
      <c r="E35" s="200">
        <v>80</v>
      </c>
      <c r="F35" s="159" t="s">
        <v>1017</v>
      </c>
      <c r="G35" s="160">
        <v>3</v>
      </c>
      <c r="H35" s="160">
        <v>3</v>
      </c>
      <c r="I35" s="160">
        <v>1</v>
      </c>
      <c r="J35" s="160">
        <v>1</v>
      </c>
      <c r="K35" s="160">
        <v>0</v>
      </c>
      <c r="L35" s="161" t="s">
        <v>899</v>
      </c>
      <c r="M35" s="162" t="s">
        <v>665</v>
      </c>
      <c r="N35" s="201">
        <v>-0.5</v>
      </c>
      <c r="O35" s="202">
        <v>0</v>
      </c>
      <c r="P35" s="165">
        <v>0</v>
      </c>
      <c r="Q35" s="166">
        <v>-0.2</v>
      </c>
      <c r="R35" s="167">
        <v>-0.2</v>
      </c>
      <c r="S35" s="168">
        <v>0.2</v>
      </c>
      <c r="T35" s="169">
        <v>0</v>
      </c>
      <c r="U35" s="170">
        <v>0</v>
      </c>
      <c r="V35" s="171">
        <v>0.8</v>
      </c>
      <c r="W35" s="172">
        <v>0.5</v>
      </c>
      <c r="X35" s="173">
        <v>3</v>
      </c>
      <c r="Y35" s="174">
        <v>4</v>
      </c>
      <c r="Z35" s="175" t="s">
        <v>900</v>
      </c>
      <c r="AA35" s="176">
        <v>-1</v>
      </c>
      <c r="AB35" s="177">
        <v>0</v>
      </c>
      <c r="AC35" s="178">
        <v>5.5</v>
      </c>
      <c r="AD35" s="179">
        <v>4</v>
      </c>
      <c r="AE35" s="187"/>
      <c r="AF35" s="173">
        <v>6</v>
      </c>
      <c r="AG35" s="173">
        <v>2</v>
      </c>
      <c r="AH35" s="180">
        <v>0</v>
      </c>
      <c r="AI35" s="106"/>
      <c r="AJ35" s="106"/>
      <c r="AK35" s="106"/>
      <c r="AL35" s="106"/>
      <c r="AM35" s="106"/>
      <c r="AN35" s="106"/>
      <c r="AO35" s="106"/>
      <c r="AP35" s="106"/>
      <c r="AQ35" s="194" t="s">
        <v>1011</v>
      </c>
      <c r="AR35" s="199">
        <v>165</v>
      </c>
      <c r="AS35" s="200">
        <v>35</v>
      </c>
      <c r="AT35" s="182" t="s">
        <v>636</v>
      </c>
      <c r="AU35" s="182" t="s">
        <v>580</v>
      </c>
      <c r="AV35" s="173">
        <v>4</v>
      </c>
      <c r="AW35" s="173">
        <v>4</v>
      </c>
      <c r="AX35" s="161" t="s">
        <v>899</v>
      </c>
      <c r="AY35" s="179">
        <v>4</v>
      </c>
      <c r="AZ35" s="188">
        <v>9</v>
      </c>
      <c r="BA35" s="70">
        <v>0</v>
      </c>
      <c r="BB35" s="70">
        <v>2</v>
      </c>
      <c r="BC35" s="70">
        <v>1</v>
      </c>
      <c r="BD35" s="189" t="s">
        <v>900</v>
      </c>
      <c r="BE35" s="240">
        <v>5</v>
      </c>
      <c r="BF35" s="189" t="s">
        <v>934</v>
      </c>
      <c r="BG35" s="191" t="s">
        <v>610</v>
      </c>
      <c r="BH35" s="192">
        <v>1.5</v>
      </c>
      <c r="BI35" s="207">
        <v>4</v>
      </c>
    </row>
    <row r="36" spans="1:61" ht="16.3">
      <c r="A36" s="198"/>
      <c r="B36" s="850"/>
      <c r="C36" s="186" t="s">
        <v>1018</v>
      </c>
      <c r="D36" s="199">
        <v>70</v>
      </c>
      <c r="E36" s="200">
        <v>100</v>
      </c>
      <c r="F36" s="159" t="s">
        <v>1019</v>
      </c>
      <c r="G36" s="160">
        <v>1</v>
      </c>
      <c r="H36" s="160">
        <v>1</v>
      </c>
      <c r="I36" s="160">
        <v>1</v>
      </c>
      <c r="J36" s="160">
        <v>3</v>
      </c>
      <c r="K36" s="160">
        <v>1</v>
      </c>
      <c r="L36" s="161" t="s">
        <v>930</v>
      </c>
      <c r="M36" s="162" t="s">
        <v>665</v>
      </c>
      <c r="N36" s="201">
        <v>0</v>
      </c>
      <c r="O36" s="202">
        <v>0</v>
      </c>
      <c r="P36" s="165">
        <v>-0.3</v>
      </c>
      <c r="Q36" s="166">
        <v>0</v>
      </c>
      <c r="R36" s="167">
        <v>0</v>
      </c>
      <c r="S36" s="168">
        <v>0</v>
      </c>
      <c r="T36" s="169">
        <v>0.2</v>
      </c>
      <c r="U36" s="170">
        <v>0</v>
      </c>
      <c r="V36" s="171">
        <v>0.3</v>
      </c>
      <c r="W36" s="172">
        <v>1</v>
      </c>
      <c r="X36" s="173">
        <v>2</v>
      </c>
      <c r="Y36" s="174">
        <v>3</v>
      </c>
      <c r="Z36" s="175" t="s">
        <v>953</v>
      </c>
      <c r="AA36" s="176">
        <v>-3</v>
      </c>
      <c r="AB36" s="177">
        <v>0</v>
      </c>
      <c r="AC36" s="178">
        <v>5.5</v>
      </c>
      <c r="AD36" s="179">
        <v>6</v>
      </c>
      <c r="AE36" s="187"/>
      <c r="AF36" s="173">
        <v>2</v>
      </c>
      <c r="AG36" s="173">
        <v>5</v>
      </c>
      <c r="AH36" s="180">
        <v>0</v>
      </c>
      <c r="AI36" s="106"/>
      <c r="AJ36" s="106"/>
      <c r="AK36" s="106"/>
      <c r="AL36" s="106"/>
      <c r="AM36" s="106"/>
      <c r="AN36" s="106"/>
      <c r="AO36" s="106"/>
      <c r="AP36" s="106"/>
      <c r="AQ36" s="156" t="s">
        <v>1016</v>
      </c>
      <c r="AR36" s="199">
        <v>110</v>
      </c>
      <c r="AS36" s="200">
        <v>80</v>
      </c>
      <c r="AT36" s="182" t="s">
        <v>548</v>
      </c>
      <c r="AU36" s="182" t="s">
        <v>556</v>
      </c>
      <c r="AV36" s="173">
        <v>6</v>
      </c>
      <c r="AW36" s="173">
        <v>2</v>
      </c>
      <c r="AX36" s="161" t="s">
        <v>899</v>
      </c>
      <c r="AY36" s="179">
        <v>3</v>
      </c>
      <c r="AZ36" s="208">
        <v>5.5</v>
      </c>
      <c r="BA36" s="70">
        <v>-1</v>
      </c>
      <c r="BB36" s="70">
        <v>4</v>
      </c>
      <c r="BC36" s="70">
        <v>-1</v>
      </c>
      <c r="BD36" s="189" t="s">
        <v>900</v>
      </c>
      <c r="BE36" s="222">
        <v>-1</v>
      </c>
      <c r="BF36" s="189" t="s">
        <v>982</v>
      </c>
      <c r="BG36" s="191" t="s">
        <v>612</v>
      </c>
      <c r="BH36" s="192">
        <v>8</v>
      </c>
      <c r="BI36" s="193">
        <v>2</v>
      </c>
    </row>
    <row r="37" spans="1:61" ht="16.3">
      <c r="A37" s="198"/>
      <c r="B37" s="850"/>
      <c r="C37" s="194" t="s">
        <v>1020</v>
      </c>
      <c r="D37" s="199">
        <v>100</v>
      </c>
      <c r="E37" s="200">
        <v>100</v>
      </c>
      <c r="F37" s="159" t="s">
        <v>1021</v>
      </c>
      <c r="G37" s="160">
        <v>1</v>
      </c>
      <c r="H37" s="160">
        <v>0</v>
      </c>
      <c r="I37" s="160">
        <v>1</v>
      </c>
      <c r="J37" s="160">
        <v>1</v>
      </c>
      <c r="K37" s="160">
        <v>1</v>
      </c>
      <c r="L37" s="161" t="s">
        <v>899</v>
      </c>
      <c r="M37" s="162" t="s">
        <v>665</v>
      </c>
      <c r="N37" s="201">
        <v>0</v>
      </c>
      <c r="O37" s="202">
        <v>0</v>
      </c>
      <c r="P37" s="165">
        <v>0</v>
      </c>
      <c r="Q37" s="166">
        <v>0</v>
      </c>
      <c r="R37" s="167">
        <v>-0.2</v>
      </c>
      <c r="S37" s="168">
        <v>0.2</v>
      </c>
      <c r="T37" s="169">
        <v>0</v>
      </c>
      <c r="U37" s="170">
        <v>-0.2</v>
      </c>
      <c r="V37" s="171">
        <v>0.2</v>
      </c>
      <c r="W37" s="172">
        <v>0</v>
      </c>
      <c r="X37" s="173">
        <v>-1</v>
      </c>
      <c r="Y37" s="174">
        <v>-1</v>
      </c>
      <c r="Z37" s="175" t="s">
        <v>900</v>
      </c>
      <c r="AA37" s="176">
        <v>0</v>
      </c>
      <c r="AB37" s="177">
        <v>0</v>
      </c>
      <c r="AC37" s="178">
        <v>9</v>
      </c>
      <c r="AD37" s="179">
        <v>-1</v>
      </c>
      <c r="AE37" s="187"/>
      <c r="AF37" s="173">
        <v>1</v>
      </c>
      <c r="AG37" s="173">
        <v>3</v>
      </c>
      <c r="AH37" s="180">
        <v>0</v>
      </c>
      <c r="AI37" s="106"/>
      <c r="AJ37" s="106"/>
      <c r="AK37" s="106"/>
      <c r="AL37" s="106"/>
      <c r="AM37" s="106"/>
      <c r="AN37" s="106"/>
      <c r="AO37" s="106"/>
      <c r="AP37" s="106"/>
      <c r="AQ37" s="186" t="s">
        <v>1018</v>
      </c>
      <c r="AR37" s="199">
        <v>70</v>
      </c>
      <c r="AS37" s="200">
        <v>100</v>
      </c>
      <c r="AT37" s="182" t="s">
        <v>548</v>
      </c>
      <c r="AU37" s="182" t="s">
        <v>602</v>
      </c>
      <c r="AV37" s="173">
        <v>2</v>
      </c>
      <c r="AW37" s="173">
        <v>5</v>
      </c>
      <c r="AX37" s="161" t="s">
        <v>930</v>
      </c>
      <c r="AY37" s="179">
        <v>6</v>
      </c>
      <c r="AZ37" s="208">
        <v>5.5</v>
      </c>
      <c r="BA37" s="70">
        <v>-3</v>
      </c>
      <c r="BB37" s="70">
        <v>0</v>
      </c>
      <c r="BC37" s="70">
        <v>2</v>
      </c>
      <c r="BD37" s="189" t="s">
        <v>953</v>
      </c>
      <c r="BE37" s="190">
        <v>1</v>
      </c>
      <c r="BF37" s="189" t="s">
        <v>930</v>
      </c>
      <c r="BG37" s="191" t="s">
        <v>614</v>
      </c>
      <c r="BH37" s="192">
        <v>6</v>
      </c>
      <c r="BI37" s="207">
        <v>4</v>
      </c>
    </row>
    <row r="38" spans="1:61" ht="17.25" customHeight="1">
      <c r="A38" s="851"/>
      <c r="B38" s="843" t="s">
        <v>1022</v>
      </c>
      <c r="C38" s="241" t="s">
        <v>1023</v>
      </c>
      <c r="D38" s="199">
        <v>70</v>
      </c>
      <c r="E38" s="200">
        <v>140</v>
      </c>
      <c r="F38" s="159" t="s">
        <v>1024</v>
      </c>
      <c r="G38" s="160">
        <v>0</v>
      </c>
      <c r="H38" s="160">
        <v>2</v>
      </c>
      <c r="I38" s="160">
        <v>0</v>
      </c>
      <c r="J38" s="160">
        <v>2</v>
      </c>
      <c r="K38" s="160">
        <v>2</v>
      </c>
      <c r="L38" s="161" t="s">
        <v>899</v>
      </c>
      <c r="M38" s="162" t="s">
        <v>665</v>
      </c>
      <c r="N38" s="201">
        <v>0</v>
      </c>
      <c r="O38" s="202">
        <v>0</v>
      </c>
      <c r="P38" s="165">
        <v>0</v>
      </c>
      <c r="Q38" s="166">
        <v>0</v>
      </c>
      <c r="R38" s="167">
        <v>0.3</v>
      </c>
      <c r="S38" s="168">
        <v>0.3</v>
      </c>
      <c r="T38" s="169">
        <v>0</v>
      </c>
      <c r="U38" s="170">
        <v>-0.5</v>
      </c>
      <c r="V38" s="171">
        <v>-0.5</v>
      </c>
      <c r="W38" s="172">
        <v>-2</v>
      </c>
      <c r="X38" s="173">
        <v>1</v>
      </c>
      <c r="Y38" s="174">
        <v>-1</v>
      </c>
      <c r="Z38" s="175" t="s">
        <v>900</v>
      </c>
      <c r="AA38" s="176">
        <v>1</v>
      </c>
      <c r="AB38" s="177">
        <v>0</v>
      </c>
      <c r="AC38" s="178">
        <v>8</v>
      </c>
      <c r="AD38" s="179">
        <v>-1</v>
      </c>
      <c r="AE38" s="187"/>
      <c r="AF38" s="173">
        <v>2</v>
      </c>
      <c r="AG38" s="173">
        <v>4</v>
      </c>
      <c r="AH38" s="180">
        <v>0</v>
      </c>
      <c r="AI38" s="106"/>
      <c r="AJ38" s="106"/>
      <c r="AK38" s="106"/>
      <c r="AL38" s="106"/>
      <c r="AM38" s="106"/>
      <c r="AN38" s="106"/>
      <c r="AO38" s="106"/>
      <c r="AP38" s="106"/>
      <c r="AQ38" s="194" t="s">
        <v>1020</v>
      </c>
      <c r="AR38" s="199">
        <v>100</v>
      </c>
      <c r="AS38" s="200">
        <v>100</v>
      </c>
      <c r="AT38" s="182" t="s">
        <v>548</v>
      </c>
      <c r="AU38" s="182" t="s">
        <v>634</v>
      </c>
      <c r="AV38" s="173">
        <v>1</v>
      </c>
      <c r="AW38" s="173">
        <v>3</v>
      </c>
      <c r="AX38" s="161" t="s">
        <v>899</v>
      </c>
      <c r="AY38" s="179">
        <v>-1</v>
      </c>
      <c r="AZ38" s="188">
        <v>9</v>
      </c>
      <c r="BA38" s="70">
        <v>0</v>
      </c>
      <c r="BB38" s="70">
        <v>-1</v>
      </c>
      <c r="BC38" s="70">
        <v>0</v>
      </c>
      <c r="BD38" s="189" t="s">
        <v>900</v>
      </c>
      <c r="BE38" s="204">
        <v>0</v>
      </c>
      <c r="BF38" s="189" t="s">
        <v>943</v>
      </c>
      <c r="BG38" s="191" t="s">
        <v>616</v>
      </c>
      <c r="BH38" s="192">
        <v>7</v>
      </c>
      <c r="BI38" s="193">
        <v>-1</v>
      </c>
    </row>
    <row r="39" spans="1:61" ht="17.25" customHeight="1">
      <c r="A39" s="852"/>
      <c r="B39" s="844"/>
      <c r="C39" s="242" t="s">
        <v>1025</v>
      </c>
      <c r="D39" s="199">
        <v>100</v>
      </c>
      <c r="E39" s="200">
        <v>100</v>
      </c>
      <c r="F39" s="159" t="s">
        <v>1026</v>
      </c>
      <c r="G39" s="160">
        <v>1</v>
      </c>
      <c r="H39" s="160">
        <v>2</v>
      </c>
      <c r="I39" s="160">
        <v>1</v>
      </c>
      <c r="J39" s="160">
        <v>1</v>
      </c>
      <c r="K39" s="160">
        <v>1</v>
      </c>
      <c r="L39" s="161" t="s">
        <v>899</v>
      </c>
      <c r="M39" s="162" t="s">
        <v>665</v>
      </c>
      <c r="N39" s="163">
        <v>0</v>
      </c>
      <c r="O39" s="164">
        <v>0</v>
      </c>
      <c r="P39" s="165">
        <v>0</v>
      </c>
      <c r="Q39" s="166">
        <v>0.4</v>
      </c>
      <c r="R39" s="167">
        <v>0</v>
      </c>
      <c r="S39" s="168">
        <v>-0.2</v>
      </c>
      <c r="T39" s="169">
        <v>-0.5</v>
      </c>
      <c r="U39" s="170">
        <v>0</v>
      </c>
      <c r="V39" s="171">
        <v>0</v>
      </c>
      <c r="W39" s="172">
        <v>-1.5</v>
      </c>
      <c r="X39" s="173">
        <v>1</v>
      </c>
      <c r="Y39" s="174">
        <v>-1</v>
      </c>
      <c r="Z39" s="175" t="s">
        <v>900</v>
      </c>
      <c r="AA39" s="176">
        <v>0</v>
      </c>
      <c r="AB39" s="177">
        <v>0</v>
      </c>
      <c r="AC39" s="178">
        <v>8.5</v>
      </c>
      <c r="AD39" s="179">
        <v>-1</v>
      </c>
      <c r="AE39" s="187"/>
      <c r="AF39" s="173">
        <v>3</v>
      </c>
      <c r="AG39" s="173">
        <v>3</v>
      </c>
      <c r="AH39" s="180">
        <v>0</v>
      </c>
      <c r="AI39" s="106"/>
      <c r="AJ39" s="106"/>
      <c r="AK39" s="106"/>
      <c r="AL39" s="106"/>
      <c r="AM39" s="106"/>
      <c r="AN39" s="106"/>
      <c r="AO39" s="106"/>
      <c r="AP39" s="106"/>
      <c r="AQ39" s="241" t="s">
        <v>1023</v>
      </c>
      <c r="AR39" s="199">
        <v>70</v>
      </c>
      <c r="AS39" s="200">
        <v>140</v>
      </c>
      <c r="AT39" s="182" t="s">
        <v>616</v>
      </c>
      <c r="AU39" s="182" t="s">
        <v>626</v>
      </c>
      <c r="AV39" s="173">
        <v>2</v>
      </c>
      <c r="AW39" s="173">
        <v>4</v>
      </c>
      <c r="AX39" s="161" t="s">
        <v>899</v>
      </c>
      <c r="AY39" s="179">
        <v>1</v>
      </c>
      <c r="AZ39" s="203">
        <v>8</v>
      </c>
      <c r="BA39" s="70">
        <v>1</v>
      </c>
      <c r="BB39" s="70">
        <v>0</v>
      </c>
      <c r="BC39" s="70">
        <v>1</v>
      </c>
      <c r="BD39" s="189" t="s">
        <v>900</v>
      </c>
      <c r="BE39" s="243">
        <v>2</v>
      </c>
      <c r="BF39" s="189" t="s">
        <v>982</v>
      </c>
      <c r="BG39" s="191" t="s">
        <v>618</v>
      </c>
      <c r="BH39" s="192">
        <v>5</v>
      </c>
      <c r="BI39" s="193">
        <v>2</v>
      </c>
    </row>
    <row r="40" spans="1:61" ht="16.5" customHeight="1">
      <c r="A40" s="852"/>
      <c r="B40" s="844"/>
      <c r="C40" s="244" t="s">
        <v>1027</v>
      </c>
      <c r="D40" s="199">
        <v>80</v>
      </c>
      <c r="E40" s="200">
        <v>80</v>
      </c>
      <c r="F40" s="159" t="s">
        <v>1028</v>
      </c>
      <c r="G40" s="160">
        <v>0</v>
      </c>
      <c r="H40" s="160">
        <v>1</v>
      </c>
      <c r="I40" s="160">
        <v>1</v>
      </c>
      <c r="J40" s="160">
        <v>1</v>
      </c>
      <c r="K40" s="160">
        <v>1</v>
      </c>
      <c r="L40" s="161" t="s">
        <v>899</v>
      </c>
      <c r="M40" s="162" t="s">
        <v>677</v>
      </c>
      <c r="N40" s="201">
        <v>0.2</v>
      </c>
      <c r="O40" s="202">
        <v>0</v>
      </c>
      <c r="P40" s="165">
        <v>-0.6</v>
      </c>
      <c r="Q40" s="166">
        <v>0</v>
      </c>
      <c r="R40" s="167">
        <v>0</v>
      </c>
      <c r="S40" s="168">
        <v>0.4</v>
      </c>
      <c r="T40" s="169">
        <v>0</v>
      </c>
      <c r="U40" s="170">
        <v>0</v>
      </c>
      <c r="V40" s="171">
        <v>0</v>
      </c>
      <c r="W40" s="172">
        <v>0</v>
      </c>
      <c r="X40" s="173">
        <v>-1</v>
      </c>
      <c r="Y40" s="174">
        <v>-1</v>
      </c>
      <c r="Z40" s="175" t="s">
        <v>900</v>
      </c>
      <c r="AA40" s="176">
        <v>-4</v>
      </c>
      <c r="AB40" s="177">
        <v>0</v>
      </c>
      <c r="AC40" s="178">
        <v>11</v>
      </c>
      <c r="AD40" s="179">
        <v>-1</v>
      </c>
      <c r="AE40" s="187"/>
      <c r="AF40" s="173">
        <v>1</v>
      </c>
      <c r="AG40" s="173">
        <v>3</v>
      </c>
      <c r="AH40" s="195">
        <v>2</v>
      </c>
      <c r="AI40" s="106"/>
      <c r="AJ40" s="106"/>
      <c r="AK40" s="106"/>
      <c r="AL40" s="106"/>
      <c r="AM40" s="106"/>
      <c r="AN40" s="106"/>
      <c r="AO40" s="106"/>
      <c r="AP40" s="106"/>
      <c r="AQ40" s="242" t="s">
        <v>1025</v>
      </c>
      <c r="AR40" s="199">
        <v>100</v>
      </c>
      <c r="AS40" s="200">
        <v>100</v>
      </c>
      <c r="AT40" s="182" t="s">
        <v>616</v>
      </c>
      <c r="AU40" s="182" t="s">
        <v>572</v>
      </c>
      <c r="AV40" s="173">
        <v>3</v>
      </c>
      <c r="AW40" s="173">
        <v>3</v>
      </c>
      <c r="AX40" s="161" t="s">
        <v>899</v>
      </c>
      <c r="AY40" s="179">
        <v>2</v>
      </c>
      <c r="AZ40" s="210">
        <v>8.5</v>
      </c>
      <c r="BA40" s="70">
        <v>0</v>
      </c>
      <c r="BB40" s="70">
        <v>1</v>
      </c>
      <c r="BC40" s="70">
        <v>0</v>
      </c>
      <c r="BD40" s="189" t="s">
        <v>900</v>
      </c>
      <c r="BE40" s="245">
        <v>3</v>
      </c>
      <c r="BF40" s="189" t="s">
        <v>982</v>
      </c>
      <c r="BG40" s="191" t="s">
        <v>620</v>
      </c>
      <c r="BH40" s="192">
        <v>4</v>
      </c>
      <c r="BI40" s="193">
        <v>2</v>
      </c>
    </row>
    <row r="41" spans="1:61" ht="17.25" customHeight="1">
      <c r="A41" s="841" t="s">
        <v>1029</v>
      </c>
      <c r="B41" s="843" t="s">
        <v>1030</v>
      </c>
      <c r="C41" s="241" t="s">
        <v>1031</v>
      </c>
      <c r="D41" s="199">
        <v>80</v>
      </c>
      <c r="E41" s="200">
        <v>120</v>
      </c>
      <c r="F41" s="159" t="s">
        <v>1032</v>
      </c>
      <c r="G41" s="160">
        <v>1</v>
      </c>
      <c r="H41" s="160">
        <v>2</v>
      </c>
      <c r="I41" s="160">
        <v>1</v>
      </c>
      <c r="J41" s="160">
        <v>1</v>
      </c>
      <c r="K41" s="160">
        <v>1</v>
      </c>
      <c r="L41" s="161" t="s">
        <v>899</v>
      </c>
      <c r="M41" s="162" t="s">
        <v>665</v>
      </c>
      <c r="N41" s="201">
        <v>0</v>
      </c>
      <c r="O41" s="202">
        <v>0.4</v>
      </c>
      <c r="P41" s="165">
        <v>0</v>
      </c>
      <c r="Q41" s="166">
        <v>0</v>
      </c>
      <c r="R41" s="167">
        <v>0</v>
      </c>
      <c r="S41" s="168">
        <v>0</v>
      </c>
      <c r="T41" s="169">
        <v>0.2</v>
      </c>
      <c r="U41" s="170">
        <v>0</v>
      </c>
      <c r="V41" s="171">
        <v>0.1</v>
      </c>
      <c r="W41" s="172">
        <v>3.5</v>
      </c>
      <c r="X41" s="173">
        <v>1</v>
      </c>
      <c r="Y41" s="174">
        <v>5</v>
      </c>
      <c r="Z41" s="175" t="s">
        <v>900</v>
      </c>
      <c r="AA41" s="176">
        <v>0</v>
      </c>
      <c r="AB41" s="177">
        <v>0</v>
      </c>
      <c r="AC41" s="178">
        <v>3.5</v>
      </c>
      <c r="AD41" s="179">
        <v>5</v>
      </c>
      <c r="AE41" s="187"/>
      <c r="AF41" s="173">
        <v>3</v>
      </c>
      <c r="AG41" s="173">
        <v>3</v>
      </c>
      <c r="AH41" s="180">
        <v>0</v>
      </c>
      <c r="AI41" s="106"/>
      <c r="AJ41" s="106"/>
      <c r="AK41" s="106"/>
      <c r="AL41" s="106"/>
      <c r="AM41" s="106"/>
      <c r="AN41" s="106"/>
      <c r="AO41" s="106"/>
      <c r="AP41" s="106"/>
      <c r="AQ41" s="244" t="s">
        <v>1027</v>
      </c>
      <c r="AR41" s="199">
        <v>90</v>
      </c>
      <c r="AS41" s="200">
        <v>90</v>
      </c>
      <c r="AT41" s="182" t="s">
        <v>616</v>
      </c>
      <c r="AU41" s="182" t="s">
        <v>548</v>
      </c>
      <c r="AV41" s="173">
        <v>1</v>
      </c>
      <c r="AW41" s="173">
        <v>3</v>
      </c>
      <c r="AX41" s="161" t="s">
        <v>899</v>
      </c>
      <c r="AY41" s="179">
        <v>0</v>
      </c>
      <c r="AZ41" s="221">
        <v>11</v>
      </c>
      <c r="BA41" s="70">
        <v>-2</v>
      </c>
      <c r="BB41" s="70">
        <v>-1</v>
      </c>
      <c r="BC41" s="70">
        <v>0</v>
      </c>
      <c r="BD41" s="189" t="s">
        <v>900</v>
      </c>
      <c r="BE41" s="239">
        <v>1</v>
      </c>
      <c r="BF41" s="189" t="s">
        <v>956</v>
      </c>
      <c r="BG41" s="191" t="s">
        <v>622</v>
      </c>
      <c r="BH41" s="192">
        <v>-12</v>
      </c>
      <c r="BI41" s="193">
        <v>-3</v>
      </c>
    </row>
    <row r="42" spans="1:61" ht="15" customHeight="1">
      <c r="A42" s="842"/>
      <c r="B42" s="844"/>
      <c r="C42" s="242" t="s">
        <v>1033</v>
      </c>
      <c r="D42" s="199">
        <v>80</v>
      </c>
      <c r="E42" s="200">
        <v>140</v>
      </c>
      <c r="F42" s="159" t="s">
        <v>1034</v>
      </c>
      <c r="G42" s="160">
        <v>0</v>
      </c>
      <c r="H42" s="160">
        <v>2</v>
      </c>
      <c r="I42" s="160">
        <v>0</v>
      </c>
      <c r="J42" s="160">
        <v>2</v>
      </c>
      <c r="K42" s="160">
        <v>2</v>
      </c>
      <c r="L42" s="161" t="s">
        <v>899</v>
      </c>
      <c r="M42" s="162" t="s">
        <v>665</v>
      </c>
      <c r="N42" s="201">
        <v>0.1</v>
      </c>
      <c r="O42" s="202">
        <v>0</v>
      </c>
      <c r="P42" s="165">
        <v>0.2</v>
      </c>
      <c r="Q42" s="166">
        <v>0</v>
      </c>
      <c r="R42" s="167">
        <v>-0.3</v>
      </c>
      <c r="S42" s="168">
        <v>0</v>
      </c>
      <c r="T42" s="169">
        <v>0.2</v>
      </c>
      <c r="U42" s="170">
        <v>0.7</v>
      </c>
      <c r="V42" s="171">
        <v>-0.3</v>
      </c>
      <c r="W42" s="172">
        <v>3</v>
      </c>
      <c r="X42" s="173">
        <v>1</v>
      </c>
      <c r="Y42" s="174">
        <v>4</v>
      </c>
      <c r="Z42" s="175" t="s">
        <v>900</v>
      </c>
      <c r="AA42" s="176">
        <v>2</v>
      </c>
      <c r="AB42" s="177">
        <v>0</v>
      </c>
      <c r="AC42" s="178">
        <v>2</v>
      </c>
      <c r="AD42" s="179">
        <v>4</v>
      </c>
      <c r="AE42" s="187"/>
      <c r="AF42" s="173">
        <v>2</v>
      </c>
      <c r="AG42" s="173">
        <v>4</v>
      </c>
      <c r="AH42" s="180">
        <v>0</v>
      </c>
      <c r="AI42" s="106"/>
      <c r="AJ42" s="106"/>
      <c r="AK42" s="106"/>
      <c r="AL42" s="106"/>
      <c r="AM42" s="106"/>
      <c r="AN42" s="106"/>
      <c r="AO42" s="106"/>
      <c r="AP42" s="106"/>
      <c r="AQ42" s="241" t="s">
        <v>1031</v>
      </c>
      <c r="AR42" s="199">
        <v>80</v>
      </c>
      <c r="AS42" s="200">
        <v>120</v>
      </c>
      <c r="AT42" s="182" t="s">
        <v>639</v>
      </c>
      <c r="AU42" s="182" t="s">
        <v>610</v>
      </c>
      <c r="AV42" s="173">
        <v>3</v>
      </c>
      <c r="AW42" s="173">
        <v>3</v>
      </c>
      <c r="AX42" s="161" t="s">
        <v>899</v>
      </c>
      <c r="AY42" s="179">
        <v>2</v>
      </c>
      <c r="AZ42" s="237">
        <v>3.5</v>
      </c>
      <c r="BA42" s="70">
        <v>0</v>
      </c>
      <c r="BB42" s="70">
        <v>1</v>
      </c>
      <c r="BC42" s="70">
        <v>0</v>
      </c>
      <c r="BD42" s="189" t="s">
        <v>900</v>
      </c>
      <c r="BE42" s="246">
        <v>-3</v>
      </c>
      <c r="BF42" s="189" t="s">
        <v>982</v>
      </c>
      <c r="BG42" s="191" t="s">
        <v>624</v>
      </c>
      <c r="BH42" s="192">
        <v>4</v>
      </c>
      <c r="BI42" s="193">
        <v>2</v>
      </c>
    </row>
    <row r="43" spans="1:61" ht="15" customHeight="1">
      <c r="A43" s="842"/>
      <c r="B43" s="844"/>
      <c r="C43" s="244" t="s">
        <v>1035</v>
      </c>
      <c r="D43" s="199">
        <v>80</v>
      </c>
      <c r="E43" s="200">
        <v>80</v>
      </c>
      <c r="F43" s="159" t="s">
        <v>1036</v>
      </c>
      <c r="G43" s="160">
        <v>1</v>
      </c>
      <c r="H43" s="160">
        <v>1</v>
      </c>
      <c r="I43" s="160">
        <v>1</v>
      </c>
      <c r="J43" s="160">
        <v>2</v>
      </c>
      <c r="K43" s="160">
        <v>1</v>
      </c>
      <c r="L43" s="161" t="s">
        <v>899</v>
      </c>
      <c r="M43" s="162" t="s">
        <v>677</v>
      </c>
      <c r="N43" s="163">
        <v>0</v>
      </c>
      <c r="O43" s="164">
        <v>-0.6</v>
      </c>
      <c r="P43" s="165">
        <v>0</v>
      </c>
      <c r="Q43" s="166">
        <v>0</v>
      </c>
      <c r="R43" s="167">
        <v>0.3</v>
      </c>
      <c r="S43" s="168">
        <v>0.3</v>
      </c>
      <c r="T43" s="169">
        <v>-0.2</v>
      </c>
      <c r="U43" s="170">
        <v>0</v>
      </c>
      <c r="V43" s="171">
        <v>0.2</v>
      </c>
      <c r="W43" s="172">
        <v>0</v>
      </c>
      <c r="X43" s="173">
        <v>1</v>
      </c>
      <c r="Y43" s="174">
        <v>1</v>
      </c>
      <c r="Z43" s="175" t="s">
        <v>900</v>
      </c>
      <c r="AA43" s="176">
        <v>-4</v>
      </c>
      <c r="AB43" s="177">
        <v>0</v>
      </c>
      <c r="AC43" s="178">
        <v>9</v>
      </c>
      <c r="AD43" s="179">
        <v>1</v>
      </c>
      <c r="AE43" s="187"/>
      <c r="AF43" s="173">
        <v>2</v>
      </c>
      <c r="AG43" s="173">
        <v>4</v>
      </c>
      <c r="AH43" s="195">
        <v>2</v>
      </c>
      <c r="AI43" s="106"/>
      <c r="AJ43" s="106"/>
      <c r="AK43" s="106"/>
      <c r="AL43" s="106"/>
      <c r="AM43" s="106"/>
      <c r="AN43" s="106"/>
      <c r="AO43" s="106"/>
      <c r="AP43" s="106"/>
      <c r="AQ43" s="242" t="s">
        <v>1033</v>
      </c>
      <c r="AR43" s="199">
        <v>80</v>
      </c>
      <c r="AS43" s="200">
        <v>140</v>
      </c>
      <c r="AT43" s="182" t="s">
        <v>639</v>
      </c>
      <c r="AU43" s="182" t="s">
        <v>637</v>
      </c>
      <c r="AV43" s="173">
        <v>2</v>
      </c>
      <c r="AW43" s="173">
        <v>3</v>
      </c>
      <c r="AX43" s="161" t="s">
        <v>899</v>
      </c>
      <c r="AY43" s="179">
        <v>0</v>
      </c>
      <c r="AZ43" s="223">
        <v>2</v>
      </c>
      <c r="BA43" s="70">
        <v>2</v>
      </c>
      <c r="BB43" s="70">
        <v>0</v>
      </c>
      <c r="BC43" s="70">
        <v>0</v>
      </c>
      <c r="BD43" s="189" t="s">
        <v>900</v>
      </c>
      <c r="BE43" s="216">
        <v>-4</v>
      </c>
      <c r="BF43" s="189" t="s">
        <v>982</v>
      </c>
      <c r="BG43" s="191" t="s">
        <v>626</v>
      </c>
      <c r="BH43" s="192">
        <v>1</v>
      </c>
      <c r="BI43" s="193">
        <v>2</v>
      </c>
    </row>
    <row r="44" spans="1:61" ht="15" customHeight="1">
      <c r="A44" s="842"/>
      <c r="B44" s="843" t="s">
        <v>1037</v>
      </c>
      <c r="C44" s="241" t="s">
        <v>1038</v>
      </c>
      <c r="D44" s="199">
        <v>40</v>
      </c>
      <c r="E44" s="200">
        <v>90</v>
      </c>
      <c r="F44" s="159" t="s">
        <v>1039</v>
      </c>
      <c r="G44" s="160">
        <v>-1</v>
      </c>
      <c r="H44" s="160">
        <v>2</v>
      </c>
      <c r="I44" s="160">
        <v>0</v>
      </c>
      <c r="J44" s="160">
        <v>1</v>
      </c>
      <c r="K44" s="160">
        <v>2</v>
      </c>
      <c r="L44" s="161" t="s">
        <v>899</v>
      </c>
      <c r="M44" s="162" t="s">
        <v>665</v>
      </c>
      <c r="N44" s="201">
        <v>0.1</v>
      </c>
      <c r="O44" s="202">
        <v>0.1</v>
      </c>
      <c r="P44" s="165">
        <v>0.1</v>
      </c>
      <c r="Q44" s="166">
        <v>0.1</v>
      </c>
      <c r="R44" s="167">
        <v>0.1</v>
      </c>
      <c r="S44" s="168">
        <v>0.1</v>
      </c>
      <c r="T44" s="169">
        <v>0.1</v>
      </c>
      <c r="U44" s="170">
        <v>0.1</v>
      </c>
      <c r="V44" s="171">
        <v>0.1</v>
      </c>
      <c r="W44" s="172">
        <v>4.5</v>
      </c>
      <c r="X44" s="173">
        <v>-1</v>
      </c>
      <c r="Y44" s="174">
        <v>4</v>
      </c>
      <c r="Z44" s="175" t="s">
        <v>900</v>
      </c>
      <c r="AA44" s="176">
        <v>-7</v>
      </c>
      <c r="AB44" s="177">
        <v>0</v>
      </c>
      <c r="AC44" s="178">
        <v>11.5</v>
      </c>
      <c r="AD44" s="179">
        <v>4</v>
      </c>
      <c r="AE44" s="187"/>
      <c r="AF44" s="173">
        <v>1</v>
      </c>
      <c r="AG44" s="173">
        <v>3</v>
      </c>
      <c r="AH44" s="180">
        <v>0</v>
      </c>
      <c r="AI44" s="106"/>
      <c r="AJ44" s="106"/>
      <c r="AK44" s="106"/>
      <c r="AL44" s="106"/>
      <c r="AM44" s="106"/>
      <c r="AN44" s="106"/>
      <c r="AO44" s="106"/>
      <c r="AP44" s="106"/>
      <c r="AQ44" s="244" t="s">
        <v>1035</v>
      </c>
      <c r="AR44" s="199">
        <v>80</v>
      </c>
      <c r="AS44" s="200">
        <v>80</v>
      </c>
      <c r="AT44" s="182" t="s">
        <v>639</v>
      </c>
      <c r="AU44" s="182" t="s">
        <v>552</v>
      </c>
      <c r="AV44" s="173">
        <v>2</v>
      </c>
      <c r="AW44" s="173">
        <v>4</v>
      </c>
      <c r="AX44" s="161" t="s">
        <v>899</v>
      </c>
      <c r="AY44" s="179">
        <v>2</v>
      </c>
      <c r="AZ44" s="188">
        <v>9</v>
      </c>
      <c r="BA44" s="70">
        <v>-4</v>
      </c>
      <c r="BB44" s="70">
        <v>0</v>
      </c>
      <c r="BC44" s="70">
        <v>1</v>
      </c>
      <c r="BD44" s="189" t="s">
        <v>900</v>
      </c>
      <c r="BE44" s="197">
        <v>-1</v>
      </c>
      <c r="BF44" s="189" t="s">
        <v>1040</v>
      </c>
      <c r="BG44" s="191" t="s">
        <v>628</v>
      </c>
      <c r="BH44" s="192">
        <v>1.5</v>
      </c>
      <c r="BI44" s="193">
        <v>-2</v>
      </c>
    </row>
    <row r="45" spans="1:61" ht="15" customHeight="1">
      <c r="A45" s="842"/>
      <c r="B45" s="844"/>
      <c r="C45" s="242" t="s">
        <v>1041</v>
      </c>
      <c r="D45" s="199">
        <v>60</v>
      </c>
      <c r="E45" s="200">
        <v>100</v>
      </c>
      <c r="F45" s="159" t="s">
        <v>1042</v>
      </c>
      <c r="G45" s="160">
        <v>0</v>
      </c>
      <c r="H45" s="160">
        <v>1</v>
      </c>
      <c r="I45" s="160">
        <v>0</v>
      </c>
      <c r="J45" s="160">
        <v>0</v>
      </c>
      <c r="K45" s="160">
        <v>0</v>
      </c>
      <c r="L45" s="161" t="s">
        <v>899</v>
      </c>
      <c r="M45" s="162" t="s">
        <v>665</v>
      </c>
      <c r="N45" s="201">
        <v>0.1</v>
      </c>
      <c r="O45" s="202">
        <v>0.1</v>
      </c>
      <c r="P45" s="165">
        <v>0.1</v>
      </c>
      <c r="Q45" s="166">
        <v>0.1</v>
      </c>
      <c r="R45" s="167">
        <v>0.1</v>
      </c>
      <c r="S45" s="168">
        <v>0.1</v>
      </c>
      <c r="T45" s="169">
        <v>0.1</v>
      </c>
      <c r="U45" s="170">
        <v>0.1</v>
      </c>
      <c r="V45" s="171">
        <v>0.1</v>
      </c>
      <c r="W45" s="172">
        <v>4.5</v>
      </c>
      <c r="X45" s="173">
        <v>-4</v>
      </c>
      <c r="Y45" s="174">
        <v>1</v>
      </c>
      <c r="Z45" s="175" t="s">
        <v>900</v>
      </c>
      <c r="AA45" s="176">
        <v>-4</v>
      </c>
      <c r="AB45" s="177">
        <v>0</v>
      </c>
      <c r="AC45" s="178">
        <v>11.5</v>
      </c>
      <c r="AD45" s="179">
        <v>1</v>
      </c>
      <c r="AE45" s="187"/>
      <c r="AF45" s="173">
        <v>1</v>
      </c>
      <c r="AG45" s="173">
        <v>0</v>
      </c>
      <c r="AH45" s="180">
        <v>0</v>
      </c>
      <c r="AI45" s="106"/>
      <c r="AJ45" s="106"/>
      <c r="AK45" s="106"/>
      <c r="AL45" s="106"/>
      <c r="AM45" s="106"/>
      <c r="AN45" s="106"/>
      <c r="AO45" s="106"/>
      <c r="AP45" s="106"/>
      <c r="AQ45" s="241" t="s">
        <v>1038</v>
      </c>
      <c r="AR45" s="199">
        <v>50</v>
      </c>
      <c r="AS45" s="200">
        <v>90</v>
      </c>
      <c r="AT45" s="182" t="s">
        <v>546</v>
      </c>
      <c r="AU45" s="182" t="s">
        <v>632</v>
      </c>
      <c r="AV45" s="173">
        <v>3</v>
      </c>
      <c r="AW45" s="173">
        <v>3</v>
      </c>
      <c r="AX45" s="161" t="s">
        <v>899</v>
      </c>
      <c r="AY45" s="179">
        <v>6</v>
      </c>
      <c r="AZ45" s="247">
        <v>11.5</v>
      </c>
      <c r="BA45" s="70">
        <v>-6</v>
      </c>
      <c r="BB45" s="70">
        <v>1</v>
      </c>
      <c r="BC45" s="70">
        <v>0</v>
      </c>
      <c r="BD45" s="189" t="s">
        <v>900</v>
      </c>
      <c r="BE45" s="213">
        <v>3</v>
      </c>
      <c r="BF45" s="189" t="s">
        <v>1007</v>
      </c>
      <c r="BG45" s="191" t="s">
        <v>630</v>
      </c>
      <c r="BH45" s="192">
        <v>1.5</v>
      </c>
      <c r="BI45" s="193">
        <v>-1</v>
      </c>
    </row>
    <row r="46" spans="1:61" ht="15" customHeight="1">
      <c r="A46" s="842"/>
      <c r="B46" s="844"/>
      <c r="C46" s="244" t="s">
        <v>1043</v>
      </c>
      <c r="D46" s="199">
        <v>70</v>
      </c>
      <c r="E46" s="200">
        <v>120</v>
      </c>
      <c r="F46" s="159" t="s">
        <v>1044</v>
      </c>
      <c r="G46" s="160">
        <v>1</v>
      </c>
      <c r="H46" s="160">
        <v>4</v>
      </c>
      <c r="I46" s="160">
        <v>1</v>
      </c>
      <c r="J46" s="160">
        <v>1</v>
      </c>
      <c r="K46" s="160">
        <v>1</v>
      </c>
      <c r="L46" s="161" t="s">
        <v>899</v>
      </c>
      <c r="M46" s="162" t="s">
        <v>665</v>
      </c>
      <c r="N46" s="163">
        <v>0.2</v>
      </c>
      <c r="O46" s="164">
        <v>-0.2</v>
      </c>
      <c r="P46" s="165">
        <v>-0.2</v>
      </c>
      <c r="Q46" s="166">
        <v>-0.2</v>
      </c>
      <c r="R46" s="167">
        <v>0.2</v>
      </c>
      <c r="S46" s="168">
        <v>0.2</v>
      </c>
      <c r="T46" s="169">
        <v>-0.4</v>
      </c>
      <c r="U46" s="170">
        <v>-0.1</v>
      </c>
      <c r="V46" s="171">
        <v>0</v>
      </c>
      <c r="W46" s="172">
        <v>-2.5</v>
      </c>
      <c r="X46" s="173">
        <v>3</v>
      </c>
      <c r="Y46" s="174">
        <v>1</v>
      </c>
      <c r="Z46" s="175" t="s">
        <v>900</v>
      </c>
      <c r="AA46" s="176">
        <v>-1</v>
      </c>
      <c r="AB46" s="177">
        <v>0</v>
      </c>
      <c r="AC46" s="178">
        <v>8.5</v>
      </c>
      <c r="AD46" s="179">
        <v>1</v>
      </c>
      <c r="AE46" s="187"/>
      <c r="AF46" s="173">
        <v>5</v>
      </c>
      <c r="AG46" s="173">
        <v>3</v>
      </c>
      <c r="AH46" s="180">
        <v>0</v>
      </c>
      <c r="AI46" s="106"/>
      <c r="AJ46" s="106"/>
      <c r="AK46" s="106"/>
      <c r="AL46" s="106"/>
      <c r="AM46" s="106"/>
      <c r="AN46" s="106"/>
      <c r="AO46" s="106"/>
      <c r="AP46" s="106"/>
      <c r="AQ46" s="242" t="s">
        <v>1041</v>
      </c>
      <c r="AR46" s="199">
        <v>50</v>
      </c>
      <c r="AS46" s="200">
        <v>140</v>
      </c>
      <c r="AT46" s="182" t="s">
        <v>546</v>
      </c>
      <c r="AU46" s="182" t="s">
        <v>582</v>
      </c>
      <c r="AV46" s="173">
        <v>1</v>
      </c>
      <c r="AW46" s="173">
        <v>0</v>
      </c>
      <c r="AX46" s="161" t="s">
        <v>899</v>
      </c>
      <c r="AY46" s="179">
        <v>1</v>
      </c>
      <c r="AZ46" s="247">
        <v>11.5</v>
      </c>
      <c r="BA46" s="70">
        <v>-1</v>
      </c>
      <c r="BB46" s="70">
        <v>-1</v>
      </c>
      <c r="BC46" s="70">
        <v>-3</v>
      </c>
      <c r="BD46" s="189" t="s">
        <v>900</v>
      </c>
      <c r="BE46" s="213">
        <v>3</v>
      </c>
      <c r="BF46" s="189" t="s">
        <v>1007</v>
      </c>
      <c r="BG46" s="191" t="s">
        <v>632</v>
      </c>
      <c r="BH46" s="192">
        <v>10</v>
      </c>
      <c r="BI46" s="193">
        <v>-1</v>
      </c>
    </row>
    <row r="47" spans="1:61" ht="15" customHeight="1">
      <c r="A47" s="845"/>
      <c r="B47" s="843" t="s">
        <v>1045</v>
      </c>
      <c r="C47" s="241" t="s">
        <v>1046</v>
      </c>
      <c r="D47" s="199">
        <v>100</v>
      </c>
      <c r="E47" s="200">
        <v>100</v>
      </c>
      <c r="F47" s="159" t="s">
        <v>1047</v>
      </c>
      <c r="G47" s="160">
        <v>-1</v>
      </c>
      <c r="H47" s="160">
        <v>0</v>
      </c>
      <c r="I47" s="160">
        <v>-1</v>
      </c>
      <c r="J47" s="160">
        <v>1</v>
      </c>
      <c r="K47" s="160">
        <v>2</v>
      </c>
      <c r="L47" s="161" t="s">
        <v>899</v>
      </c>
      <c r="M47" s="162" t="s">
        <v>681</v>
      </c>
      <c r="N47" s="163">
        <v>0</v>
      </c>
      <c r="O47" s="164">
        <v>0</v>
      </c>
      <c r="P47" s="165">
        <v>0</v>
      </c>
      <c r="Q47" s="166">
        <v>-0.5</v>
      </c>
      <c r="R47" s="167">
        <v>0</v>
      </c>
      <c r="S47" s="168">
        <v>-0.3</v>
      </c>
      <c r="T47" s="169">
        <v>0.3</v>
      </c>
      <c r="U47" s="170">
        <v>0</v>
      </c>
      <c r="V47" s="171">
        <v>0.1</v>
      </c>
      <c r="W47" s="172">
        <v>-2</v>
      </c>
      <c r="X47" s="173">
        <v>-4</v>
      </c>
      <c r="Y47" s="174">
        <v>-6</v>
      </c>
      <c r="Z47" s="175" t="s">
        <v>900</v>
      </c>
      <c r="AA47" s="176">
        <v>0</v>
      </c>
      <c r="AB47" s="177">
        <v>0</v>
      </c>
      <c r="AC47" s="178">
        <v>10</v>
      </c>
      <c r="AD47" s="179">
        <v>-6</v>
      </c>
      <c r="AE47" s="187"/>
      <c r="AF47" s="173">
        <v>-1</v>
      </c>
      <c r="AG47" s="173">
        <v>2</v>
      </c>
      <c r="AH47" s="217">
        <v>4</v>
      </c>
      <c r="AI47" s="106"/>
      <c r="AJ47" s="106"/>
      <c r="AK47" s="106"/>
      <c r="AL47" s="106"/>
      <c r="AM47" s="106"/>
      <c r="AN47" s="106"/>
      <c r="AO47" s="106"/>
      <c r="AP47" s="106"/>
      <c r="AQ47" s="244" t="s">
        <v>1043</v>
      </c>
      <c r="AR47" s="199">
        <v>70</v>
      </c>
      <c r="AS47" s="200">
        <v>120</v>
      </c>
      <c r="AT47" s="182" t="s">
        <v>546</v>
      </c>
      <c r="AU47" s="182" t="s">
        <v>616</v>
      </c>
      <c r="AV47" s="173">
        <v>5</v>
      </c>
      <c r="AW47" s="173">
        <v>3</v>
      </c>
      <c r="AX47" s="161" t="s">
        <v>899</v>
      </c>
      <c r="AY47" s="179">
        <v>2</v>
      </c>
      <c r="AZ47" s="210">
        <v>8.5</v>
      </c>
      <c r="BA47" s="70">
        <v>-1</v>
      </c>
      <c r="BB47" s="70">
        <v>3</v>
      </c>
      <c r="BC47" s="70">
        <v>0</v>
      </c>
      <c r="BD47" s="189" t="s">
        <v>900</v>
      </c>
      <c r="BE47" s="209">
        <v>2</v>
      </c>
      <c r="BF47" s="189" t="s">
        <v>671</v>
      </c>
      <c r="BG47" s="191" t="s">
        <v>634</v>
      </c>
      <c r="BH47" s="192">
        <v>5</v>
      </c>
      <c r="BI47" s="193">
        <v>1</v>
      </c>
    </row>
    <row r="48" spans="1:61" ht="15" customHeight="1">
      <c r="A48" s="846"/>
      <c r="B48" s="844"/>
      <c r="C48" s="242" t="s">
        <v>1048</v>
      </c>
      <c r="D48" s="199">
        <v>100</v>
      </c>
      <c r="E48" s="200">
        <v>100</v>
      </c>
      <c r="F48" s="159" t="s">
        <v>1049</v>
      </c>
      <c r="G48" s="160">
        <v>-1</v>
      </c>
      <c r="H48" s="160">
        <v>2</v>
      </c>
      <c r="I48" s="160">
        <v>2</v>
      </c>
      <c r="J48" s="160">
        <v>1</v>
      </c>
      <c r="K48" s="160">
        <v>1</v>
      </c>
      <c r="L48" s="161" t="s">
        <v>899</v>
      </c>
      <c r="M48" s="162" t="s">
        <v>665</v>
      </c>
      <c r="N48" s="163">
        <v>0</v>
      </c>
      <c r="O48" s="164">
        <v>0</v>
      </c>
      <c r="P48" s="165">
        <v>0</v>
      </c>
      <c r="Q48" s="166">
        <v>-0.3</v>
      </c>
      <c r="R48" s="167">
        <v>0.2</v>
      </c>
      <c r="S48" s="168">
        <v>-0.3</v>
      </c>
      <c r="T48" s="169">
        <v>0.3</v>
      </c>
      <c r="U48" s="170">
        <v>0</v>
      </c>
      <c r="V48" s="171">
        <v>0.6</v>
      </c>
      <c r="W48" s="172">
        <v>2.5</v>
      </c>
      <c r="X48" s="173">
        <v>0</v>
      </c>
      <c r="Y48" s="174">
        <v>3</v>
      </c>
      <c r="Z48" s="175" t="s">
        <v>900</v>
      </c>
      <c r="AA48" s="176">
        <v>0</v>
      </c>
      <c r="AB48" s="177">
        <v>0</v>
      </c>
      <c r="AC48" s="178">
        <v>5.5</v>
      </c>
      <c r="AD48" s="179">
        <v>3</v>
      </c>
      <c r="AE48" s="187"/>
      <c r="AF48" s="173">
        <v>1</v>
      </c>
      <c r="AG48" s="173">
        <v>4</v>
      </c>
      <c r="AH48" s="180">
        <v>0</v>
      </c>
      <c r="AI48" s="106"/>
      <c r="AJ48" s="106"/>
      <c r="AK48" s="106"/>
      <c r="AL48" s="106"/>
      <c r="AM48" s="106"/>
      <c r="AN48" s="106"/>
      <c r="AO48" s="106"/>
      <c r="AP48" s="106"/>
      <c r="AQ48" s="241" t="s">
        <v>1046</v>
      </c>
      <c r="AR48" s="199">
        <v>100</v>
      </c>
      <c r="AS48" s="200">
        <v>100</v>
      </c>
      <c r="AT48" s="182" t="s">
        <v>550</v>
      </c>
      <c r="AU48" s="182" t="s">
        <v>590</v>
      </c>
      <c r="AV48" s="173">
        <v>0</v>
      </c>
      <c r="AW48" s="173">
        <v>3</v>
      </c>
      <c r="AX48" s="161" t="s">
        <v>899</v>
      </c>
      <c r="AY48" s="179">
        <v>-3</v>
      </c>
      <c r="AZ48" s="205">
        <v>10</v>
      </c>
      <c r="BA48" s="70">
        <v>0</v>
      </c>
      <c r="BB48" s="70">
        <v>-2</v>
      </c>
      <c r="BC48" s="70">
        <v>0</v>
      </c>
      <c r="BD48" s="189" t="s">
        <v>900</v>
      </c>
      <c r="BE48" s="197">
        <v>-1</v>
      </c>
      <c r="BF48" s="189" t="s">
        <v>949</v>
      </c>
      <c r="BG48" s="191" t="s">
        <v>636</v>
      </c>
      <c r="BH48" s="192">
        <v>6</v>
      </c>
      <c r="BI48" s="193">
        <v>-3</v>
      </c>
    </row>
    <row r="49" spans="1:61" ht="15" customHeight="1">
      <c r="A49" s="846"/>
      <c r="B49" s="844"/>
      <c r="C49" s="244" t="s">
        <v>1050</v>
      </c>
      <c r="D49" s="199">
        <v>100</v>
      </c>
      <c r="E49" s="200">
        <v>100</v>
      </c>
      <c r="F49" s="159" t="s">
        <v>1051</v>
      </c>
      <c r="G49" s="160">
        <v>-1</v>
      </c>
      <c r="H49" s="160">
        <v>1</v>
      </c>
      <c r="I49" s="160">
        <v>-1</v>
      </c>
      <c r="J49" s="160">
        <v>2</v>
      </c>
      <c r="K49" s="160">
        <v>2</v>
      </c>
      <c r="L49" s="161" t="s">
        <v>899</v>
      </c>
      <c r="M49" s="162" t="s">
        <v>665</v>
      </c>
      <c r="N49" s="163">
        <v>0</v>
      </c>
      <c r="O49" s="164">
        <v>0</v>
      </c>
      <c r="P49" s="165">
        <v>0</v>
      </c>
      <c r="Q49" s="166">
        <v>-0.3</v>
      </c>
      <c r="R49" s="167">
        <v>0</v>
      </c>
      <c r="S49" s="168">
        <v>-0.3</v>
      </c>
      <c r="T49" s="169">
        <v>0.3</v>
      </c>
      <c r="U49" s="170">
        <v>0</v>
      </c>
      <c r="V49" s="171">
        <v>0.3</v>
      </c>
      <c r="W49" s="172">
        <v>0</v>
      </c>
      <c r="X49" s="173">
        <v>-2</v>
      </c>
      <c r="Y49" s="174">
        <v>-2</v>
      </c>
      <c r="Z49" s="175" t="s">
        <v>900</v>
      </c>
      <c r="AA49" s="176">
        <v>0</v>
      </c>
      <c r="AB49" s="177">
        <v>0</v>
      </c>
      <c r="AC49" s="178">
        <v>10</v>
      </c>
      <c r="AD49" s="179">
        <v>-2</v>
      </c>
      <c r="AE49" s="187"/>
      <c r="AF49" s="173">
        <v>0</v>
      </c>
      <c r="AG49" s="173">
        <v>3</v>
      </c>
      <c r="AH49" s="180">
        <v>0</v>
      </c>
      <c r="AI49" s="106"/>
      <c r="AJ49" s="106"/>
      <c r="AK49" s="106"/>
      <c r="AL49" s="106"/>
      <c r="AM49" s="106"/>
      <c r="AN49" s="106"/>
      <c r="AO49" s="106"/>
      <c r="AP49" s="106"/>
      <c r="AQ49" s="242" t="s">
        <v>1048</v>
      </c>
      <c r="AR49" s="199">
        <v>100</v>
      </c>
      <c r="AS49" s="200">
        <v>100</v>
      </c>
      <c r="AT49" s="182" t="s">
        <v>550</v>
      </c>
      <c r="AU49" s="182" t="s">
        <v>570</v>
      </c>
      <c r="AV49" s="173">
        <v>1</v>
      </c>
      <c r="AW49" s="173">
        <v>4</v>
      </c>
      <c r="AX49" s="161" t="s">
        <v>899</v>
      </c>
      <c r="AY49" s="179">
        <v>2</v>
      </c>
      <c r="AZ49" s="208">
        <v>5.5</v>
      </c>
      <c r="BA49" s="70">
        <v>0</v>
      </c>
      <c r="BB49" s="70">
        <v>-1</v>
      </c>
      <c r="BC49" s="70">
        <v>1</v>
      </c>
      <c r="BD49" s="189" t="s">
        <v>900</v>
      </c>
      <c r="BE49" s="222">
        <v>-1</v>
      </c>
      <c r="BF49" s="189" t="s">
        <v>982</v>
      </c>
      <c r="BG49" s="191" t="s">
        <v>637</v>
      </c>
      <c r="BH49" s="192">
        <v>0</v>
      </c>
      <c r="BI49" s="193">
        <v>2</v>
      </c>
    </row>
    <row r="50" spans="1:61" ht="15" customHeight="1">
      <c r="A50" s="248"/>
      <c r="B50" s="837" t="s">
        <v>1052</v>
      </c>
      <c r="C50" s="249" t="s">
        <v>1053</v>
      </c>
      <c r="D50" s="199">
        <v>120</v>
      </c>
      <c r="E50" s="200">
        <v>80</v>
      </c>
      <c r="F50" s="159" t="s">
        <v>1054</v>
      </c>
      <c r="G50" s="160">
        <v>2</v>
      </c>
      <c r="H50" s="160">
        <v>1</v>
      </c>
      <c r="I50" s="160">
        <v>1</v>
      </c>
      <c r="J50" s="160">
        <v>1</v>
      </c>
      <c r="K50" s="160">
        <v>1</v>
      </c>
      <c r="L50" s="161" t="s">
        <v>899</v>
      </c>
      <c r="M50" s="162" t="s">
        <v>665</v>
      </c>
      <c r="N50" s="163">
        <v>0</v>
      </c>
      <c r="O50" s="164">
        <v>0</v>
      </c>
      <c r="P50" s="165">
        <v>0.3</v>
      </c>
      <c r="Q50" s="166">
        <v>0.3</v>
      </c>
      <c r="R50" s="167">
        <v>0</v>
      </c>
      <c r="S50" s="168">
        <v>-0.5</v>
      </c>
      <c r="T50" s="169">
        <v>-0.2</v>
      </c>
      <c r="U50" s="170">
        <v>0</v>
      </c>
      <c r="V50" s="171">
        <v>0</v>
      </c>
      <c r="W50" s="172">
        <v>-0.5</v>
      </c>
      <c r="X50" s="173">
        <v>1</v>
      </c>
      <c r="Y50" s="174">
        <v>1</v>
      </c>
      <c r="Z50" s="175" t="s">
        <v>900</v>
      </c>
      <c r="AA50" s="176">
        <v>0</v>
      </c>
      <c r="AB50" s="177">
        <v>0</v>
      </c>
      <c r="AC50" s="178">
        <v>7.5</v>
      </c>
      <c r="AD50" s="179">
        <v>1</v>
      </c>
      <c r="AE50" s="187"/>
      <c r="AF50" s="173">
        <v>3</v>
      </c>
      <c r="AG50" s="173">
        <v>3</v>
      </c>
      <c r="AH50" s="180">
        <v>0</v>
      </c>
      <c r="AI50" s="106"/>
      <c r="AJ50" s="106"/>
      <c r="AK50" s="106"/>
      <c r="AL50" s="106"/>
      <c r="AM50" s="106"/>
      <c r="AN50" s="106"/>
      <c r="AO50" s="106"/>
      <c r="AP50" s="106"/>
      <c r="AQ50" s="244" t="s">
        <v>1050</v>
      </c>
      <c r="AR50" s="199">
        <v>100</v>
      </c>
      <c r="AS50" s="200">
        <v>100</v>
      </c>
      <c r="AT50" s="182" t="s">
        <v>550</v>
      </c>
      <c r="AU50" s="182" t="s">
        <v>614</v>
      </c>
      <c r="AV50" s="173">
        <v>0</v>
      </c>
      <c r="AW50" s="173">
        <v>3</v>
      </c>
      <c r="AX50" s="161" t="s">
        <v>899</v>
      </c>
      <c r="AY50" s="179">
        <v>-2</v>
      </c>
      <c r="AZ50" s="205">
        <v>10</v>
      </c>
      <c r="BA50" s="70">
        <v>0</v>
      </c>
      <c r="BB50" s="70">
        <v>-2</v>
      </c>
      <c r="BC50" s="70">
        <v>0</v>
      </c>
      <c r="BD50" s="189" t="s">
        <v>900</v>
      </c>
      <c r="BE50" s="204">
        <v>0</v>
      </c>
      <c r="BF50" s="189" t="s">
        <v>1040</v>
      </c>
      <c r="BG50" s="191" t="s">
        <v>639</v>
      </c>
      <c r="BH50" s="192">
        <v>2</v>
      </c>
      <c r="BI50" s="193">
        <v>-2</v>
      </c>
    </row>
    <row r="51" spans="1:61" ht="15" customHeight="1">
      <c r="A51" s="248"/>
      <c r="B51" s="838"/>
      <c r="C51" s="250" t="s">
        <v>1055</v>
      </c>
      <c r="D51" s="199">
        <v>180</v>
      </c>
      <c r="E51" s="200">
        <v>20</v>
      </c>
      <c r="F51" s="159" t="s">
        <v>1056</v>
      </c>
      <c r="G51" s="160">
        <v>2</v>
      </c>
      <c r="H51" s="160">
        <v>0</v>
      </c>
      <c r="I51" s="160">
        <v>2</v>
      </c>
      <c r="J51" s="160">
        <v>0</v>
      </c>
      <c r="K51" s="160">
        <v>0</v>
      </c>
      <c r="L51" s="161" t="s">
        <v>899</v>
      </c>
      <c r="M51" s="162" t="s">
        <v>665</v>
      </c>
      <c r="N51" s="201">
        <v>0.1</v>
      </c>
      <c r="O51" s="202">
        <v>0.1</v>
      </c>
      <c r="P51" s="165">
        <v>0</v>
      </c>
      <c r="Q51" s="166">
        <v>-0.3</v>
      </c>
      <c r="R51" s="167">
        <v>0.3</v>
      </c>
      <c r="S51" s="168">
        <v>-0.9</v>
      </c>
      <c r="T51" s="169">
        <v>0.5</v>
      </c>
      <c r="U51" s="170">
        <v>0</v>
      </c>
      <c r="V51" s="171">
        <v>0</v>
      </c>
      <c r="W51" s="172">
        <v>-1</v>
      </c>
      <c r="X51" s="173">
        <v>-1</v>
      </c>
      <c r="Y51" s="174">
        <v>-2</v>
      </c>
      <c r="Z51" s="175" t="s">
        <v>900</v>
      </c>
      <c r="AA51" s="176">
        <v>0</v>
      </c>
      <c r="AB51" s="177">
        <v>0</v>
      </c>
      <c r="AC51" s="178">
        <v>10</v>
      </c>
      <c r="AD51" s="179">
        <v>-2</v>
      </c>
      <c r="AE51" s="187"/>
      <c r="AF51" s="173">
        <v>2</v>
      </c>
      <c r="AG51" s="173">
        <v>2</v>
      </c>
      <c r="AH51" s="180">
        <v>0</v>
      </c>
      <c r="AI51" s="106"/>
      <c r="AJ51" s="106"/>
      <c r="AK51" s="106"/>
      <c r="AL51" s="106"/>
      <c r="AM51" s="106"/>
      <c r="AN51" s="106"/>
      <c r="AO51" s="106"/>
      <c r="AP51" s="106"/>
      <c r="AQ51" s="249" t="s">
        <v>1053</v>
      </c>
      <c r="AR51" s="199">
        <v>150</v>
      </c>
      <c r="AS51" s="200">
        <v>80</v>
      </c>
      <c r="AT51" s="182" t="s">
        <v>606</v>
      </c>
      <c r="AU51" s="182" t="s">
        <v>584</v>
      </c>
      <c r="AV51" s="173">
        <v>3</v>
      </c>
      <c r="AW51" s="173">
        <v>3</v>
      </c>
      <c r="AX51" s="161" t="s">
        <v>899</v>
      </c>
      <c r="AY51" s="179">
        <v>2</v>
      </c>
      <c r="AZ51" s="251">
        <v>7.5</v>
      </c>
      <c r="BA51" s="70">
        <v>3</v>
      </c>
      <c r="BB51" s="70">
        <v>1</v>
      </c>
      <c r="BC51" s="70">
        <v>0</v>
      </c>
      <c r="BD51" s="189" t="s">
        <v>900</v>
      </c>
      <c r="BE51" s="252">
        <v>5</v>
      </c>
      <c r="BF51" s="189" t="s">
        <v>927</v>
      </c>
      <c r="BG51" s="191" t="s">
        <v>641</v>
      </c>
      <c r="BH51" s="192">
        <v>3</v>
      </c>
      <c r="BI51" s="207">
        <v>5</v>
      </c>
    </row>
    <row r="52" spans="1:61" ht="15" customHeight="1">
      <c r="A52" s="248"/>
      <c r="B52" s="838"/>
      <c r="C52" s="253" t="s">
        <v>1057</v>
      </c>
      <c r="D52" s="199">
        <v>320</v>
      </c>
      <c r="E52" s="200">
        <v>40</v>
      </c>
      <c r="F52" s="159" t="s">
        <v>1058</v>
      </c>
      <c r="G52" s="160">
        <v>2</v>
      </c>
      <c r="H52" s="160">
        <v>1</v>
      </c>
      <c r="I52" s="160">
        <v>1</v>
      </c>
      <c r="J52" s="160">
        <v>0</v>
      </c>
      <c r="K52" s="160">
        <v>0</v>
      </c>
      <c r="L52" s="161" t="s">
        <v>671</v>
      </c>
      <c r="M52" s="162" t="s">
        <v>681</v>
      </c>
      <c r="N52" s="201">
        <v>0</v>
      </c>
      <c r="O52" s="202">
        <v>0</v>
      </c>
      <c r="P52" s="165">
        <v>0.2</v>
      </c>
      <c r="Q52" s="166">
        <v>0.2</v>
      </c>
      <c r="R52" s="167">
        <v>0.6</v>
      </c>
      <c r="S52" s="168">
        <v>-1</v>
      </c>
      <c r="T52" s="169">
        <v>0.6</v>
      </c>
      <c r="U52" s="170">
        <v>0</v>
      </c>
      <c r="V52" s="171">
        <v>0</v>
      </c>
      <c r="W52" s="172">
        <v>3</v>
      </c>
      <c r="X52" s="173">
        <v>-1</v>
      </c>
      <c r="Y52" s="174">
        <v>2</v>
      </c>
      <c r="Z52" s="175" t="s">
        <v>1059</v>
      </c>
      <c r="AA52" s="176">
        <v>16</v>
      </c>
      <c r="AB52" s="177">
        <v>0</v>
      </c>
      <c r="AC52" s="178">
        <v>-2</v>
      </c>
      <c r="AD52" s="179">
        <v>-10</v>
      </c>
      <c r="AE52" s="187"/>
      <c r="AF52" s="173">
        <v>3</v>
      </c>
      <c r="AG52" s="173">
        <v>1</v>
      </c>
      <c r="AH52" s="217">
        <v>4</v>
      </c>
      <c r="AI52" s="106"/>
      <c r="AJ52" s="106"/>
      <c r="AK52" s="106"/>
      <c r="AL52" s="106"/>
      <c r="AM52" s="106"/>
      <c r="AN52" s="106"/>
      <c r="AO52" s="106"/>
      <c r="AP52" s="106"/>
      <c r="AQ52" s="250" t="s">
        <v>1055</v>
      </c>
      <c r="AR52" s="199">
        <v>180</v>
      </c>
      <c r="AS52" s="200">
        <v>20</v>
      </c>
      <c r="AT52" s="182" t="s">
        <v>606</v>
      </c>
      <c r="AU52" s="182" t="s">
        <v>568</v>
      </c>
      <c r="AV52" s="173">
        <v>2</v>
      </c>
      <c r="AW52" s="173">
        <v>2</v>
      </c>
      <c r="AX52" s="161" t="s">
        <v>899</v>
      </c>
      <c r="AY52" s="179">
        <v>-1</v>
      </c>
      <c r="AZ52" s="205">
        <v>10</v>
      </c>
      <c r="BA52" s="70">
        <v>0</v>
      </c>
      <c r="BB52" s="70">
        <v>0</v>
      </c>
      <c r="BC52" s="70">
        <v>-1</v>
      </c>
      <c r="BD52" s="189" t="s">
        <v>900</v>
      </c>
      <c r="BE52" s="190">
        <v>1</v>
      </c>
      <c r="BF52" s="189" t="s">
        <v>943</v>
      </c>
      <c r="BG52" s="191" t="s">
        <v>643</v>
      </c>
      <c r="BH52" s="192">
        <v>5</v>
      </c>
      <c r="BI52" s="193">
        <v>-1</v>
      </c>
    </row>
    <row r="53" spans="1:61" ht="15" customHeight="1">
      <c r="A53" s="839" t="s">
        <v>1060</v>
      </c>
      <c r="B53" s="837" t="s">
        <v>1061</v>
      </c>
      <c r="C53" s="249" t="s">
        <v>1062</v>
      </c>
      <c r="D53" s="199">
        <v>100</v>
      </c>
      <c r="E53" s="200">
        <v>65</v>
      </c>
      <c r="F53" s="159" t="s">
        <v>1063</v>
      </c>
      <c r="G53" s="160">
        <v>1</v>
      </c>
      <c r="H53" s="160">
        <v>1</v>
      </c>
      <c r="I53" s="160">
        <v>0</v>
      </c>
      <c r="J53" s="160">
        <v>0</v>
      </c>
      <c r="K53" s="160">
        <v>0</v>
      </c>
      <c r="L53" s="161" t="s">
        <v>899</v>
      </c>
      <c r="M53" s="162" t="s">
        <v>1064</v>
      </c>
      <c r="N53" s="163">
        <v>0.1</v>
      </c>
      <c r="O53" s="164">
        <v>0.1</v>
      </c>
      <c r="P53" s="165">
        <v>-0.3</v>
      </c>
      <c r="Q53" s="166">
        <v>-0.3</v>
      </c>
      <c r="R53" s="167">
        <v>0.2</v>
      </c>
      <c r="S53" s="168">
        <v>-0.4</v>
      </c>
      <c r="T53" s="169">
        <v>-0.6</v>
      </c>
      <c r="U53" s="170">
        <v>0.1</v>
      </c>
      <c r="V53" s="171">
        <v>0.1</v>
      </c>
      <c r="W53" s="172">
        <v>-5</v>
      </c>
      <c r="X53" s="173">
        <v>-3</v>
      </c>
      <c r="Y53" s="174">
        <v>-8</v>
      </c>
      <c r="Z53" s="175" t="s">
        <v>900</v>
      </c>
      <c r="AA53" s="176">
        <v>-4</v>
      </c>
      <c r="AB53" s="177">
        <v>0</v>
      </c>
      <c r="AC53" s="178">
        <v>10</v>
      </c>
      <c r="AD53" s="179">
        <v>-8</v>
      </c>
      <c r="AE53" s="187"/>
      <c r="AF53" s="173">
        <v>2</v>
      </c>
      <c r="AG53" s="173">
        <v>0</v>
      </c>
      <c r="AH53" s="254">
        <v>10</v>
      </c>
      <c r="AI53" s="106"/>
      <c r="AJ53" s="106"/>
      <c r="AK53" s="106"/>
      <c r="AL53" s="106"/>
      <c r="AM53" s="106"/>
      <c r="AN53" s="106"/>
      <c r="AO53" s="106"/>
      <c r="AP53" s="106"/>
      <c r="AQ53" s="253" t="s">
        <v>1057</v>
      </c>
      <c r="AR53" s="199">
        <v>350</v>
      </c>
      <c r="AS53" s="200">
        <v>50</v>
      </c>
      <c r="AT53" s="182" t="s">
        <v>606</v>
      </c>
      <c r="AU53" s="182" t="s">
        <v>594</v>
      </c>
      <c r="AV53" s="173">
        <v>4</v>
      </c>
      <c r="AW53" s="173">
        <v>2</v>
      </c>
      <c r="AX53" s="161" t="s">
        <v>671</v>
      </c>
      <c r="AY53" s="179">
        <v>-4</v>
      </c>
      <c r="AZ53" s="255">
        <v>-2</v>
      </c>
      <c r="BA53" s="70">
        <v>20</v>
      </c>
      <c r="BB53" s="70">
        <v>2</v>
      </c>
      <c r="BC53" s="70">
        <v>-1</v>
      </c>
      <c r="BD53" s="189" t="s">
        <v>1065</v>
      </c>
      <c r="BE53" s="243">
        <v>2</v>
      </c>
      <c r="BF53" s="189" t="s">
        <v>1066</v>
      </c>
      <c r="BG53" s="106"/>
      <c r="BH53" s="106"/>
      <c r="BI53" s="207">
        <v>12</v>
      </c>
    </row>
    <row r="54" spans="1:61" ht="15" customHeight="1">
      <c r="A54" s="840"/>
      <c r="B54" s="838"/>
      <c r="C54" s="250" t="s">
        <v>1067</v>
      </c>
      <c r="D54" s="199">
        <v>100</v>
      </c>
      <c r="E54" s="200">
        <v>100</v>
      </c>
      <c r="F54" s="159" t="s">
        <v>1068</v>
      </c>
      <c r="G54" s="160">
        <v>2</v>
      </c>
      <c r="H54" s="160">
        <v>1</v>
      </c>
      <c r="I54" s="160">
        <v>1</v>
      </c>
      <c r="J54" s="160">
        <v>1</v>
      </c>
      <c r="K54" s="160">
        <v>1</v>
      </c>
      <c r="L54" s="161" t="s">
        <v>899</v>
      </c>
      <c r="M54" s="162" t="s">
        <v>665</v>
      </c>
      <c r="N54" s="163">
        <v>0</v>
      </c>
      <c r="O54" s="164">
        <v>0</v>
      </c>
      <c r="P54" s="165">
        <v>0</v>
      </c>
      <c r="Q54" s="166">
        <v>0</v>
      </c>
      <c r="R54" s="167">
        <v>0</v>
      </c>
      <c r="S54" s="168">
        <v>0</v>
      </c>
      <c r="T54" s="169">
        <v>0</v>
      </c>
      <c r="U54" s="170">
        <v>0</v>
      </c>
      <c r="V54" s="171">
        <v>0</v>
      </c>
      <c r="W54" s="172">
        <v>0</v>
      </c>
      <c r="X54" s="173">
        <v>1</v>
      </c>
      <c r="Y54" s="174">
        <v>1</v>
      </c>
      <c r="Z54" s="175" t="s">
        <v>900</v>
      </c>
      <c r="AA54" s="176">
        <v>0</v>
      </c>
      <c r="AB54" s="177">
        <v>0</v>
      </c>
      <c r="AC54" s="178">
        <v>7</v>
      </c>
      <c r="AD54" s="179">
        <v>1</v>
      </c>
      <c r="AE54" s="187"/>
      <c r="AF54" s="173">
        <v>3</v>
      </c>
      <c r="AG54" s="173">
        <v>3</v>
      </c>
      <c r="AH54" s="180">
        <v>0</v>
      </c>
      <c r="AI54" s="106"/>
      <c r="AJ54" s="106"/>
      <c r="AK54" s="106"/>
      <c r="AL54" s="106"/>
      <c r="AM54" s="106"/>
      <c r="AN54" s="106"/>
      <c r="AO54" s="106"/>
      <c r="AP54" s="106"/>
      <c r="AQ54" s="249" t="s">
        <v>1062</v>
      </c>
      <c r="AR54" s="199">
        <v>125</v>
      </c>
      <c r="AS54" s="200">
        <v>85</v>
      </c>
      <c r="AT54" s="182" t="s">
        <v>562</v>
      </c>
      <c r="AU54" s="182" t="s">
        <v>612</v>
      </c>
      <c r="AV54" s="173">
        <v>2</v>
      </c>
      <c r="AW54" s="173">
        <v>3</v>
      </c>
      <c r="AX54" s="161" t="s">
        <v>899</v>
      </c>
      <c r="AY54" s="179">
        <v>1</v>
      </c>
      <c r="AZ54" s="205">
        <v>10</v>
      </c>
      <c r="BA54" s="70">
        <v>1</v>
      </c>
      <c r="BB54" s="70">
        <v>0</v>
      </c>
      <c r="BC54" s="70">
        <v>0</v>
      </c>
      <c r="BD54" s="189" t="s">
        <v>900</v>
      </c>
      <c r="BE54" s="256">
        <v>4</v>
      </c>
      <c r="BF54" s="189" t="s">
        <v>982</v>
      </c>
      <c r="BG54" s="106"/>
      <c r="BH54" s="106"/>
      <c r="BI54" s="193">
        <v>2</v>
      </c>
    </row>
    <row r="55" spans="1:61" ht="15" customHeight="1">
      <c r="A55" s="840"/>
      <c r="B55" s="838"/>
      <c r="C55" s="253" t="s">
        <v>1069</v>
      </c>
      <c r="D55" s="199">
        <v>80</v>
      </c>
      <c r="E55" s="200">
        <v>80</v>
      </c>
      <c r="F55" s="159" t="s">
        <v>1070</v>
      </c>
      <c r="G55" s="160">
        <v>4</v>
      </c>
      <c r="H55" s="160">
        <v>-1</v>
      </c>
      <c r="I55" s="160">
        <v>2</v>
      </c>
      <c r="J55" s="160">
        <v>0</v>
      </c>
      <c r="K55" s="160">
        <v>2</v>
      </c>
      <c r="L55" s="161" t="s">
        <v>899</v>
      </c>
      <c r="M55" s="162" t="s">
        <v>677</v>
      </c>
      <c r="N55" s="201">
        <v>0.1</v>
      </c>
      <c r="O55" s="202">
        <v>0.1</v>
      </c>
      <c r="P55" s="165">
        <v>0.1</v>
      </c>
      <c r="Q55" s="166">
        <v>0.1</v>
      </c>
      <c r="R55" s="167">
        <v>0.1</v>
      </c>
      <c r="S55" s="168">
        <v>0.1</v>
      </c>
      <c r="T55" s="169">
        <v>0.1</v>
      </c>
      <c r="U55" s="170">
        <v>0.1</v>
      </c>
      <c r="V55" s="171">
        <v>0.1</v>
      </c>
      <c r="W55" s="172">
        <v>4.5</v>
      </c>
      <c r="X55" s="173">
        <v>2</v>
      </c>
      <c r="Y55" s="174">
        <v>7</v>
      </c>
      <c r="Z55" s="175" t="s">
        <v>900</v>
      </c>
      <c r="AA55" s="176">
        <v>-4</v>
      </c>
      <c r="AB55" s="177">
        <v>0</v>
      </c>
      <c r="AC55" s="178">
        <v>3.5</v>
      </c>
      <c r="AD55" s="179">
        <v>7</v>
      </c>
      <c r="AE55" s="187"/>
      <c r="AF55" s="173">
        <v>3</v>
      </c>
      <c r="AG55" s="173">
        <v>4</v>
      </c>
      <c r="AH55" s="195">
        <v>2</v>
      </c>
      <c r="AI55" s="106"/>
      <c r="AJ55" s="106"/>
      <c r="AK55" s="106"/>
      <c r="AL55" s="106"/>
      <c r="AM55" s="106"/>
      <c r="AN55" s="106"/>
      <c r="AO55" s="106"/>
      <c r="AP55" s="106"/>
      <c r="AQ55" s="250" t="s">
        <v>1067</v>
      </c>
      <c r="AR55" s="199">
        <v>100</v>
      </c>
      <c r="AS55" s="200">
        <v>100</v>
      </c>
      <c r="AT55" s="182" t="s">
        <v>562</v>
      </c>
      <c r="AU55" s="182" t="s">
        <v>586</v>
      </c>
      <c r="AV55" s="173">
        <v>2</v>
      </c>
      <c r="AW55" s="173">
        <v>3</v>
      </c>
      <c r="AX55" s="161" t="s">
        <v>899</v>
      </c>
      <c r="AY55" s="179">
        <v>0</v>
      </c>
      <c r="AZ55" s="196">
        <v>7</v>
      </c>
      <c r="BA55" s="70">
        <v>0</v>
      </c>
      <c r="BB55" s="70">
        <v>0</v>
      </c>
      <c r="BC55" s="70">
        <v>0</v>
      </c>
      <c r="BD55" s="189" t="s">
        <v>900</v>
      </c>
      <c r="BE55" s="197">
        <v>-1</v>
      </c>
      <c r="BF55" s="189" t="s">
        <v>900</v>
      </c>
      <c r="BG55" s="106"/>
      <c r="BH55" s="106"/>
      <c r="BI55" s="193">
        <v>0</v>
      </c>
    </row>
    <row r="56" spans="1:61" ht="15" customHeight="1">
      <c r="A56" s="840"/>
      <c r="B56" s="837" t="s">
        <v>1071</v>
      </c>
      <c r="C56" s="249" t="s">
        <v>1072</v>
      </c>
      <c r="D56" s="199">
        <v>100</v>
      </c>
      <c r="E56" s="200">
        <v>180</v>
      </c>
      <c r="F56" s="159" t="s">
        <v>1073</v>
      </c>
      <c r="G56" s="160">
        <v>-5</v>
      </c>
      <c r="H56" s="160">
        <v>2</v>
      </c>
      <c r="I56" s="160">
        <v>1</v>
      </c>
      <c r="J56" s="160">
        <v>1</v>
      </c>
      <c r="K56" s="160">
        <v>2</v>
      </c>
      <c r="L56" s="161" t="s">
        <v>899</v>
      </c>
      <c r="M56" s="162" t="s">
        <v>665</v>
      </c>
      <c r="N56" s="163">
        <v>0.2</v>
      </c>
      <c r="O56" s="164">
        <v>-0.8</v>
      </c>
      <c r="P56" s="165">
        <v>0.1</v>
      </c>
      <c r="Q56" s="166">
        <v>0.1</v>
      </c>
      <c r="R56" s="167">
        <v>0.2</v>
      </c>
      <c r="S56" s="168">
        <v>-0.8</v>
      </c>
      <c r="T56" s="169">
        <v>0.4</v>
      </c>
      <c r="U56" s="170">
        <v>0.4</v>
      </c>
      <c r="V56" s="171">
        <v>0.4</v>
      </c>
      <c r="W56" s="172">
        <v>1</v>
      </c>
      <c r="X56" s="173">
        <v>-4</v>
      </c>
      <c r="Y56" s="174">
        <v>-3</v>
      </c>
      <c r="Z56" s="175" t="s">
        <v>900</v>
      </c>
      <c r="AA56" s="176">
        <v>8</v>
      </c>
      <c r="AB56" s="257">
        <v>0</v>
      </c>
      <c r="AC56" s="178">
        <v>3</v>
      </c>
      <c r="AD56" s="179">
        <v>-3</v>
      </c>
      <c r="AE56" s="187"/>
      <c r="AF56" s="173">
        <v>-3</v>
      </c>
      <c r="AG56" s="173">
        <v>4</v>
      </c>
      <c r="AH56" s="180">
        <v>0</v>
      </c>
      <c r="AI56" s="106"/>
      <c r="AJ56" s="106"/>
      <c r="AK56" s="106"/>
      <c r="AL56" s="106"/>
      <c r="AM56" s="106"/>
      <c r="AN56" s="106"/>
      <c r="AO56" s="106"/>
      <c r="AP56" s="106"/>
      <c r="AQ56" s="253" t="s">
        <v>1069</v>
      </c>
      <c r="AR56" s="199">
        <v>80</v>
      </c>
      <c r="AS56" s="200">
        <v>80</v>
      </c>
      <c r="AT56" s="182" t="s">
        <v>562</v>
      </c>
      <c r="AU56" s="182" t="s">
        <v>630</v>
      </c>
      <c r="AV56" s="173">
        <v>3</v>
      </c>
      <c r="AW56" s="173">
        <v>2</v>
      </c>
      <c r="AX56" s="161" t="s">
        <v>899</v>
      </c>
      <c r="AY56" s="179">
        <v>5</v>
      </c>
      <c r="AZ56" s="237">
        <v>3.5</v>
      </c>
      <c r="BA56" s="70">
        <v>-4</v>
      </c>
      <c r="BB56" s="70">
        <v>1</v>
      </c>
      <c r="BC56" s="70">
        <v>-1</v>
      </c>
      <c r="BD56" s="189" t="s">
        <v>900</v>
      </c>
      <c r="BE56" s="216">
        <v>-4</v>
      </c>
      <c r="BF56" s="189" t="s">
        <v>937</v>
      </c>
      <c r="BG56" s="106"/>
      <c r="BH56" s="106"/>
      <c r="BI56" s="193">
        <v>1</v>
      </c>
    </row>
    <row r="57" spans="1:61" ht="15" customHeight="1">
      <c r="A57" s="840"/>
      <c r="B57" s="838"/>
      <c r="C57" s="250" t="s">
        <v>1074</v>
      </c>
      <c r="D57" s="199">
        <v>90</v>
      </c>
      <c r="E57" s="200">
        <v>80</v>
      </c>
      <c r="F57" s="159" t="s">
        <v>1075</v>
      </c>
      <c r="G57" s="160">
        <v>2</v>
      </c>
      <c r="H57" s="160">
        <v>2</v>
      </c>
      <c r="I57" s="160">
        <v>1</v>
      </c>
      <c r="J57" s="160">
        <v>0</v>
      </c>
      <c r="K57" s="160">
        <v>2</v>
      </c>
      <c r="L57" s="161" t="s">
        <v>899</v>
      </c>
      <c r="M57" s="162" t="s">
        <v>665</v>
      </c>
      <c r="N57" s="201">
        <v>0.4</v>
      </c>
      <c r="O57" s="202">
        <v>0.3</v>
      </c>
      <c r="P57" s="165">
        <v>0</v>
      </c>
      <c r="Q57" s="166">
        <v>0</v>
      </c>
      <c r="R57" s="167">
        <v>0</v>
      </c>
      <c r="S57" s="168">
        <v>0</v>
      </c>
      <c r="T57" s="169">
        <v>0</v>
      </c>
      <c r="U57" s="170">
        <v>0</v>
      </c>
      <c r="V57" s="171">
        <v>0</v>
      </c>
      <c r="W57" s="172">
        <v>3.5</v>
      </c>
      <c r="X57" s="173">
        <v>2</v>
      </c>
      <c r="Y57" s="174">
        <v>6</v>
      </c>
      <c r="Z57" s="175" t="s">
        <v>900</v>
      </c>
      <c r="AA57" s="176">
        <v>-3</v>
      </c>
      <c r="AB57" s="177">
        <v>0</v>
      </c>
      <c r="AC57" s="178">
        <v>5.5</v>
      </c>
      <c r="AD57" s="179">
        <v>6</v>
      </c>
      <c r="AE57" s="187"/>
      <c r="AF57" s="173">
        <v>4</v>
      </c>
      <c r="AG57" s="173">
        <v>3</v>
      </c>
      <c r="AH57" s="180">
        <v>0</v>
      </c>
      <c r="AI57" s="106"/>
      <c r="AJ57" s="106"/>
      <c r="AK57" s="106"/>
      <c r="AL57" s="106"/>
      <c r="AM57" s="106"/>
      <c r="AN57" s="106"/>
      <c r="AO57" s="106"/>
      <c r="AP57" s="106"/>
      <c r="AQ57" s="249" t="s">
        <v>1072</v>
      </c>
      <c r="AR57" s="199">
        <v>100</v>
      </c>
      <c r="AS57" s="200">
        <v>180</v>
      </c>
      <c r="AT57" s="182" t="s">
        <v>560</v>
      </c>
      <c r="AU57" s="182" t="s">
        <v>637</v>
      </c>
      <c r="AV57" s="173">
        <v>-3</v>
      </c>
      <c r="AW57" s="173">
        <v>1</v>
      </c>
      <c r="AX57" s="161" t="s">
        <v>899</v>
      </c>
      <c r="AY57" s="179">
        <v>-7</v>
      </c>
      <c r="AZ57" s="235">
        <v>3</v>
      </c>
      <c r="BA57" s="70">
        <v>8</v>
      </c>
      <c r="BB57" s="70">
        <v>-5</v>
      </c>
      <c r="BC57" s="70">
        <v>-2</v>
      </c>
      <c r="BD57" s="189" t="s">
        <v>900</v>
      </c>
      <c r="BE57" s="216">
        <v>-4</v>
      </c>
      <c r="BF57" s="189" t="s">
        <v>671</v>
      </c>
      <c r="BG57" s="106"/>
      <c r="BH57" s="106"/>
      <c r="BI57" s="193">
        <v>1</v>
      </c>
    </row>
    <row r="58" spans="1:61" ht="15" customHeight="1">
      <c r="A58" s="840"/>
      <c r="B58" s="838"/>
      <c r="C58" s="253" t="s">
        <v>1076</v>
      </c>
      <c r="D58" s="199">
        <v>80</v>
      </c>
      <c r="E58" s="200">
        <v>70</v>
      </c>
      <c r="F58" s="159" t="s">
        <v>1077</v>
      </c>
      <c r="G58" s="160">
        <v>1</v>
      </c>
      <c r="H58" s="160">
        <v>1</v>
      </c>
      <c r="I58" s="160">
        <v>1</v>
      </c>
      <c r="J58" s="160">
        <v>1</v>
      </c>
      <c r="K58" s="160">
        <v>1</v>
      </c>
      <c r="L58" s="161" t="s">
        <v>899</v>
      </c>
      <c r="M58" s="162" t="s">
        <v>665</v>
      </c>
      <c r="N58" s="163">
        <v>0</v>
      </c>
      <c r="O58" s="164">
        <v>0.2</v>
      </c>
      <c r="P58" s="165">
        <v>0.5</v>
      </c>
      <c r="Q58" s="166">
        <v>0</v>
      </c>
      <c r="R58" s="167">
        <v>0.2</v>
      </c>
      <c r="S58" s="168">
        <v>0.2</v>
      </c>
      <c r="T58" s="169">
        <v>0.2</v>
      </c>
      <c r="U58" s="170">
        <v>0.2</v>
      </c>
      <c r="V58" s="171">
        <v>0.2</v>
      </c>
      <c r="W58" s="172">
        <v>8.5</v>
      </c>
      <c r="X58" s="173">
        <v>0</v>
      </c>
      <c r="Y58" s="174">
        <v>9</v>
      </c>
      <c r="Z58" s="175" t="s">
        <v>900</v>
      </c>
      <c r="AA58" s="176">
        <v>-5</v>
      </c>
      <c r="AB58" s="258">
        <v>0</v>
      </c>
      <c r="AC58" s="178">
        <v>4.5</v>
      </c>
      <c r="AD58" s="179">
        <v>9</v>
      </c>
      <c r="AE58" s="187"/>
      <c r="AF58" s="173">
        <v>2</v>
      </c>
      <c r="AG58" s="173">
        <v>3</v>
      </c>
      <c r="AH58" s="180">
        <v>0</v>
      </c>
      <c r="AI58" s="106"/>
      <c r="AJ58" s="106"/>
      <c r="AK58" s="106"/>
      <c r="AL58" s="106"/>
      <c r="AM58" s="106"/>
      <c r="AN58" s="106"/>
      <c r="AO58" s="106"/>
      <c r="AP58" s="106"/>
      <c r="AQ58" s="250" t="s">
        <v>1074</v>
      </c>
      <c r="AR58" s="199">
        <v>70</v>
      </c>
      <c r="AS58" s="200">
        <v>70</v>
      </c>
      <c r="AT58" s="182" t="s">
        <v>560</v>
      </c>
      <c r="AU58" s="182" t="s">
        <v>558</v>
      </c>
      <c r="AV58" s="173">
        <v>4</v>
      </c>
      <c r="AW58" s="173">
        <v>3</v>
      </c>
      <c r="AX58" s="161" t="s">
        <v>899</v>
      </c>
      <c r="AY58" s="179">
        <v>5</v>
      </c>
      <c r="AZ58" s="208">
        <v>5.5</v>
      </c>
      <c r="BA58" s="70">
        <v>-6</v>
      </c>
      <c r="BB58" s="70">
        <v>2</v>
      </c>
      <c r="BC58" s="70">
        <v>0</v>
      </c>
      <c r="BD58" s="189" t="s">
        <v>900</v>
      </c>
      <c r="BE58" s="232">
        <v>-4</v>
      </c>
      <c r="BF58" s="189" t="s">
        <v>943</v>
      </c>
      <c r="BG58" s="106"/>
      <c r="BH58" s="106"/>
      <c r="BI58" s="193">
        <v>-1</v>
      </c>
    </row>
    <row r="59" spans="1:61" ht="15" customHeight="1">
      <c r="A59" s="248"/>
      <c r="B59" s="837" t="s">
        <v>1078</v>
      </c>
      <c r="C59" s="249" t="s">
        <v>1079</v>
      </c>
      <c r="D59" s="199">
        <v>20</v>
      </c>
      <c r="E59" s="200">
        <v>200</v>
      </c>
      <c r="F59" s="159" t="s">
        <v>1080</v>
      </c>
      <c r="G59" s="160">
        <v>2</v>
      </c>
      <c r="H59" s="160">
        <v>2</v>
      </c>
      <c r="I59" s="160">
        <v>1</v>
      </c>
      <c r="J59" s="160">
        <v>1</v>
      </c>
      <c r="K59" s="160">
        <v>1</v>
      </c>
      <c r="L59" s="161" t="s">
        <v>899</v>
      </c>
      <c r="M59" s="162" t="s">
        <v>665</v>
      </c>
      <c r="N59" s="201">
        <v>0</v>
      </c>
      <c r="O59" s="202">
        <v>0</v>
      </c>
      <c r="P59" s="165">
        <v>0</v>
      </c>
      <c r="Q59" s="166">
        <v>0</v>
      </c>
      <c r="R59" s="167">
        <v>0</v>
      </c>
      <c r="S59" s="168">
        <v>0</v>
      </c>
      <c r="T59" s="169">
        <v>0.2</v>
      </c>
      <c r="U59" s="170">
        <v>0</v>
      </c>
      <c r="V59" s="171">
        <v>0</v>
      </c>
      <c r="W59" s="172">
        <v>1</v>
      </c>
      <c r="X59" s="173">
        <v>2</v>
      </c>
      <c r="Y59" s="174">
        <v>3</v>
      </c>
      <c r="Z59" s="175" t="s">
        <v>900</v>
      </c>
      <c r="AA59" s="176">
        <v>2</v>
      </c>
      <c r="AB59" s="177">
        <v>0</v>
      </c>
      <c r="AC59" s="178">
        <v>3</v>
      </c>
      <c r="AD59" s="179">
        <v>3</v>
      </c>
      <c r="AE59" s="187"/>
      <c r="AF59" s="173">
        <v>4</v>
      </c>
      <c r="AG59" s="173">
        <v>3</v>
      </c>
      <c r="AH59" s="180">
        <v>0</v>
      </c>
      <c r="AI59" s="106"/>
      <c r="AJ59" s="106"/>
      <c r="AK59" s="106"/>
      <c r="AL59" s="106"/>
      <c r="AM59" s="106"/>
      <c r="AN59" s="106"/>
      <c r="AO59" s="106"/>
      <c r="AP59" s="106"/>
      <c r="AQ59" s="253" t="s">
        <v>1076</v>
      </c>
      <c r="AR59" s="199">
        <v>80</v>
      </c>
      <c r="AS59" s="200">
        <v>70</v>
      </c>
      <c r="AT59" s="182" t="s">
        <v>560</v>
      </c>
      <c r="AU59" s="182" t="s">
        <v>588</v>
      </c>
      <c r="AV59" s="173">
        <v>2</v>
      </c>
      <c r="AW59" s="173">
        <v>3</v>
      </c>
      <c r="AX59" s="161" t="s">
        <v>899</v>
      </c>
      <c r="AY59" s="179">
        <v>7</v>
      </c>
      <c r="AZ59" s="259">
        <v>4.5</v>
      </c>
      <c r="BA59" s="70">
        <v>-5</v>
      </c>
      <c r="BB59" s="70">
        <v>0</v>
      </c>
      <c r="BC59" s="70">
        <v>0</v>
      </c>
      <c r="BD59" s="189" t="s">
        <v>900</v>
      </c>
      <c r="BE59" s="215">
        <v>-2</v>
      </c>
      <c r="BF59" s="189" t="s">
        <v>1003</v>
      </c>
      <c r="BG59" s="106"/>
      <c r="BH59" s="106"/>
      <c r="BI59" s="193">
        <v>2</v>
      </c>
    </row>
    <row r="60" spans="1:61" ht="15" customHeight="1">
      <c r="A60" s="248"/>
      <c r="B60" s="838"/>
      <c r="C60" s="250" t="s">
        <v>1081</v>
      </c>
      <c r="D60" s="199">
        <v>180</v>
      </c>
      <c r="E60" s="200">
        <v>50</v>
      </c>
      <c r="F60" s="159" t="s">
        <v>1082</v>
      </c>
      <c r="G60" s="160">
        <v>3</v>
      </c>
      <c r="H60" s="160">
        <v>0</v>
      </c>
      <c r="I60" s="160">
        <v>1</v>
      </c>
      <c r="J60" s="160">
        <v>0</v>
      </c>
      <c r="K60" s="160">
        <v>-1</v>
      </c>
      <c r="L60" s="161" t="s">
        <v>899</v>
      </c>
      <c r="M60" s="162" t="s">
        <v>677</v>
      </c>
      <c r="N60" s="163">
        <v>0.2</v>
      </c>
      <c r="O60" s="164">
        <v>-0.4</v>
      </c>
      <c r="P60" s="165">
        <v>0.2</v>
      </c>
      <c r="Q60" s="166">
        <v>-0.8</v>
      </c>
      <c r="R60" s="167">
        <v>0</v>
      </c>
      <c r="S60" s="168">
        <v>0.3</v>
      </c>
      <c r="T60" s="169">
        <v>0.4</v>
      </c>
      <c r="U60" s="170">
        <v>1</v>
      </c>
      <c r="V60" s="171">
        <v>-0.5</v>
      </c>
      <c r="W60" s="172">
        <v>2</v>
      </c>
      <c r="X60" s="173">
        <v>-2</v>
      </c>
      <c r="Y60" s="174">
        <v>0</v>
      </c>
      <c r="Z60" s="175" t="s">
        <v>900</v>
      </c>
      <c r="AA60" s="176">
        <v>3</v>
      </c>
      <c r="AB60" s="177">
        <v>0</v>
      </c>
      <c r="AC60" s="178">
        <v>3</v>
      </c>
      <c r="AD60" s="179">
        <v>0</v>
      </c>
      <c r="AE60" s="187"/>
      <c r="AF60" s="173">
        <v>3</v>
      </c>
      <c r="AG60" s="173">
        <v>0</v>
      </c>
      <c r="AH60" s="195">
        <v>2</v>
      </c>
      <c r="AI60" s="106"/>
      <c r="AJ60" s="106"/>
      <c r="AK60" s="106"/>
      <c r="AL60" s="106"/>
      <c r="AM60" s="106"/>
      <c r="AN60" s="106"/>
      <c r="AO60" s="106"/>
      <c r="AP60" s="106"/>
      <c r="AQ60" s="249" t="s">
        <v>1079</v>
      </c>
      <c r="AR60" s="199">
        <v>20</v>
      </c>
      <c r="AS60" s="200">
        <v>200</v>
      </c>
      <c r="AT60" s="182" t="s">
        <v>598</v>
      </c>
      <c r="AU60" s="182" t="s">
        <v>604</v>
      </c>
      <c r="AV60" s="173">
        <v>4</v>
      </c>
      <c r="AW60" s="173">
        <v>3</v>
      </c>
      <c r="AX60" s="161" t="s">
        <v>899</v>
      </c>
      <c r="AY60" s="179">
        <v>3</v>
      </c>
      <c r="AZ60" s="235">
        <v>3</v>
      </c>
      <c r="BA60" s="70">
        <v>2</v>
      </c>
      <c r="BB60" s="70">
        <v>2</v>
      </c>
      <c r="BC60" s="70">
        <v>0</v>
      </c>
      <c r="BD60" s="189" t="s">
        <v>900</v>
      </c>
      <c r="BE60" s="204">
        <v>0</v>
      </c>
      <c r="BF60" s="189" t="s">
        <v>927</v>
      </c>
      <c r="BG60" s="106"/>
      <c r="BH60" s="106"/>
      <c r="BI60" s="207">
        <v>5</v>
      </c>
    </row>
    <row r="61" spans="1:61" ht="15" customHeight="1">
      <c r="A61" s="248"/>
      <c r="B61" s="838"/>
      <c r="C61" s="253" t="s">
        <v>1083</v>
      </c>
      <c r="D61" s="199">
        <v>145</v>
      </c>
      <c r="E61" s="200">
        <v>125</v>
      </c>
      <c r="F61" s="159" t="s">
        <v>1084</v>
      </c>
      <c r="G61" s="160">
        <v>0</v>
      </c>
      <c r="H61" s="160">
        <v>1</v>
      </c>
      <c r="I61" s="160">
        <v>0</v>
      </c>
      <c r="J61" s="160">
        <v>0</v>
      </c>
      <c r="K61" s="160">
        <v>0</v>
      </c>
      <c r="L61" s="161" t="s">
        <v>899</v>
      </c>
      <c r="M61" s="162" t="s">
        <v>681</v>
      </c>
      <c r="N61" s="201">
        <v>-0.5</v>
      </c>
      <c r="O61" s="202">
        <v>0.2</v>
      </c>
      <c r="P61" s="165">
        <v>0</v>
      </c>
      <c r="Q61" s="166">
        <v>0</v>
      </c>
      <c r="R61" s="167">
        <v>0</v>
      </c>
      <c r="S61" s="168">
        <v>-0.8</v>
      </c>
      <c r="T61" s="169">
        <v>0</v>
      </c>
      <c r="U61" s="170">
        <v>0.4</v>
      </c>
      <c r="V61" s="171">
        <v>0.3</v>
      </c>
      <c r="W61" s="172">
        <v>-2</v>
      </c>
      <c r="X61" s="173">
        <v>-4</v>
      </c>
      <c r="Y61" s="174">
        <v>-6</v>
      </c>
      <c r="Z61" s="175" t="s">
        <v>900</v>
      </c>
      <c r="AA61" s="176">
        <v>7</v>
      </c>
      <c r="AB61" s="177">
        <v>0</v>
      </c>
      <c r="AC61" s="178">
        <v>3</v>
      </c>
      <c r="AD61" s="179">
        <v>-6</v>
      </c>
      <c r="AE61" s="187"/>
      <c r="AF61" s="173">
        <v>1</v>
      </c>
      <c r="AG61" s="173">
        <v>0</v>
      </c>
      <c r="AH61" s="217">
        <v>4</v>
      </c>
      <c r="AI61" s="106"/>
      <c r="AJ61" s="106"/>
      <c r="AK61" s="106"/>
      <c r="AL61" s="106"/>
      <c r="AM61" s="106"/>
      <c r="AN61" s="106"/>
      <c r="AO61" s="106"/>
      <c r="AP61" s="106"/>
      <c r="AQ61" s="250" t="s">
        <v>1081</v>
      </c>
      <c r="AR61" s="199">
        <v>200</v>
      </c>
      <c r="AS61" s="200">
        <v>50</v>
      </c>
      <c r="AT61" s="182" t="s">
        <v>598</v>
      </c>
      <c r="AU61" s="182" t="s">
        <v>630</v>
      </c>
      <c r="AV61" s="173">
        <v>3</v>
      </c>
      <c r="AW61" s="173">
        <v>0</v>
      </c>
      <c r="AX61" s="161" t="s">
        <v>899</v>
      </c>
      <c r="AY61" s="179">
        <v>-1</v>
      </c>
      <c r="AZ61" s="235">
        <v>3</v>
      </c>
      <c r="BA61" s="70">
        <v>5</v>
      </c>
      <c r="BB61" s="70">
        <v>1</v>
      </c>
      <c r="BC61" s="70">
        <v>-3</v>
      </c>
      <c r="BD61" s="189" t="s">
        <v>900</v>
      </c>
      <c r="BE61" s="197">
        <v>-1</v>
      </c>
      <c r="BF61" s="189" t="s">
        <v>934</v>
      </c>
      <c r="BG61" s="106"/>
      <c r="BH61" s="106"/>
      <c r="BI61" s="207">
        <v>4</v>
      </c>
    </row>
    <row r="62" spans="1:61" ht="15" customHeight="1">
      <c r="A62" s="260"/>
      <c r="B62" s="833" t="s">
        <v>1085</v>
      </c>
      <c r="C62" s="261" t="s">
        <v>1086</v>
      </c>
      <c r="D62" s="199">
        <v>70</v>
      </c>
      <c r="E62" s="200">
        <v>100</v>
      </c>
      <c r="F62" s="159" t="s">
        <v>1087</v>
      </c>
      <c r="G62" s="160">
        <v>-2</v>
      </c>
      <c r="H62" s="160">
        <v>1</v>
      </c>
      <c r="I62" s="160">
        <v>1</v>
      </c>
      <c r="J62" s="160">
        <v>1</v>
      </c>
      <c r="K62" s="160">
        <v>1</v>
      </c>
      <c r="L62" s="161" t="s">
        <v>899</v>
      </c>
      <c r="M62" s="162" t="s">
        <v>665</v>
      </c>
      <c r="N62" s="201">
        <v>-0.3</v>
      </c>
      <c r="O62" s="202">
        <v>0.3</v>
      </c>
      <c r="P62" s="165">
        <v>0.2</v>
      </c>
      <c r="Q62" s="166">
        <v>0.4</v>
      </c>
      <c r="R62" s="167">
        <v>0.7</v>
      </c>
      <c r="S62" s="168">
        <v>-0.3</v>
      </c>
      <c r="T62" s="169">
        <v>0</v>
      </c>
      <c r="U62" s="170">
        <v>0.6</v>
      </c>
      <c r="V62" s="171">
        <v>0.6</v>
      </c>
      <c r="W62" s="172">
        <v>11</v>
      </c>
      <c r="X62" s="173">
        <v>-3</v>
      </c>
      <c r="Y62" s="174">
        <v>8</v>
      </c>
      <c r="Z62" s="175" t="s">
        <v>900</v>
      </c>
      <c r="AA62" s="176">
        <v>-3</v>
      </c>
      <c r="AB62" s="177">
        <v>0</v>
      </c>
      <c r="AC62" s="178">
        <v>3</v>
      </c>
      <c r="AD62" s="179">
        <v>8</v>
      </c>
      <c r="AE62" s="187"/>
      <c r="AF62" s="173">
        <v>-1</v>
      </c>
      <c r="AG62" s="173">
        <v>3</v>
      </c>
      <c r="AH62" s="180">
        <v>0</v>
      </c>
      <c r="AI62" s="106"/>
      <c r="AJ62" s="106"/>
      <c r="AK62" s="106"/>
      <c r="AL62" s="106"/>
      <c r="AM62" s="106"/>
      <c r="AN62" s="106"/>
      <c r="AO62" s="106"/>
      <c r="AP62" s="106"/>
      <c r="AQ62" s="253" t="s">
        <v>1083</v>
      </c>
      <c r="AR62" s="199">
        <v>145</v>
      </c>
      <c r="AS62" s="200">
        <v>125</v>
      </c>
      <c r="AT62" s="182" t="s">
        <v>598</v>
      </c>
      <c r="AU62" s="182" t="s">
        <v>628</v>
      </c>
      <c r="AV62" s="173">
        <v>1</v>
      </c>
      <c r="AW62" s="173">
        <v>0</v>
      </c>
      <c r="AX62" s="161" t="s">
        <v>899</v>
      </c>
      <c r="AY62" s="179">
        <v>-5</v>
      </c>
      <c r="AZ62" s="235">
        <v>3</v>
      </c>
      <c r="BA62" s="70">
        <v>7</v>
      </c>
      <c r="BB62" s="70">
        <v>-1</v>
      </c>
      <c r="BC62" s="70">
        <v>-3</v>
      </c>
      <c r="BD62" s="189" t="s">
        <v>900</v>
      </c>
      <c r="BE62" s="246">
        <v>-3</v>
      </c>
      <c r="BF62" s="189" t="s">
        <v>953</v>
      </c>
      <c r="BG62" s="106"/>
      <c r="BH62" s="106"/>
      <c r="BI62" s="193">
        <v>3</v>
      </c>
    </row>
    <row r="63" spans="1:61" ht="15" customHeight="1">
      <c r="A63" s="260"/>
      <c r="B63" s="834"/>
      <c r="C63" s="262" t="s">
        <v>1088</v>
      </c>
      <c r="D63" s="199">
        <v>170</v>
      </c>
      <c r="E63" s="200">
        <v>100</v>
      </c>
      <c r="F63" s="159" t="s">
        <v>1089</v>
      </c>
      <c r="G63" s="160">
        <v>1</v>
      </c>
      <c r="H63" s="160">
        <v>1</v>
      </c>
      <c r="I63" s="160">
        <v>2</v>
      </c>
      <c r="J63" s="160">
        <v>3</v>
      </c>
      <c r="K63" s="160">
        <v>1</v>
      </c>
      <c r="L63" s="161" t="s">
        <v>934</v>
      </c>
      <c r="M63" s="162" t="s">
        <v>665</v>
      </c>
      <c r="N63" s="201">
        <v>-0.2</v>
      </c>
      <c r="O63" s="202">
        <v>0.4</v>
      </c>
      <c r="P63" s="165">
        <v>-0.3</v>
      </c>
      <c r="Q63" s="166">
        <v>0</v>
      </c>
      <c r="R63" s="167">
        <v>0.2</v>
      </c>
      <c r="S63" s="168">
        <v>0</v>
      </c>
      <c r="T63" s="169">
        <v>0</v>
      </c>
      <c r="U63" s="170">
        <v>0.2</v>
      </c>
      <c r="V63" s="171">
        <v>0.4</v>
      </c>
      <c r="W63" s="172">
        <v>3.5</v>
      </c>
      <c r="X63" s="173">
        <v>3</v>
      </c>
      <c r="Y63" s="174">
        <v>7</v>
      </c>
      <c r="Z63" s="175" t="s">
        <v>927</v>
      </c>
      <c r="AA63" s="176">
        <v>7</v>
      </c>
      <c r="AB63" s="177">
        <v>0</v>
      </c>
      <c r="AC63" s="178">
        <v>-10.5</v>
      </c>
      <c r="AD63" s="179">
        <v>12</v>
      </c>
      <c r="AE63" s="187"/>
      <c r="AF63" s="173">
        <v>2</v>
      </c>
      <c r="AG63" s="173">
        <v>6</v>
      </c>
      <c r="AH63" s="180">
        <v>0</v>
      </c>
      <c r="AI63" s="106"/>
      <c r="AJ63" s="106"/>
      <c r="AK63" s="106"/>
      <c r="AL63" s="106"/>
      <c r="AM63" s="106"/>
      <c r="AN63" s="106"/>
      <c r="AO63" s="106"/>
      <c r="AP63" s="106"/>
      <c r="AQ63" s="261" t="s">
        <v>1086</v>
      </c>
      <c r="AR63" s="199">
        <v>70</v>
      </c>
      <c r="AS63" s="200">
        <v>100</v>
      </c>
      <c r="AT63" s="182" t="s">
        <v>584</v>
      </c>
      <c r="AU63" s="182" t="s">
        <v>628</v>
      </c>
      <c r="AV63" s="173">
        <v>1</v>
      </c>
      <c r="AW63" s="173">
        <v>3</v>
      </c>
      <c r="AX63" s="161" t="s">
        <v>899</v>
      </c>
      <c r="AY63" s="179">
        <v>6</v>
      </c>
      <c r="AZ63" s="235">
        <v>3</v>
      </c>
      <c r="BA63" s="70">
        <v>-3</v>
      </c>
      <c r="BB63" s="70">
        <v>-1</v>
      </c>
      <c r="BC63" s="70">
        <v>0</v>
      </c>
      <c r="BD63" s="189" t="s">
        <v>900</v>
      </c>
      <c r="BE63" s="224">
        <v>-3</v>
      </c>
      <c r="BF63" s="189" t="s">
        <v>982</v>
      </c>
      <c r="BG63" s="106"/>
      <c r="BH63" s="106"/>
      <c r="BI63" s="193">
        <v>2</v>
      </c>
    </row>
    <row r="64" spans="1:61" ht="15" customHeight="1">
      <c r="A64" s="260"/>
      <c r="B64" s="834"/>
      <c r="C64" s="263" t="s">
        <v>1090</v>
      </c>
      <c r="D64" s="199">
        <v>100</v>
      </c>
      <c r="E64" s="200">
        <v>120</v>
      </c>
      <c r="F64" s="159" t="s">
        <v>1091</v>
      </c>
      <c r="G64" s="160">
        <v>1</v>
      </c>
      <c r="H64" s="160">
        <v>2</v>
      </c>
      <c r="I64" s="160">
        <v>1</v>
      </c>
      <c r="J64" s="160">
        <v>1</v>
      </c>
      <c r="K64" s="160">
        <v>2</v>
      </c>
      <c r="L64" s="161" t="s">
        <v>899</v>
      </c>
      <c r="M64" s="162" t="s">
        <v>665</v>
      </c>
      <c r="N64" s="201">
        <v>0</v>
      </c>
      <c r="O64" s="202">
        <v>0.2</v>
      </c>
      <c r="P64" s="165">
        <v>-0.4</v>
      </c>
      <c r="Q64" s="166">
        <v>0.6</v>
      </c>
      <c r="R64" s="167">
        <v>0.2</v>
      </c>
      <c r="S64" s="168">
        <v>-0.2</v>
      </c>
      <c r="T64" s="169">
        <v>-0.2</v>
      </c>
      <c r="U64" s="170">
        <v>0</v>
      </c>
      <c r="V64" s="171">
        <v>0</v>
      </c>
      <c r="W64" s="172">
        <v>1</v>
      </c>
      <c r="X64" s="173">
        <v>2</v>
      </c>
      <c r="Y64" s="174">
        <v>3</v>
      </c>
      <c r="Z64" s="175" t="s">
        <v>900</v>
      </c>
      <c r="AA64" s="176">
        <v>2</v>
      </c>
      <c r="AB64" s="177">
        <v>0</v>
      </c>
      <c r="AC64" s="178">
        <v>3</v>
      </c>
      <c r="AD64" s="179">
        <v>3</v>
      </c>
      <c r="AE64" s="187"/>
      <c r="AF64" s="173">
        <v>3</v>
      </c>
      <c r="AG64" s="173">
        <v>4</v>
      </c>
      <c r="AH64" s="180">
        <v>0</v>
      </c>
      <c r="AI64" s="106"/>
      <c r="AJ64" s="106"/>
      <c r="AK64" s="106"/>
      <c r="AL64" s="106"/>
      <c r="AM64" s="106"/>
      <c r="AN64" s="106"/>
      <c r="AO64" s="106"/>
      <c r="AP64" s="106"/>
      <c r="AQ64" s="262" t="s">
        <v>1088</v>
      </c>
      <c r="AR64" s="199">
        <v>170</v>
      </c>
      <c r="AS64" s="200">
        <v>100</v>
      </c>
      <c r="AT64" s="182" t="s">
        <v>584</v>
      </c>
      <c r="AU64" s="182" t="s">
        <v>622</v>
      </c>
      <c r="AV64" s="173">
        <v>2</v>
      </c>
      <c r="AW64" s="173">
        <v>6</v>
      </c>
      <c r="AX64" s="161" t="s">
        <v>934</v>
      </c>
      <c r="AY64" s="179">
        <v>7</v>
      </c>
      <c r="AZ64" s="264">
        <v>-10.5</v>
      </c>
      <c r="BA64" s="70">
        <v>7</v>
      </c>
      <c r="BB64" s="70">
        <v>0</v>
      </c>
      <c r="BC64" s="70">
        <v>3</v>
      </c>
      <c r="BD64" s="189" t="s">
        <v>899</v>
      </c>
      <c r="BE64" s="224">
        <v>-3</v>
      </c>
      <c r="BF64" s="189" t="s">
        <v>1092</v>
      </c>
      <c r="BG64" s="106"/>
      <c r="BH64" s="106"/>
      <c r="BI64" s="207">
        <v>16</v>
      </c>
    </row>
    <row r="65" spans="1:61" ht="15" customHeight="1">
      <c r="A65" s="835" t="s">
        <v>1093</v>
      </c>
      <c r="B65" s="833" t="s">
        <v>1094</v>
      </c>
      <c r="C65" s="261" t="s">
        <v>1095</v>
      </c>
      <c r="D65" s="199">
        <v>125</v>
      </c>
      <c r="E65" s="200">
        <v>75</v>
      </c>
      <c r="F65" s="159" t="s">
        <v>1096</v>
      </c>
      <c r="G65" s="160">
        <v>3</v>
      </c>
      <c r="H65" s="160">
        <v>-1</v>
      </c>
      <c r="I65" s="160">
        <v>1</v>
      </c>
      <c r="J65" s="160">
        <v>1</v>
      </c>
      <c r="K65" s="160">
        <v>0</v>
      </c>
      <c r="L65" s="161" t="s">
        <v>899</v>
      </c>
      <c r="M65" s="162" t="s">
        <v>677</v>
      </c>
      <c r="N65" s="163">
        <v>0</v>
      </c>
      <c r="O65" s="164">
        <v>0.4</v>
      </c>
      <c r="P65" s="165">
        <v>0</v>
      </c>
      <c r="Q65" s="166">
        <v>0</v>
      </c>
      <c r="R65" s="167">
        <v>-0.2</v>
      </c>
      <c r="S65" s="168">
        <v>0</v>
      </c>
      <c r="T65" s="169">
        <v>0</v>
      </c>
      <c r="U65" s="170">
        <v>0.1</v>
      </c>
      <c r="V65" s="171">
        <v>0.1</v>
      </c>
      <c r="W65" s="172">
        <v>2</v>
      </c>
      <c r="X65" s="173">
        <v>-1</v>
      </c>
      <c r="Y65" s="174">
        <v>1</v>
      </c>
      <c r="Z65" s="175" t="s">
        <v>900</v>
      </c>
      <c r="AA65" s="176">
        <v>0</v>
      </c>
      <c r="AB65" s="177">
        <v>0</v>
      </c>
      <c r="AC65" s="178">
        <v>5</v>
      </c>
      <c r="AD65" s="179">
        <v>1</v>
      </c>
      <c r="AE65" s="187"/>
      <c r="AF65" s="173">
        <v>2</v>
      </c>
      <c r="AG65" s="173">
        <v>2</v>
      </c>
      <c r="AH65" s="195">
        <v>2</v>
      </c>
      <c r="AI65" s="106"/>
      <c r="AJ65" s="106"/>
      <c r="AK65" s="106"/>
      <c r="AL65" s="106"/>
      <c r="AM65" s="106"/>
      <c r="AN65" s="106"/>
      <c r="AO65" s="106"/>
      <c r="AP65" s="106"/>
      <c r="AQ65" s="263" t="s">
        <v>1090</v>
      </c>
      <c r="AR65" s="199">
        <v>100</v>
      </c>
      <c r="AS65" s="200">
        <v>120</v>
      </c>
      <c r="AT65" s="182" t="s">
        <v>584</v>
      </c>
      <c r="AU65" s="182" t="s">
        <v>572</v>
      </c>
      <c r="AV65" s="173">
        <v>3</v>
      </c>
      <c r="AW65" s="173">
        <v>4</v>
      </c>
      <c r="AX65" s="161" t="s">
        <v>899</v>
      </c>
      <c r="AY65" s="179">
        <v>5</v>
      </c>
      <c r="AZ65" s="235">
        <v>3</v>
      </c>
      <c r="BA65" s="70">
        <v>2</v>
      </c>
      <c r="BB65" s="70">
        <v>1</v>
      </c>
      <c r="BC65" s="70">
        <v>1</v>
      </c>
      <c r="BD65" s="189" t="s">
        <v>900</v>
      </c>
      <c r="BE65" s="243">
        <v>2</v>
      </c>
      <c r="BF65" s="189" t="s">
        <v>966</v>
      </c>
      <c r="BG65" s="106"/>
      <c r="BH65" s="106"/>
      <c r="BI65" s="207">
        <v>7</v>
      </c>
    </row>
    <row r="66" spans="1:61" ht="15" customHeight="1">
      <c r="A66" s="836"/>
      <c r="B66" s="834"/>
      <c r="C66" s="262" t="s">
        <v>1097</v>
      </c>
      <c r="D66" s="199">
        <v>80</v>
      </c>
      <c r="E66" s="200">
        <v>80</v>
      </c>
      <c r="F66" s="159" t="s">
        <v>1098</v>
      </c>
      <c r="G66" s="160">
        <v>1</v>
      </c>
      <c r="H66" s="160">
        <v>1</v>
      </c>
      <c r="I66" s="160">
        <v>0</v>
      </c>
      <c r="J66" s="160">
        <v>3</v>
      </c>
      <c r="K66" s="160">
        <v>1</v>
      </c>
      <c r="L66" s="161" t="s">
        <v>899</v>
      </c>
      <c r="M66" s="162" t="s">
        <v>665</v>
      </c>
      <c r="N66" s="163">
        <v>0</v>
      </c>
      <c r="O66" s="164">
        <v>0</v>
      </c>
      <c r="P66" s="165">
        <v>0</v>
      </c>
      <c r="Q66" s="166">
        <v>0</v>
      </c>
      <c r="R66" s="167">
        <v>0.3</v>
      </c>
      <c r="S66" s="168">
        <v>0</v>
      </c>
      <c r="T66" s="169">
        <v>0.3</v>
      </c>
      <c r="U66" s="170">
        <v>0</v>
      </c>
      <c r="V66" s="171">
        <v>0</v>
      </c>
      <c r="W66" s="172">
        <v>3</v>
      </c>
      <c r="X66" s="173">
        <v>1</v>
      </c>
      <c r="Y66" s="174">
        <v>4</v>
      </c>
      <c r="Z66" s="175" t="s">
        <v>900</v>
      </c>
      <c r="AA66" s="176">
        <v>-4</v>
      </c>
      <c r="AB66" s="177">
        <v>0</v>
      </c>
      <c r="AC66" s="178">
        <v>8</v>
      </c>
      <c r="AD66" s="179">
        <v>4</v>
      </c>
      <c r="AE66" s="187"/>
      <c r="AF66" s="173">
        <v>2</v>
      </c>
      <c r="AG66" s="173">
        <v>4</v>
      </c>
      <c r="AH66" s="180">
        <v>0</v>
      </c>
      <c r="AI66" s="106"/>
      <c r="AJ66" s="106"/>
      <c r="AK66" s="106"/>
      <c r="AL66" s="106"/>
      <c r="AM66" s="106"/>
      <c r="AN66" s="106"/>
      <c r="AO66" s="106"/>
      <c r="AP66" s="106"/>
      <c r="AQ66" s="261" t="s">
        <v>1095</v>
      </c>
      <c r="AR66" s="199">
        <v>125</v>
      </c>
      <c r="AS66" s="200">
        <v>75</v>
      </c>
      <c r="AT66" s="182" t="s">
        <v>641</v>
      </c>
      <c r="AU66" s="182" t="s">
        <v>562</v>
      </c>
      <c r="AV66" s="173">
        <v>2</v>
      </c>
      <c r="AW66" s="173">
        <v>2</v>
      </c>
      <c r="AX66" s="161" t="s">
        <v>899</v>
      </c>
      <c r="AY66" s="179">
        <v>0</v>
      </c>
      <c r="AZ66" s="265">
        <v>5</v>
      </c>
      <c r="BA66" s="70">
        <v>0</v>
      </c>
      <c r="BB66" s="70">
        <v>0</v>
      </c>
      <c r="BC66" s="70">
        <v>-1</v>
      </c>
      <c r="BD66" s="189" t="s">
        <v>900</v>
      </c>
      <c r="BE66" s="224">
        <v>-3</v>
      </c>
      <c r="BF66" s="189" t="s">
        <v>900</v>
      </c>
      <c r="BG66" s="106"/>
      <c r="BH66" s="106"/>
      <c r="BI66" s="193">
        <v>0</v>
      </c>
    </row>
    <row r="67" spans="1:61" ht="15" customHeight="1">
      <c r="A67" s="836"/>
      <c r="B67" s="834"/>
      <c r="C67" s="263" t="s">
        <v>1099</v>
      </c>
      <c r="D67" s="199">
        <v>75</v>
      </c>
      <c r="E67" s="200">
        <v>150</v>
      </c>
      <c r="F67" s="159" t="s">
        <v>1100</v>
      </c>
      <c r="G67" s="160">
        <v>-3</v>
      </c>
      <c r="H67" s="160">
        <v>2</v>
      </c>
      <c r="I67" s="160">
        <v>-1</v>
      </c>
      <c r="J67" s="160">
        <v>0</v>
      </c>
      <c r="K67" s="160">
        <v>4</v>
      </c>
      <c r="L67" s="161" t="s">
        <v>899</v>
      </c>
      <c r="M67" s="162" t="s">
        <v>681</v>
      </c>
      <c r="N67" s="201">
        <v>-0.7</v>
      </c>
      <c r="O67" s="202">
        <v>0.7</v>
      </c>
      <c r="P67" s="165">
        <v>-0.3</v>
      </c>
      <c r="Q67" s="166">
        <v>-0.2</v>
      </c>
      <c r="R67" s="167">
        <v>0.2</v>
      </c>
      <c r="S67" s="168">
        <v>-0.4</v>
      </c>
      <c r="T67" s="169">
        <v>0.2</v>
      </c>
      <c r="U67" s="170">
        <v>0.2</v>
      </c>
      <c r="V67" s="171">
        <v>0.2</v>
      </c>
      <c r="W67" s="172">
        <v>-0.5</v>
      </c>
      <c r="X67" s="173">
        <v>-3</v>
      </c>
      <c r="Y67" s="174">
        <v>-4</v>
      </c>
      <c r="Z67" s="175" t="s">
        <v>900</v>
      </c>
      <c r="AA67" s="176">
        <v>3</v>
      </c>
      <c r="AB67" s="177">
        <v>0</v>
      </c>
      <c r="AC67" s="178">
        <v>4.5</v>
      </c>
      <c r="AD67" s="179">
        <v>-4</v>
      </c>
      <c r="AE67" s="187"/>
      <c r="AF67" s="173">
        <v>-1</v>
      </c>
      <c r="AG67" s="173">
        <v>3</v>
      </c>
      <c r="AH67" s="217">
        <v>4</v>
      </c>
      <c r="AI67" s="106"/>
      <c r="AJ67" s="106"/>
      <c r="AK67" s="106"/>
      <c r="AL67" s="106"/>
      <c r="AM67" s="106"/>
      <c r="AN67" s="106"/>
      <c r="AO67" s="106"/>
      <c r="AP67" s="106"/>
      <c r="AQ67" s="262" t="s">
        <v>1097</v>
      </c>
      <c r="AR67" s="199">
        <v>80</v>
      </c>
      <c r="AS67" s="200">
        <v>80</v>
      </c>
      <c r="AT67" s="182" t="s">
        <v>641</v>
      </c>
      <c r="AU67" s="182" t="s">
        <v>643</v>
      </c>
      <c r="AV67" s="173">
        <v>2</v>
      </c>
      <c r="AW67" s="173">
        <v>3</v>
      </c>
      <c r="AX67" s="161" t="s">
        <v>899</v>
      </c>
      <c r="AY67" s="179">
        <v>0</v>
      </c>
      <c r="AZ67" s="203">
        <v>8</v>
      </c>
      <c r="BA67" s="70">
        <v>-4</v>
      </c>
      <c r="BB67" s="70">
        <v>0</v>
      </c>
      <c r="BC67" s="70">
        <v>0</v>
      </c>
      <c r="BD67" s="189" t="s">
        <v>900</v>
      </c>
      <c r="BE67" s="216">
        <v>-4</v>
      </c>
      <c r="BF67" s="189" t="s">
        <v>946</v>
      </c>
      <c r="BG67" s="106"/>
      <c r="BH67" s="106"/>
      <c r="BI67" s="207">
        <v>-4</v>
      </c>
    </row>
    <row r="68" spans="1:61" ht="15" customHeight="1">
      <c r="A68" s="836"/>
      <c r="B68" s="833" t="s">
        <v>1101</v>
      </c>
      <c r="C68" s="261" t="s">
        <v>1102</v>
      </c>
      <c r="D68" s="199">
        <v>80</v>
      </c>
      <c r="E68" s="200">
        <v>60</v>
      </c>
      <c r="F68" s="159" t="s">
        <v>1103</v>
      </c>
      <c r="G68" s="160">
        <v>-1</v>
      </c>
      <c r="H68" s="160">
        <v>0</v>
      </c>
      <c r="I68" s="160">
        <v>2</v>
      </c>
      <c r="J68" s="160">
        <v>1</v>
      </c>
      <c r="K68" s="160">
        <v>0</v>
      </c>
      <c r="L68" s="161" t="s">
        <v>899</v>
      </c>
      <c r="M68" s="162" t="s">
        <v>665</v>
      </c>
      <c r="N68" s="163">
        <v>-1</v>
      </c>
      <c r="O68" s="164">
        <v>1</v>
      </c>
      <c r="P68" s="165">
        <v>0</v>
      </c>
      <c r="Q68" s="166">
        <v>0</v>
      </c>
      <c r="R68" s="167">
        <v>0.5</v>
      </c>
      <c r="S68" s="168">
        <v>0.5</v>
      </c>
      <c r="T68" s="169">
        <v>-0.4</v>
      </c>
      <c r="U68" s="170">
        <v>0.8</v>
      </c>
      <c r="V68" s="171">
        <v>-0.3</v>
      </c>
      <c r="W68" s="172">
        <v>5.5</v>
      </c>
      <c r="X68" s="173">
        <v>-3</v>
      </c>
      <c r="Y68" s="174">
        <v>3</v>
      </c>
      <c r="Z68" s="175" t="s">
        <v>900</v>
      </c>
      <c r="AA68" s="176">
        <v>-6</v>
      </c>
      <c r="AB68" s="257">
        <v>0</v>
      </c>
      <c r="AC68" s="178">
        <v>11.5</v>
      </c>
      <c r="AD68" s="179">
        <v>3</v>
      </c>
      <c r="AE68" s="187"/>
      <c r="AF68" s="173">
        <v>-1</v>
      </c>
      <c r="AG68" s="173">
        <v>3</v>
      </c>
      <c r="AH68" s="180">
        <v>0</v>
      </c>
      <c r="AI68" s="106"/>
      <c r="AJ68" s="106"/>
      <c r="AK68" s="106"/>
      <c r="AL68" s="106"/>
      <c r="AM68" s="106"/>
      <c r="AN68" s="106"/>
      <c r="AO68" s="106"/>
      <c r="AP68" s="106"/>
      <c r="AQ68" s="263" t="s">
        <v>1099</v>
      </c>
      <c r="AR68" s="199">
        <v>75</v>
      </c>
      <c r="AS68" s="200">
        <v>125</v>
      </c>
      <c r="AT68" s="182" t="s">
        <v>641</v>
      </c>
      <c r="AU68" s="182" t="s">
        <v>546</v>
      </c>
      <c r="AV68" s="173">
        <v>0</v>
      </c>
      <c r="AW68" s="173">
        <v>4</v>
      </c>
      <c r="AX68" s="161" t="s">
        <v>899</v>
      </c>
      <c r="AY68" s="179">
        <v>1</v>
      </c>
      <c r="AZ68" s="259">
        <v>4.5</v>
      </c>
      <c r="BA68" s="70">
        <v>0</v>
      </c>
      <c r="BB68" s="70">
        <v>-2</v>
      </c>
      <c r="BC68" s="70">
        <v>1</v>
      </c>
      <c r="BD68" s="189" t="s">
        <v>900</v>
      </c>
      <c r="BE68" s="224">
        <v>-3</v>
      </c>
      <c r="BF68" s="189" t="s">
        <v>937</v>
      </c>
      <c r="BG68" s="106"/>
      <c r="BH68" s="106"/>
      <c r="BI68" s="193">
        <v>1</v>
      </c>
    </row>
    <row r="69" spans="1:61" ht="15" customHeight="1">
      <c r="A69" s="836"/>
      <c r="B69" s="834"/>
      <c r="C69" s="262" t="s">
        <v>1104</v>
      </c>
      <c r="D69" s="199">
        <v>50</v>
      </c>
      <c r="E69" s="200">
        <v>100</v>
      </c>
      <c r="F69" s="159" t="s">
        <v>1105</v>
      </c>
      <c r="G69" s="160">
        <v>1</v>
      </c>
      <c r="H69" s="160">
        <v>1</v>
      </c>
      <c r="I69" s="160">
        <v>0</v>
      </c>
      <c r="J69" s="160">
        <v>2</v>
      </c>
      <c r="K69" s="160">
        <v>3</v>
      </c>
      <c r="L69" s="161" t="s">
        <v>899</v>
      </c>
      <c r="M69" s="162" t="s">
        <v>677</v>
      </c>
      <c r="N69" s="201">
        <v>-0.5</v>
      </c>
      <c r="O69" s="202">
        <v>0.3</v>
      </c>
      <c r="P69" s="165">
        <v>-0.5</v>
      </c>
      <c r="Q69" s="166">
        <v>0</v>
      </c>
      <c r="R69" s="167">
        <v>0</v>
      </c>
      <c r="S69" s="168">
        <v>0</v>
      </c>
      <c r="T69" s="169">
        <v>0</v>
      </c>
      <c r="U69" s="170">
        <v>0.5</v>
      </c>
      <c r="V69" s="171">
        <v>-0.5</v>
      </c>
      <c r="W69" s="172">
        <v>-3.5</v>
      </c>
      <c r="X69" s="173">
        <v>2</v>
      </c>
      <c r="Y69" s="174">
        <v>-2</v>
      </c>
      <c r="Z69" s="175" t="s">
        <v>900</v>
      </c>
      <c r="AA69" s="176">
        <v>-5</v>
      </c>
      <c r="AB69" s="177">
        <v>0</v>
      </c>
      <c r="AC69" s="178">
        <v>12.5</v>
      </c>
      <c r="AD69" s="179">
        <v>-2</v>
      </c>
      <c r="AE69" s="187"/>
      <c r="AF69" s="173">
        <v>2</v>
      </c>
      <c r="AG69" s="173">
        <v>5</v>
      </c>
      <c r="AH69" s="195">
        <v>2</v>
      </c>
      <c r="AI69" s="106"/>
      <c r="AJ69" s="106"/>
      <c r="AK69" s="106"/>
      <c r="AL69" s="106"/>
      <c r="AM69" s="106"/>
      <c r="AN69" s="106"/>
      <c r="AO69" s="106"/>
      <c r="AP69" s="106"/>
      <c r="AQ69" s="261" t="s">
        <v>1102</v>
      </c>
      <c r="AR69" s="199">
        <v>80</v>
      </c>
      <c r="AS69" s="200">
        <v>60</v>
      </c>
      <c r="AT69" s="182" t="s">
        <v>582</v>
      </c>
      <c r="AU69" s="182" t="s">
        <v>610</v>
      </c>
      <c r="AV69" s="173">
        <v>-1</v>
      </c>
      <c r="AW69" s="173">
        <v>3</v>
      </c>
      <c r="AX69" s="161" t="s">
        <v>899</v>
      </c>
      <c r="AY69" s="179">
        <v>6</v>
      </c>
      <c r="AZ69" s="247">
        <v>11.5</v>
      </c>
      <c r="BA69" s="70">
        <v>-6</v>
      </c>
      <c r="BB69" s="70">
        <v>-3</v>
      </c>
      <c r="BC69" s="70">
        <v>0</v>
      </c>
      <c r="BD69" s="189" t="s">
        <v>900</v>
      </c>
      <c r="BE69" s="245">
        <v>3</v>
      </c>
      <c r="BF69" s="189" t="s">
        <v>943</v>
      </c>
      <c r="BG69" s="106"/>
      <c r="BH69" s="106"/>
      <c r="BI69" s="193">
        <v>-1</v>
      </c>
    </row>
    <row r="70" spans="1:61" ht="15" customHeight="1">
      <c r="A70" s="836"/>
      <c r="B70" s="834"/>
      <c r="C70" s="263" t="s">
        <v>1106</v>
      </c>
      <c r="D70" s="199">
        <v>75</v>
      </c>
      <c r="E70" s="200">
        <v>75</v>
      </c>
      <c r="F70" s="159" t="s">
        <v>1107</v>
      </c>
      <c r="G70" s="160">
        <v>1</v>
      </c>
      <c r="H70" s="160">
        <v>1</v>
      </c>
      <c r="I70" s="160">
        <v>1</v>
      </c>
      <c r="J70" s="160">
        <v>2</v>
      </c>
      <c r="K70" s="160">
        <v>1</v>
      </c>
      <c r="L70" s="161" t="s">
        <v>899</v>
      </c>
      <c r="M70" s="162" t="s">
        <v>665</v>
      </c>
      <c r="N70" s="163">
        <v>-0.8</v>
      </c>
      <c r="O70" s="164">
        <v>0</v>
      </c>
      <c r="P70" s="165">
        <v>-0.2</v>
      </c>
      <c r="Q70" s="166">
        <v>-0.3</v>
      </c>
      <c r="R70" s="167">
        <v>0.2</v>
      </c>
      <c r="S70" s="168">
        <v>0.2</v>
      </c>
      <c r="T70" s="169">
        <v>0</v>
      </c>
      <c r="U70" s="170">
        <v>0.3</v>
      </c>
      <c r="V70" s="171">
        <v>-1</v>
      </c>
      <c r="W70" s="172">
        <v>-8</v>
      </c>
      <c r="X70" s="173">
        <v>1</v>
      </c>
      <c r="Y70" s="174">
        <v>-7</v>
      </c>
      <c r="Z70" s="175" t="s">
        <v>900</v>
      </c>
      <c r="AA70" s="176">
        <v>-5</v>
      </c>
      <c r="AB70" s="177">
        <v>0</v>
      </c>
      <c r="AC70" s="178">
        <v>20</v>
      </c>
      <c r="AD70" s="179">
        <v>-7</v>
      </c>
      <c r="AE70" s="187"/>
      <c r="AF70" s="173">
        <v>2</v>
      </c>
      <c r="AG70" s="173">
        <v>4</v>
      </c>
      <c r="AH70" s="180">
        <v>0</v>
      </c>
      <c r="AI70" s="106"/>
      <c r="AJ70" s="106"/>
      <c r="AK70" s="106"/>
      <c r="AL70" s="106"/>
      <c r="AM70" s="106"/>
      <c r="AN70" s="106"/>
      <c r="AO70" s="106"/>
      <c r="AP70" s="106"/>
      <c r="AQ70" s="262" t="s">
        <v>1104</v>
      </c>
      <c r="AR70" s="199">
        <v>50</v>
      </c>
      <c r="AS70" s="200">
        <v>100</v>
      </c>
      <c r="AT70" s="182" t="s">
        <v>582</v>
      </c>
      <c r="AU70" s="182" t="s">
        <v>558</v>
      </c>
      <c r="AV70" s="173">
        <v>2</v>
      </c>
      <c r="AW70" s="173">
        <v>5</v>
      </c>
      <c r="AX70" s="161" t="s">
        <v>899</v>
      </c>
      <c r="AY70" s="179">
        <v>3</v>
      </c>
      <c r="AZ70" s="266">
        <v>12.5</v>
      </c>
      <c r="BA70" s="70">
        <v>-5</v>
      </c>
      <c r="BB70" s="70">
        <v>0</v>
      </c>
      <c r="BC70" s="70">
        <v>2</v>
      </c>
      <c r="BD70" s="189" t="s">
        <v>900</v>
      </c>
      <c r="BE70" s="245">
        <v>3</v>
      </c>
      <c r="BF70" s="189" t="s">
        <v>1040</v>
      </c>
      <c r="BG70" s="106"/>
      <c r="BH70" s="106"/>
      <c r="BI70" s="193">
        <v>-2</v>
      </c>
    </row>
    <row r="71" spans="1:61" ht="15" customHeight="1">
      <c r="A71" s="260"/>
      <c r="B71" s="833" t="s">
        <v>1108</v>
      </c>
      <c r="C71" s="261" t="s">
        <v>1109</v>
      </c>
      <c r="D71" s="199">
        <v>100</v>
      </c>
      <c r="E71" s="200">
        <v>100</v>
      </c>
      <c r="F71" s="159" t="s">
        <v>1110</v>
      </c>
      <c r="G71" s="160">
        <v>1</v>
      </c>
      <c r="H71" s="160">
        <v>2</v>
      </c>
      <c r="I71" s="160">
        <v>1</v>
      </c>
      <c r="J71" s="160">
        <v>1</v>
      </c>
      <c r="K71" s="160">
        <v>1</v>
      </c>
      <c r="L71" s="161" t="s">
        <v>899</v>
      </c>
      <c r="M71" s="162" t="s">
        <v>665</v>
      </c>
      <c r="N71" s="201">
        <v>-0.5</v>
      </c>
      <c r="O71" s="202">
        <v>0.3</v>
      </c>
      <c r="P71" s="165">
        <v>0</v>
      </c>
      <c r="Q71" s="166">
        <v>0</v>
      </c>
      <c r="R71" s="167">
        <v>-0.1</v>
      </c>
      <c r="S71" s="168">
        <v>0</v>
      </c>
      <c r="T71" s="169">
        <v>0</v>
      </c>
      <c r="U71" s="170">
        <v>0</v>
      </c>
      <c r="V71" s="171">
        <v>0.1</v>
      </c>
      <c r="W71" s="172">
        <v>-1</v>
      </c>
      <c r="X71" s="173">
        <v>1</v>
      </c>
      <c r="Y71" s="174">
        <v>0</v>
      </c>
      <c r="Z71" s="175" t="s">
        <v>900</v>
      </c>
      <c r="AA71" s="176">
        <v>0</v>
      </c>
      <c r="AB71" s="177">
        <v>0</v>
      </c>
      <c r="AC71" s="178">
        <v>8</v>
      </c>
      <c r="AD71" s="179">
        <v>0</v>
      </c>
      <c r="AE71" s="187"/>
      <c r="AF71" s="173">
        <v>3</v>
      </c>
      <c r="AG71" s="173">
        <v>3</v>
      </c>
      <c r="AH71" s="180">
        <v>0</v>
      </c>
      <c r="AI71" s="106"/>
      <c r="AJ71" s="106"/>
      <c r="AK71" s="106"/>
      <c r="AL71" s="106"/>
      <c r="AM71" s="106"/>
      <c r="AN71" s="106"/>
      <c r="AO71" s="106"/>
      <c r="AP71" s="106"/>
      <c r="AQ71" s="263" t="s">
        <v>1106</v>
      </c>
      <c r="AR71" s="199">
        <v>75</v>
      </c>
      <c r="AS71" s="200">
        <v>75</v>
      </c>
      <c r="AT71" s="182" t="s">
        <v>582</v>
      </c>
      <c r="AU71" s="182" t="s">
        <v>632</v>
      </c>
      <c r="AV71" s="173">
        <v>2</v>
      </c>
      <c r="AW71" s="173">
        <v>4</v>
      </c>
      <c r="AX71" s="161" t="s">
        <v>899</v>
      </c>
      <c r="AY71" s="179">
        <v>0</v>
      </c>
      <c r="AZ71" s="267">
        <v>20</v>
      </c>
      <c r="BA71" s="70">
        <v>-5</v>
      </c>
      <c r="BB71" s="70">
        <v>0</v>
      </c>
      <c r="BC71" s="70">
        <v>1</v>
      </c>
      <c r="BD71" s="189" t="s">
        <v>900</v>
      </c>
      <c r="BE71" s="206">
        <v>7</v>
      </c>
      <c r="BF71" s="189" t="s">
        <v>983</v>
      </c>
      <c r="BG71" s="106"/>
      <c r="BH71" s="106"/>
      <c r="BI71" s="207">
        <v>-5</v>
      </c>
    </row>
    <row r="72" spans="1:61" ht="15" customHeight="1">
      <c r="A72" s="260"/>
      <c r="B72" s="834"/>
      <c r="C72" s="262" t="s">
        <v>1111</v>
      </c>
      <c r="D72" s="199">
        <v>100</v>
      </c>
      <c r="E72" s="200">
        <v>80</v>
      </c>
      <c r="F72" s="159" t="s">
        <v>1112</v>
      </c>
      <c r="G72" s="160">
        <v>1</v>
      </c>
      <c r="H72" s="160">
        <v>2</v>
      </c>
      <c r="I72" s="160">
        <v>1</v>
      </c>
      <c r="J72" s="160">
        <v>1</v>
      </c>
      <c r="K72" s="160">
        <v>1</v>
      </c>
      <c r="L72" s="161" t="s">
        <v>899</v>
      </c>
      <c r="M72" s="162" t="s">
        <v>665</v>
      </c>
      <c r="N72" s="163">
        <v>-0.4</v>
      </c>
      <c r="O72" s="164">
        <v>0.3</v>
      </c>
      <c r="P72" s="165">
        <v>0.3</v>
      </c>
      <c r="Q72" s="166">
        <v>0</v>
      </c>
      <c r="R72" s="167">
        <v>0</v>
      </c>
      <c r="S72" s="168">
        <v>0</v>
      </c>
      <c r="T72" s="169">
        <v>0</v>
      </c>
      <c r="U72" s="170">
        <v>0</v>
      </c>
      <c r="V72" s="171">
        <v>0</v>
      </c>
      <c r="W72" s="172">
        <v>1</v>
      </c>
      <c r="X72" s="173">
        <v>1</v>
      </c>
      <c r="Y72" s="174">
        <v>2</v>
      </c>
      <c r="Z72" s="175" t="s">
        <v>900</v>
      </c>
      <c r="AA72" s="176">
        <v>-2</v>
      </c>
      <c r="AB72" s="177">
        <v>0</v>
      </c>
      <c r="AC72" s="178">
        <v>8</v>
      </c>
      <c r="AD72" s="179">
        <v>2</v>
      </c>
      <c r="AE72" s="187"/>
      <c r="AF72" s="173">
        <v>3</v>
      </c>
      <c r="AG72" s="173">
        <v>3</v>
      </c>
      <c r="AH72" s="180">
        <v>0</v>
      </c>
      <c r="AI72" s="106"/>
      <c r="AJ72" s="106"/>
      <c r="AK72" s="106"/>
      <c r="AL72" s="106"/>
      <c r="AM72" s="106"/>
      <c r="AN72" s="106"/>
      <c r="AO72" s="106"/>
      <c r="AP72" s="106"/>
      <c r="AQ72" s="261" t="s">
        <v>1109</v>
      </c>
      <c r="AR72" s="199">
        <v>100</v>
      </c>
      <c r="AS72" s="200">
        <v>100</v>
      </c>
      <c r="AT72" s="182" t="s">
        <v>1014</v>
      </c>
      <c r="AU72" s="182" t="s">
        <v>548</v>
      </c>
      <c r="AV72" s="173">
        <v>3</v>
      </c>
      <c r="AW72" s="173">
        <v>3</v>
      </c>
      <c r="AX72" s="161" t="s">
        <v>899</v>
      </c>
      <c r="AY72" s="179">
        <v>1</v>
      </c>
      <c r="AZ72" s="203">
        <v>8</v>
      </c>
      <c r="BA72" s="70">
        <v>0</v>
      </c>
      <c r="BB72" s="70">
        <v>1</v>
      </c>
      <c r="BC72" s="70">
        <v>0</v>
      </c>
      <c r="BD72" s="189" t="s">
        <v>900</v>
      </c>
      <c r="BE72" s="190">
        <v>1</v>
      </c>
      <c r="BF72" s="189" t="s">
        <v>671</v>
      </c>
      <c r="BG72" s="106"/>
      <c r="BH72" s="106"/>
      <c r="BI72" s="193">
        <v>1</v>
      </c>
    </row>
    <row r="73" spans="1:61" ht="15" customHeight="1">
      <c r="A73" s="260"/>
      <c r="B73" s="834"/>
      <c r="C73" s="263" t="s">
        <v>1113</v>
      </c>
      <c r="D73" s="199">
        <v>80</v>
      </c>
      <c r="E73" s="200">
        <v>120</v>
      </c>
      <c r="F73" s="159" t="s">
        <v>1114</v>
      </c>
      <c r="G73" s="160">
        <v>1</v>
      </c>
      <c r="H73" s="160">
        <v>3</v>
      </c>
      <c r="I73" s="160">
        <v>1</v>
      </c>
      <c r="J73" s="160">
        <v>1</v>
      </c>
      <c r="K73" s="160">
        <v>1</v>
      </c>
      <c r="L73" s="161" t="s">
        <v>899</v>
      </c>
      <c r="M73" s="162" t="s">
        <v>665</v>
      </c>
      <c r="N73" s="163">
        <v>-0.7</v>
      </c>
      <c r="O73" s="164">
        <v>0.5</v>
      </c>
      <c r="P73" s="165">
        <v>-0.2</v>
      </c>
      <c r="Q73" s="166">
        <v>-0.4</v>
      </c>
      <c r="R73" s="167">
        <v>0.3</v>
      </c>
      <c r="S73" s="168">
        <v>-0.1</v>
      </c>
      <c r="T73" s="169">
        <v>0</v>
      </c>
      <c r="U73" s="170">
        <v>-0.2</v>
      </c>
      <c r="V73" s="171">
        <v>-0.2</v>
      </c>
      <c r="W73" s="172">
        <v>-5</v>
      </c>
      <c r="X73" s="173">
        <v>2</v>
      </c>
      <c r="Y73" s="174">
        <v>-3</v>
      </c>
      <c r="Z73" s="175" t="s">
        <v>900</v>
      </c>
      <c r="AA73" s="176">
        <v>0</v>
      </c>
      <c r="AB73" s="177">
        <v>0</v>
      </c>
      <c r="AC73" s="178">
        <v>11</v>
      </c>
      <c r="AD73" s="179">
        <v>-3</v>
      </c>
      <c r="AE73" s="187"/>
      <c r="AF73" s="173">
        <v>4</v>
      </c>
      <c r="AG73" s="173">
        <v>3</v>
      </c>
      <c r="AH73" s="180">
        <v>0</v>
      </c>
      <c r="AI73" s="106"/>
      <c r="AJ73" s="106"/>
      <c r="AK73" s="106"/>
      <c r="AL73" s="106"/>
      <c r="AM73" s="106"/>
      <c r="AN73" s="106"/>
      <c r="AO73" s="106"/>
      <c r="AP73" s="106"/>
      <c r="AQ73" s="262" t="s">
        <v>1111</v>
      </c>
      <c r="AR73" s="199">
        <v>100</v>
      </c>
      <c r="AS73" s="200">
        <v>80</v>
      </c>
      <c r="AT73" s="182" t="s">
        <v>1014</v>
      </c>
      <c r="AU73" s="182" t="s">
        <v>592</v>
      </c>
      <c r="AV73" s="173">
        <v>3</v>
      </c>
      <c r="AW73" s="173">
        <v>3</v>
      </c>
      <c r="AX73" s="161" t="s">
        <v>899</v>
      </c>
      <c r="AY73" s="268">
        <v>2</v>
      </c>
      <c r="AZ73" s="203">
        <v>8</v>
      </c>
      <c r="BA73" s="70">
        <v>-2</v>
      </c>
      <c r="BB73" s="70">
        <v>1</v>
      </c>
      <c r="BC73" s="70">
        <v>0</v>
      </c>
      <c r="BD73" s="189" t="s">
        <v>900</v>
      </c>
      <c r="BE73" s="204">
        <v>0</v>
      </c>
      <c r="BF73" s="189" t="s">
        <v>1115</v>
      </c>
      <c r="BG73" s="106"/>
      <c r="BH73" s="106"/>
      <c r="BI73" s="193">
        <v>0</v>
      </c>
    </row>
    <row r="74" spans="1:61" ht="15" customHeight="1">
      <c r="A74" s="829"/>
      <c r="B74" s="825" t="s">
        <v>1116</v>
      </c>
      <c r="C74" s="270" t="s">
        <v>1117</v>
      </c>
      <c r="D74" s="199">
        <v>95</v>
      </c>
      <c r="E74" s="200">
        <v>95</v>
      </c>
      <c r="F74" s="159" t="s">
        <v>1118</v>
      </c>
      <c r="G74" s="160">
        <v>1</v>
      </c>
      <c r="H74" s="160">
        <v>1</v>
      </c>
      <c r="I74" s="160">
        <v>1</v>
      </c>
      <c r="J74" s="160">
        <v>1</v>
      </c>
      <c r="K74" s="160">
        <v>1</v>
      </c>
      <c r="L74" s="161" t="s">
        <v>899</v>
      </c>
      <c r="M74" s="162" t="s">
        <v>665</v>
      </c>
      <c r="N74" s="163">
        <v>-0.2</v>
      </c>
      <c r="O74" s="164">
        <v>0.1</v>
      </c>
      <c r="P74" s="165">
        <v>0.2</v>
      </c>
      <c r="Q74" s="166">
        <v>-0.4</v>
      </c>
      <c r="R74" s="167">
        <v>0.2</v>
      </c>
      <c r="S74" s="168">
        <v>0</v>
      </c>
      <c r="T74" s="169">
        <v>0.2</v>
      </c>
      <c r="U74" s="170">
        <v>0.2</v>
      </c>
      <c r="V74" s="171">
        <v>0.2</v>
      </c>
      <c r="W74" s="172">
        <v>2.5</v>
      </c>
      <c r="X74" s="173">
        <v>0</v>
      </c>
      <c r="Y74" s="174">
        <v>3</v>
      </c>
      <c r="Z74" s="175" t="s">
        <v>900</v>
      </c>
      <c r="AA74" s="176">
        <v>-1</v>
      </c>
      <c r="AB74" s="177">
        <v>0</v>
      </c>
      <c r="AC74" s="178">
        <v>6.5</v>
      </c>
      <c r="AD74" s="179">
        <v>3</v>
      </c>
      <c r="AE74" s="187"/>
      <c r="AF74" s="173">
        <v>2</v>
      </c>
      <c r="AG74" s="173">
        <v>3</v>
      </c>
      <c r="AH74" s="180">
        <v>0</v>
      </c>
      <c r="AI74" s="106"/>
      <c r="AJ74" s="106"/>
      <c r="AK74" s="106"/>
      <c r="AL74" s="106"/>
      <c r="AM74" s="106"/>
      <c r="AN74" s="106"/>
      <c r="AO74" s="106"/>
      <c r="AP74" s="106"/>
      <c r="AQ74" s="263" t="s">
        <v>1113</v>
      </c>
      <c r="AR74" s="199">
        <v>80</v>
      </c>
      <c r="AS74" s="200">
        <v>120</v>
      </c>
      <c r="AT74" s="182" t="s">
        <v>1014</v>
      </c>
      <c r="AU74" s="182" t="s">
        <v>552</v>
      </c>
      <c r="AV74" s="173">
        <v>4</v>
      </c>
      <c r="AW74" s="173">
        <v>3</v>
      </c>
      <c r="AX74" s="161" t="s">
        <v>899</v>
      </c>
      <c r="AY74" s="268">
        <v>0</v>
      </c>
      <c r="AZ74" s="221">
        <v>11</v>
      </c>
      <c r="BA74" s="70">
        <v>0</v>
      </c>
      <c r="BB74" s="70">
        <v>2</v>
      </c>
      <c r="BC74" s="70">
        <v>0</v>
      </c>
      <c r="BD74" s="189" t="s">
        <v>900</v>
      </c>
      <c r="BE74" s="271">
        <v>4</v>
      </c>
      <c r="BF74" s="189" t="s">
        <v>937</v>
      </c>
      <c r="BG74" s="106"/>
      <c r="BH74" s="106"/>
      <c r="BI74" s="193">
        <v>1</v>
      </c>
    </row>
    <row r="75" spans="1:61" ht="15" customHeight="1">
      <c r="A75" s="830"/>
      <c r="B75" s="826"/>
      <c r="C75" s="272" t="s">
        <v>1119</v>
      </c>
      <c r="D75" s="199">
        <v>120</v>
      </c>
      <c r="E75" s="200">
        <v>110</v>
      </c>
      <c r="F75" s="159" t="s">
        <v>1120</v>
      </c>
      <c r="G75" s="160">
        <v>1</v>
      </c>
      <c r="H75" s="160">
        <v>0</v>
      </c>
      <c r="I75" s="160">
        <v>2</v>
      </c>
      <c r="J75" s="160">
        <v>1</v>
      </c>
      <c r="K75" s="160">
        <v>1</v>
      </c>
      <c r="L75" s="161" t="s">
        <v>899</v>
      </c>
      <c r="M75" s="162" t="s">
        <v>677</v>
      </c>
      <c r="N75" s="201">
        <v>-0.3</v>
      </c>
      <c r="O75" s="202">
        <v>0</v>
      </c>
      <c r="P75" s="165">
        <v>0.2</v>
      </c>
      <c r="Q75" s="166">
        <v>-0.4</v>
      </c>
      <c r="R75" s="167">
        <v>0</v>
      </c>
      <c r="S75" s="168">
        <v>0.2</v>
      </c>
      <c r="T75" s="169">
        <v>0</v>
      </c>
      <c r="U75" s="170">
        <v>0</v>
      </c>
      <c r="V75" s="171">
        <v>-0.2</v>
      </c>
      <c r="W75" s="172">
        <v>-2.5</v>
      </c>
      <c r="X75" s="173">
        <v>0</v>
      </c>
      <c r="Y75" s="174">
        <v>-3</v>
      </c>
      <c r="Z75" s="175" t="s">
        <v>900</v>
      </c>
      <c r="AA75" s="176">
        <v>3</v>
      </c>
      <c r="AB75" s="177">
        <v>0</v>
      </c>
      <c r="AC75" s="178">
        <v>5.5</v>
      </c>
      <c r="AD75" s="179">
        <v>-3</v>
      </c>
      <c r="AE75" s="187"/>
      <c r="AF75" s="173">
        <v>1</v>
      </c>
      <c r="AG75" s="173">
        <v>4</v>
      </c>
      <c r="AH75" s="195">
        <v>2</v>
      </c>
      <c r="AI75" s="106"/>
      <c r="AJ75" s="106"/>
      <c r="AK75" s="106"/>
      <c r="AL75" s="106"/>
      <c r="AM75" s="106"/>
      <c r="AN75" s="106"/>
      <c r="AO75" s="106"/>
      <c r="AP75" s="106"/>
      <c r="AQ75" s="270" t="s">
        <v>1117</v>
      </c>
      <c r="AR75" s="199">
        <v>95</v>
      </c>
      <c r="AS75" s="200">
        <v>95</v>
      </c>
      <c r="AT75" s="182" t="s">
        <v>588</v>
      </c>
      <c r="AU75" s="182" t="s">
        <v>643</v>
      </c>
      <c r="AV75" s="173">
        <v>2</v>
      </c>
      <c r="AW75" s="173">
        <v>3</v>
      </c>
      <c r="AX75" s="161" t="s">
        <v>899</v>
      </c>
      <c r="AY75" s="268">
        <v>-1</v>
      </c>
      <c r="AZ75" s="218">
        <v>6.5</v>
      </c>
      <c r="BA75" s="70">
        <v>-1</v>
      </c>
      <c r="BB75" s="70">
        <v>0</v>
      </c>
      <c r="BC75" s="70">
        <v>0</v>
      </c>
      <c r="BD75" s="189" t="s">
        <v>900</v>
      </c>
      <c r="BE75" s="232">
        <v>-4</v>
      </c>
      <c r="BF75" s="189" t="s">
        <v>1040</v>
      </c>
      <c r="BG75" s="106"/>
      <c r="BH75" s="106"/>
      <c r="BI75" s="193">
        <v>-2</v>
      </c>
    </row>
    <row r="76" spans="1:61" ht="15" customHeight="1">
      <c r="A76" s="830"/>
      <c r="B76" s="826"/>
      <c r="C76" s="273" t="s">
        <v>1121</v>
      </c>
      <c r="D76" s="199">
        <v>75</v>
      </c>
      <c r="E76" s="200">
        <v>175</v>
      </c>
      <c r="F76" s="159" t="s">
        <v>1122</v>
      </c>
      <c r="G76" s="160">
        <v>1</v>
      </c>
      <c r="H76" s="160">
        <v>2</v>
      </c>
      <c r="I76" s="160">
        <v>1</v>
      </c>
      <c r="J76" s="160">
        <v>1</v>
      </c>
      <c r="K76" s="160">
        <v>2</v>
      </c>
      <c r="L76" s="161" t="s">
        <v>899</v>
      </c>
      <c r="M76" s="162" t="s">
        <v>665</v>
      </c>
      <c r="N76" s="163">
        <v>-0.4</v>
      </c>
      <c r="O76" s="164">
        <v>0.4</v>
      </c>
      <c r="P76" s="165">
        <v>-0.2</v>
      </c>
      <c r="Q76" s="166">
        <v>0</v>
      </c>
      <c r="R76" s="167">
        <v>-0.2</v>
      </c>
      <c r="S76" s="168">
        <v>-0.2</v>
      </c>
      <c r="T76" s="169">
        <v>0.2</v>
      </c>
      <c r="U76" s="170">
        <v>0</v>
      </c>
      <c r="V76" s="171">
        <v>0</v>
      </c>
      <c r="W76" s="172">
        <v>-2</v>
      </c>
      <c r="X76" s="173">
        <v>2</v>
      </c>
      <c r="Y76" s="174">
        <v>0</v>
      </c>
      <c r="Z76" s="175" t="s">
        <v>900</v>
      </c>
      <c r="AA76" s="176">
        <v>5</v>
      </c>
      <c r="AB76" s="177">
        <v>0</v>
      </c>
      <c r="AC76" s="178">
        <v>3</v>
      </c>
      <c r="AD76" s="179">
        <v>0</v>
      </c>
      <c r="AE76" s="187"/>
      <c r="AF76" s="173">
        <v>3</v>
      </c>
      <c r="AG76" s="173">
        <v>4</v>
      </c>
      <c r="AH76" s="180">
        <v>0</v>
      </c>
      <c r="AI76" s="106"/>
      <c r="AJ76" s="106"/>
      <c r="AK76" s="106"/>
      <c r="AL76" s="106"/>
      <c r="AM76" s="106"/>
      <c r="AN76" s="106"/>
      <c r="AO76" s="106"/>
      <c r="AP76" s="106"/>
      <c r="AQ76" s="272" t="s">
        <v>1119</v>
      </c>
      <c r="AR76" s="199">
        <v>120</v>
      </c>
      <c r="AS76" s="200">
        <v>110</v>
      </c>
      <c r="AT76" s="274" t="s">
        <v>588</v>
      </c>
      <c r="AU76" s="274" t="s">
        <v>592</v>
      </c>
      <c r="AV76" s="173">
        <v>2</v>
      </c>
      <c r="AW76" s="173">
        <v>3</v>
      </c>
      <c r="AX76" s="161" t="s">
        <v>899</v>
      </c>
      <c r="AY76" s="268">
        <v>-3</v>
      </c>
      <c r="AZ76" s="208">
        <v>5.5</v>
      </c>
      <c r="BA76" s="70">
        <v>3</v>
      </c>
      <c r="BB76" s="70">
        <v>0</v>
      </c>
      <c r="BC76" s="70">
        <v>0</v>
      </c>
      <c r="BD76" s="189" t="s">
        <v>900</v>
      </c>
      <c r="BE76" s="215">
        <v>-2</v>
      </c>
      <c r="BF76" s="189" t="s">
        <v>937</v>
      </c>
      <c r="BG76" s="106"/>
      <c r="BH76" s="106"/>
      <c r="BI76" s="193">
        <v>1</v>
      </c>
    </row>
    <row r="77" spans="1:61" ht="15" customHeight="1">
      <c r="A77" s="831" t="s">
        <v>1123</v>
      </c>
      <c r="B77" s="825" t="s">
        <v>1124</v>
      </c>
      <c r="C77" s="270" t="s">
        <v>1125</v>
      </c>
      <c r="D77" s="199">
        <v>100</v>
      </c>
      <c r="E77" s="200">
        <v>100</v>
      </c>
      <c r="F77" s="159" t="s">
        <v>1126</v>
      </c>
      <c r="G77" s="160">
        <v>0</v>
      </c>
      <c r="H77" s="160">
        <v>0</v>
      </c>
      <c r="I77" s="160">
        <v>1</v>
      </c>
      <c r="J77" s="160">
        <v>2</v>
      </c>
      <c r="K77" s="160">
        <v>1</v>
      </c>
      <c r="L77" s="161" t="s">
        <v>899</v>
      </c>
      <c r="M77" s="162" t="s">
        <v>665</v>
      </c>
      <c r="N77" s="201">
        <v>-0.4</v>
      </c>
      <c r="O77" s="202">
        <v>0</v>
      </c>
      <c r="P77" s="165">
        <v>0.7</v>
      </c>
      <c r="Q77" s="166">
        <v>-0.7</v>
      </c>
      <c r="R77" s="167">
        <v>0</v>
      </c>
      <c r="S77" s="168">
        <v>0</v>
      </c>
      <c r="T77" s="169">
        <v>0</v>
      </c>
      <c r="U77" s="170">
        <v>0</v>
      </c>
      <c r="V77" s="171">
        <v>0</v>
      </c>
      <c r="W77" s="172">
        <v>-2</v>
      </c>
      <c r="X77" s="173">
        <v>-1</v>
      </c>
      <c r="Y77" s="174">
        <v>-3</v>
      </c>
      <c r="Z77" s="175" t="s">
        <v>900</v>
      </c>
      <c r="AA77" s="176">
        <v>0</v>
      </c>
      <c r="AB77" s="177">
        <v>0</v>
      </c>
      <c r="AC77" s="178">
        <v>11</v>
      </c>
      <c r="AD77" s="179">
        <v>-3</v>
      </c>
      <c r="AE77" s="187"/>
      <c r="AF77" s="173">
        <v>0</v>
      </c>
      <c r="AG77" s="173">
        <v>4</v>
      </c>
      <c r="AH77" s="180">
        <v>0</v>
      </c>
      <c r="AI77" s="106"/>
      <c r="AJ77" s="106"/>
      <c r="AK77" s="106"/>
      <c r="AL77" s="106"/>
      <c r="AM77" s="106"/>
      <c r="AN77" s="106"/>
      <c r="AO77" s="106"/>
      <c r="AP77" s="106"/>
      <c r="AQ77" s="273" t="s">
        <v>1121</v>
      </c>
      <c r="AR77" s="199">
        <v>75</v>
      </c>
      <c r="AS77" s="200">
        <v>175</v>
      </c>
      <c r="AT77" s="182" t="s">
        <v>588</v>
      </c>
      <c r="AU77" s="182" t="s">
        <v>602</v>
      </c>
      <c r="AV77" s="173">
        <v>3</v>
      </c>
      <c r="AW77" s="173">
        <v>4</v>
      </c>
      <c r="AX77" s="161" t="s">
        <v>899</v>
      </c>
      <c r="AY77" s="268">
        <v>2</v>
      </c>
      <c r="AZ77" s="235">
        <v>3</v>
      </c>
      <c r="BA77" s="70">
        <v>5</v>
      </c>
      <c r="BB77" s="70">
        <v>1</v>
      </c>
      <c r="BC77" s="70">
        <v>1</v>
      </c>
      <c r="BD77" s="189" t="s">
        <v>900</v>
      </c>
      <c r="BE77" s="243">
        <v>2</v>
      </c>
      <c r="BF77" s="189" t="s">
        <v>966</v>
      </c>
      <c r="BG77" s="106"/>
      <c r="BH77" s="106"/>
      <c r="BI77" s="207">
        <v>7</v>
      </c>
    </row>
    <row r="78" spans="1:61" ht="15" customHeight="1">
      <c r="A78" s="832"/>
      <c r="B78" s="826"/>
      <c r="C78" s="272" t="s">
        <v>1127</v>
      </c>
      <c r="D78" s="199">
        <v>125</v>
      </c>
      <c r="E78" s="200">
        <v>85</v>
      </c>
      <c r="F78" s="159" t="s">
        <v>1128</v>
      </c>
      <c r="G78" s="160">
        <v>2</v>
      </c>
      <c r="H78" s="160">
        <v>1</v>
      </c>
      <c r="I78" s="160">
        <v>2</v>
      </c>
      <c r="J78" s="160">
        <v>1</v>
      </c>
      <c r="K78" s="160">
        <v>1</v>
      </c>
      <c r="L78" s="161" t="s">
        <v>899</v>
      </c>
      <c r="M78" s="162" t="s">
        <v>665</v>
      </c>
      <c r="N78" s="163">
        <v>-0.4</v>
      </c>
      <c r="O78" s="164">
        <v>0.2</v>
      </c>
      <c r="P78" s="165">
        <v>0.2</v>
      </c>
      <c r="Q78" s="166">
        <v>0</v>
      </c>
      <c r="R78" s="167">
        <v>-0.4</v>
      </c>
      <c r="S78" s="168">
        <v>0</v>
      </c>
      <c r="T78" s="169">
        <v>-0.4</v>
      </c>
      <c r="U78" s="170">
        <v>0.1</v>
      </c>
      <c r="V78" s="171">
        <v>0.1</v>
      </c>
      <c r="W78" s="172">
        <v>-3</v>
      </c>
      <c r="X78" s="173">
        <v>2</v>
      </c>
      <c r="Y78" s="174">
        <v>-1</v>
      </c>
      <c r="Z78" s="175" t="s">
        <v>900</v>
      </c>
      <c r="AA78" s="176">
        <v>1</v>
      </c>
      <c r="AB78" s="177">
        <v>0</v>
      </c>
      <c r="AC78" s="178">
        <v>8</v>
      </c>
      <c r="AD78" s="179">
        <v>-1</v>
      </c>
      <c r="AE78" s="187"/>
      <c r="AF78" s="173">
        <v>3</v>
      </c>
      <c r="AG78" s="173">
        <v>4</v>
      </c>
      <c r="AH78" s="180">
        <v>0</v>
      </c>
      <c r="AI78" s="106"/>
      <c r="AJ78" s="106"/>
      <c r="AK78" s="106"/>
      <c r="AL78" s="106"/>
      <c r="AM78" s="106"/>
      <c r="AN78" s="106"/>
      <c r="AO78" s="106"/>
      <c r="AP78" s="106"/>
      <c r="AQ78" s="270" t="s">
        <v>1125</v>
      </c>
      <c r="AR78" s="199">
        <v>100</v>
      </c>
      <c r="AS78" s="200">
        <v>100</v>
      </c>
      <c r="AT78" s="182" t="s">
        <v>592</v>
      </c>
      <c r="AU78" s="182" t="s">
        <v>552</v>
      </c>
      <c r="AV78" s="173">
        <v>0</v>
      </c>
      <c r="AW78" s="173">
        <v>4</v>
      </c>
      <c r="AX78" s="161" t="s">
        <v>899</v>
      </c>
      <c r="AY78" s="268">
        <v>-3</v>
      </c>
      <c r="AZ78" s="221">
        <v>11</v>
      </c>
      <c r="BA78" s="70">
        <v>0</v>
      </c>
      <c r="BB78" s="70">
        <v>-2</v>
      </c>
      <c r="BC78" s="70">
        <v>1</v>
      </c>
      <c r="BD78" s="189" t="s">
        <v>900</v>
      </c>
      <c r="BE78" s="239">
        <v>1</v>
      </c>
      <c r="BF78" s="189" t="s">
        <v>956</v>
      </c>
      <c r="BG78" s="106"/>
      <c r="BH78" s="106"/>
      <c r="BI78" s="193">
        <v>-3</v>
      </c>
    </row>
    <row r="79" spans="1:61" ht="15" customHeight="1">
      <c r="A79" s="832"/>
      <c r="B79" s="826"/>
      <c r="C79" s="273" t="s">
        <v>1129</v>
      </c>
      <c r="D79" s="199">
        <v>85</v>
      </c>
      <c r="E79" s="200">
        <v>85</v>
      </c>
      <c r="F79" s="159" t="s">
        <v>1130</v>
      </c>
      <c r="G79" s="160">
        <v>1</v>
      </c>
      <c r="H79" s="160">
        <v>1</v>
      </c>
      <c r="I79" s="160">
        <v>1</v>
      </c>
      <c r="J79" s="160">
        <v>1</v>
      </c>
      <c r="K79" s="160">
        <v>2</v>
      </c>
      <c r="L79" s="161" t="s">
        <v>899</v>
      </c>
      <c r="M79" s="162" t="s">
        <v>686</v>
      </c>
      <c r="N79" s="163">
        <v>0</v>
      </c>
      <c r="O79" s="164">
        <v>0.2</v>
      </c>
      <c r="P79" s="165">
        <v>0.2</v>
      </c>
      <c r="Q79" s="166">
        <v>0</v>
      </c>
      <c r="R79" s="167">
        <v>-0.2</v>
      </c>
      <c r="S79" s="168">
        <v>0</v>
      </c>
      <c r="T79" s="169">
        <v>-0.6</v>
      </c>
      <c r="U79" s="170">
        <v>-0.4</v>
      </c>
      <c r="V79" s="171">
        <v>-0.2</v>
      </c>
      <c r="W79" s="172">
        <v>-5</v>
      </c>
      <c r="X79" s="173">
        <v>1</v>
      </c>
      <c r="Y79" s="174">
        <v>-4</v>
      </c>
      <c r="Z79" s="175" t="s">
        <v>900</v>
      </c>
      <c r="AA79" s="176">
        <v>-3</v>
      </c>
      <c r="AB79" s="177">
        <v>0</v>
      </c>
      <c r="AC79" s="178">
        <v>7</v>
      </c>
      <c r="AD79" s="179">
        <v>-4</v>
      </c>
      <c r="AE79" s="187"/>
      <c r="AF79" s="173">
        <v>2</v>
      </c>
      <c r="AG79" s="173">
        <v>4</v>
      </c>
      <c r="AH79" s="275">
        <v>8</v>
      </c>
      <c r="AI79" s="106"/>
      <c r="AJ79" s="106"/>
      <c r="AK79" s="106"/>
      <c r="AL79" s="106"/>
      <c r="AM79" s="106"/>
      <c r="AN79" s="106"/>
      <c r="AO79" s="106"/>
      <c r="AP79" s="106"/>
      <c r="AQ79" s="272" t="s">
        <v>1127</v>
      </c>
      <c r="AR79" s="199">
        <v>125</v>
      </c>
      <c r="AS79" s="200">
        <v>85</v>
      </c>
      <c r="AT79" s="182" t="s">
        <v>592</v>
      </c>
      <c r="AU79" s="182" t="s">
        <v>568</v>
      </c>
      <c r="AV79" s="173">
        <v>3</v>
      </c>
      <c r="AW79" s="173">
        <v>2</v>
      </c>
      <c r="AX79" s="161" t="s">
        <v>899</v>
      </c>
      <c r="AY79" s="268">
        <v>-5</v>
      </c>
      <c r="AZ79" s="203">
        <v>8</v>
      </c>
      <c r="BA79" s="70">
        <v>1</v>
      </c>
      <c r="BB79" s="70">
        <v>1</v>
      </c>
      <c r="BC79" s="70">
        <v>-1</v>
      </c>
      <c r="BD79" s="189" t="s">
        <v>900</v>
      </c>
      <c r="BE79" s="232">
        <v>-4</v>
      </c>
      <c r="BF79" s="189" t="s">
        <v>963</v>
      </c>
      <c r="BG79" s="106"/>
      <c r="BH79" s="106"/>
      <c r="BI79" s="207">
        <v>-4</v>
      </c>
    </row>
    <row r="80" spans="1:61" ht="15" customHeight="1">
      <c r="A80" s="832"/>
      <c r="B80" s="825" t="s">
        <v>1131</v>
      </c>
      <c r="C80" s="270" t="s">
        <v>1132</v>
      </c>
      <c r="D80" s="199">
        <v>70</v>
      </c>
      <c r="E80" s="200">
        <v>125</v>
      </c>
      <c r="F80" s="159" t="s">
        <v>1133</v>
      </c>
      <c r="G80" s="160">
        <v>0</v>
      </c>
      <c r="H80" s="160">
        <v>0</v>
      </c>
      <c r="I80" s="160">
        <v>0</v>
      </c>
      <c r="J80" s="160">
        <v>2</v>
      </c>
      <c r="K80" s="160">
        <v>2</v>
      </c>
      <c r="L80" s="161" t="s">
        <v>899</v>
      </c>
      <c r="M80" s="162" t="s">
        <v>665</v>
      </c>
      <c r="N80" s="201">
        <v>0.3</v>
      </c>
      <c r="O80" s="202">
        <v>-0.3</v>
      </c>
      <c r="P80" s="165">
        <v>0</v>
      </c>
      <c r="Q80" s="166">
        <v>0</v>
      </c>
      <c r="R80" s="167">
        <v>0.3</v>
      </c>
      <c r="S80" s="168">
        <v>-0.3</v>
      </c>
      <c r="T80" s="169">
        <v>0.5</v>
      </c>
      <c r="U80" s="170">
        <v>0</v>
      </c>
      <c r="V80" s="171">
        <v>-0.5</v>
      </c>
      <c r="W80" s="172">
        <v>0</v>
      </c>
      <c r="X80" s="173">
        <v>-1</v>
      </c>
      <c r="Y80" s="174">
        <v>-1</v>
      </c>
      <c r="Z80" s="175" t="s">
        <v>900</v>
      </c>
      <c r="AA80" s="176">
        <v>-1</v>
      </c>
      <c r="AB80" s="177">
        <v>0</v>
      </c>
      <c r="AC80" s="178">
        <v>10</v>
      </c>
      <c r="AD80" s="179">
        <v>-1</v>
      </c>
      <c r="AE80" s="187"/>
      <c r="AF80" s="173">
        <v>0</v>
      </c>
      <c r="AG80" s="173">
        <v>4</v>
      </c>
      <c r="AH80" s="180">
        <v>0</v>
      </c>
      <c r="AI80" s="106"/>
      <c r="AJ80" s="106"/>
      <c r="AK80" s="106"/>
      <c r="AL80" s="106"/>
      <c r="AM80" s="106"/>
      <c r="AN80" s="106"/>
      <c r="AO80" s="106"/>
      <c r="AP80" s="106"/>
      <c r="AQ80" s="273" t="s">
        <v>1129</v>
      </c>
      <c r="AR80" s="199">
        <v>90</v>
      </c>
      <c r="AS80" s="200">
        <v>120</v>
      </c>
      <c r="AT80" s="274" t="s">
        <v>592</v>
      </c>
      <c r="AU80" s="274" t="s">
        <v>588</v>
      </c>
      <c r="AV80" s="173">
        <v>2</v>
      </c>
      <c r="AW80" s="173">
        <v>4</v>
      </c>
      <c r="AX80" s="161" t="s">
        <v>899</v>
      </c>
      <c r="AY80" s="268">
        <v>-1</v>
      </c>
      <c r="AZ80" s="208">
        <v>5.5</v>
      </c>
      <c r="BA80" s="70">
        <v>1</v>
      </c>
      <c r="BB80" s="70">
        <v>0</v>
      </c>
      <c r="BC80" s="70">
        <v>1</v>
      </c>
      <c r="BD80" s="189" t="s">
        <v>900</v>
      </c>
      <c r="BE80" s="246">
        <v>-3</v>
      </c>
      <c r="BF80" s="189" t="s">
        <v>1134</v>
      </c>
      <c r="BG80" s="106"/>
      <c r="BH80" s="106"/>
      <c r="BI80" s="193">
        <v>0</v>
      </c>
    </row>
    <row r="81" spans="1:61" ht="15" customHeight="1">
      <c r="A81" s="832"/>
      <c r="B81" s="826"/>
      <c r="C81" s="272" t="s">
        <v>1135</v>
      </c>
      <c r="D81" s="199">
        <v>40</v>
      </c>
      <c r="E81" s="200">
        <v>150</v>
      </c>
      <c r="F81" s="159" t="s">
        <v>1136</v>
      </c>
      <c r="G81" s="160">
        <v>-2</v>
      </c>
      <c r="H81" s="160">
        <v>1</v>
      </c>
      <c r="I81" s="160">
        <v>-1</v>
      </c>
      <c r="J81" s="160">
        <v>1</v>
      </c>
      <c r="K81" s="160">
        <v>4</v>
      </c>
      <c r="L81" s="161" t="s">
        <v>899</v>
      </c>
      <c r="M81" s="162" t="s">
        <v>665</v>
      </c>
      <c r="N81" s="201">
        <v>0.2</v>
      </c>
      <c r="O81" s="202">
        <v>-0.2</v>
      </c>
      <c r="P81" s="165">
        <v>0</v>
      </c>
      <c r="Q81" s="166">
        <v>0</v>
      </c>
      <c r="R81" s="167">
        <v>0.3</v>
      </c>
      <c r="S81" s="168">
        <v>-0.1</v>
      </c>
      <c r="T81" s="169">
        <v>0.3</v>
      </c>
      <c r="U81" s="170">
        <v>-0.7</v>
      </c>
      <c r="V81" s="171">
        <v>0.2</v>
      </c>
      <c r="W81" s="172">
        <v>0</v>
      </c>
      <c r="X81" s="173">
        <v>-2</v>
      </c>
      <c r="Y81" s="174">
        <v>-2</v>
      </c>
      <c r="Z81" s="175" t="s">
        <v>900</v>
      </c>
      <c r="AA81" s="176">
        <v>-1</v>
      </c>
      <c r="AB81" s="177">
        <v>0</v>
      </c>
      <c r="AC81" s="178">
        <v>11</v>
      </c>
      <c r="AD81" s="179">
        <v>-2</v>
      </c>
      <c r="AE81" s="187"/>
      <c r="AF81" s="173">
        <v>-1</v>
      </c>
      <c r="AG81" s="173">
        <v>4</v>
      </c>
      <c r="AH81" s="180">
        <v>0</v>
      </c>
      <c r="AI81" s="106"/>
      <c r="AJ81" s="106"/>
      <c r="AK81" s="106"/>
      <c r="AL81" s="106"/>
      <c r="AM81" s="106"/>
      <c r="AN81" s="106"/>
      <c r="AO81" s="106"/>
      <c r="AP81" s="106"/>
      <c r="AQ81" s="270" t="s">
        <v>1132</v>
      </c>
      <c r="AR81" s="199">
        <v>70</v>
      </c>
      <c r="AS81" s="200">
        <v>125</v>
      </c>
      <c r="AT81" s="182" t="s">
        <v>600</v>
      </c>
      <c r="AU81" s="182" t="s">
        <v>592</v>
      </c>
      <c r="AV81" s="173">
        <v>0</v>
      </c>
      <c r="AW81" s="173">
        <v>4</v>
      </c>
      <c r="AX81" s="161" t="s">
        <v>899</v>
      </c>
      <c r="AY81" s="268">
        <v>-2</v>
      </c>
      <c r="AZ81" s="205">
        <v>10</v>
      </c>
      <c r="BA81" s="70">
        <v>-0.5</v>
      </c>
      <c r="BB81" s="70">
        <v>-2</v>
      </c>
      <c r="BC81" s="70">
        <v>1</v>
      </c>
      <c r="BD81" s="189" t="s">
        <v>900</v>
      </c>
      <c r="BE81" s="197">
        <v>-1</v>
      </c>
      <c r="BF81" s="189" t="s">
        <v>949</v>
      </c>
      <c r="BG81" s="106"/>
      <c r="BH81" s="106"/>
      <c r="BI81" s="193">
        <v>-3</v>
      </c>
    </row>
    <row r="82" spans="1:61" ht="15" customHeight="1">
      <c r="A82" s="832"/>
      <c r="B82" s="826"/>
      <c r="C82" s="273" t="s">
        <v>1137</v>
      </c>
      <c r="D82" s="199">
        <v>85</v>
      </c>
      <c r="E82" s="200">
        <v>105</v>
      </c>
      <c r="F82" s="159" t="s">
        <v>1138</v>
      </c>
      <c r="G82" s="160">
        <v>1</v>
      </c>
      <c r="H82" s="160">
        <v>1</v>
      </c>
      <c r="I82" s="160">
        <v>1</v>
      </c>
      <c r="J82" s="160">
        <v>1</v>
      </c>
      <c r="K82" s="160">
        <v>1</v>
      </c>
      <c r="L82" s="161" t="s">
        <v>899</v>
      </c>
      <c r="M82" s="162" t="s">
        <v>677</v>
      </c>
      <c r="N82" s="163">
        <v>0</v>
      </c>
      <c r="O82" s="164">
        <v>-0.2</v>
      </c>
      <c r="P82" s="165">
        <v>0</v>
      </c>
      <c r="Q82" s="166">
        <v>0</v>
      </c>
      <c r="R82" s="167">
        <v>0.3</v>
      </c>
      <c r="S82" s="168">
        <v>-0.3</v>
      </c>
      <c r="T82" s="169">
        <v>0.3</v>
      </c>
      <c r="U82" s="170">
        <v>-0.5</v>
      </c>
      <c r="V82" s="171">
        <v>0</v>
      </c>
      <c r="W82" s="172">
        <v>-2</v>
      </c>
      <c r="X82" s="173">
        <v>0</v>
      </c>
      <c r="Y82" s="174">
        <v>-2</v>
      </c>
      <c r="Z82" s="175" t="s">
        <v>900</v>
      </c>
      <c r="AA82" s="176">
        <v>-1</v>
      </c>
      <c r="AB82" s="177">
        <v>0</v>
      </c>
      <c r="AC82" s="178">
        <v>9</v>
      </c>
      <c r="AD82" s="179">
        <v>-2</v>
      </c>
      <c r="AE82" s="187"/>
      <c r="AF82" s="173">
        <v>2</v>
      </c>
      <c r="AG82" s="173">
        <v>3</v>
      </c>
      <c r="AH82" s="195">
        <v>2</v>
      </c>
      <c r="AI82" s="106"/>
      <c r="AJ82" s="106"/>
      <c r="AK82" s="106"/>
      <c r="AL82" s="106"/>
      <c r="AM82" s="106"/>
      <c r="AN82" s="106"/>
      <c r="AO82" s="106"/>
      <c r="AP82" s="106"/>
      <c r="AQ82" s="272" t="s">
        <v>1135</v>
      </c>
      <c r="AR82" s="199">
        <v>40</v>
      </c>
      <c r="AS82" s="200">
        <v>150</v>
      </c>
      <c r="AT82" s="182" t="s">
        <v>600</v>
      </c>
      <c r="AU82" s="182" t="s">
        <v>586</v>
      </c>
      <c r="AV82" s="173">
        <v>-1</v>
      </c>
      <c r="AW82" s="173">
        <v>4</v>
      </c>
      <c r="AX82" s="161" t="s">
        <v>899</v>
      </c>
      <c r="AY82" s="268">
        <v>-2</v>
      </c>
      <c r="AZ82" s="221">
        <v>11</v>
      </c>
      <c r="BA82" s="70">
        <v>-1</v>
      </c>
      <c r="BB82" s="70">
        <v>-3</v>
      </c>
      <c r="BC82" s="70">
        <v>1</v>
      </c>
      <c r="BD82" s="189" t="s">
        <v>900</v>
      </c>
      <c r="BE82" s="204">
        <v>0</v>
      </c>
      <c r="BF82" s="189" t="s">
        <v>949</v>
      </c>
      <c r="BG82" s="106"/>
      <c r="BH82" s="106"/>
      <c r="BI82" s="193">
        <v>-3</v>
      </c>
    </row>
    <row r="83" spans="1:61" ht="15" customHeight="1">
      <c r="A83" s="269"/>
      <c r="B83" s="825" t="s">
        <v>1139</v>
      </c>
      <c r="C83" s="270" t="s">
        <v>1140</v>
      </c>
      <c r="D83" s="199">
        <v>30</v>
      </c>
      <c r="E83" s="200">
        <v>60</v>
      </c>
      <c r="F83" s="159" t="s">
        <v>1141</v>
      </c>
      <c r="G83" s="160">
        <v>1</v>
      </c>
      <c r="H83" s="160">
        <v>1</v>
      </c>
      <c r="I83" s="160">
        <v>0</v>
      </c>
      <c r="J83" s="160">
        <v>3</v>
      </c>
      <c r="K83" s="160">
        <v>1</v>
      </c>
      <c r="L83" s="161" t="s">
        <v>927</v>
      </c>
      <c r="M83" s="162" t="s">
        <v>665</v>
      </c>
      <c r="N83" s="163">
        <v>-0.5</v>
      </c>
      <c r="O83" s="164">
        <v>0.5</v>
      </c>
      <c r="P83" s="165">
        <v>0.5</v>
      </c>
      <c r="Q83" s="166">
        <v>-0.5</v>
      </c>
      <c r="R83" s="167">
        <v>0</v>
      </c>
      <c r="S83" s="168">
        <v>0</v>
      </c>
      <c r="T83" s="169">
        <v>-0.4</v>
      </c>
      <c r="U83" s="170">
        <v>-0.4</v>
      </c>
      <c r="V83" s="171">
        <v>-0.4</v>
      </c>
      <c r="W83" s="172">
        <v>-6</v>
      </c>
      <c r="X83" s="173">
        <v>1</v>
      </c>
      <c r="Y83" s="174">
        <v>-5</v>
      </c>
      <c r="Z83" s="175" t="s">
        <v>1066</v>
      </c>
      <c r="AA83" s="176">
        <v>-11</v>
      </c>
      <c r="AB83" s="257">
        <v>0</v>
      </c>
      <c r="AC83" s="178">
        <v>12</v>
      </c>
      <c r="AD83" s="179">
        <v>7</v>
      </c>
      <c r="AE83" s="187"/>
      <c r="AF83" s="173">
        <v>2</v>
      </c>
      <c r="AG83" s="173">
        <v>4</v>
      </c>
      <c r="AH83" s="180">
        <v>0</v>
      </c>
      <c r="AI83" s="106"/>
      <c r="AJ83" s="106"/>
      <c r="AK83" s="106"/>
      <c r="AL83" s="106"/>
      <c r="AM83" s="106"/>
      <c r="AN83" s="106"/>
      <c r="AO83" s="106"/>
      <c r="AP83" s="106"/>
      <c r="AQ83" s="273" t="s">
        <v>1137</v>
      </c>
      <c r="AR83" s="199">
        <v>65</v>
      </c>
      <c r="AS83" s="200">
        <v>105</v>
      </c>
      <c r="AT83" s="182" t="s">
        <v>600</v>
      </c>
      <c r="AU83" s="182" t="s">
        <v>641</v>
      </c>
      <c r="AV83" s="173">
        <v>2</v>
      </c>
      <c r="AW83" s="173">
        <v>3</v>
      </c>
      <c r="AX83" s="161" t="s">
        <v>899</v>
      </c>
      <c r="AY83" s="268">
        <v>0</v>
      </c>
      <c r="AZ83" s="188">
        <v>9</v>
      </c>
      <c r="BA83" s="70">
        <v>-3</v>
      </c>
      <c r="BB83" s="70">
        <v>0</v>
      </c>
      <c r="BC83" s="70">
        <v>0</v>
      </c>
      <c r="BD83" s="189" t="s">
        <v>900</v>
      </c>
      <c r="BE83" s="215">
        <v>-2</v>
      </c>
      <c r="BF83" s="189" t="s">
        <v>949</v>
      </c>
      <c r="BG83" s="106"/>
      <c r="BH83" s="106"/>
      <c r="BI83" s="193">
        <v>-3</v>
      </c>
    </row>
    <row r="84" spans="1:61" ht="15" customHeight="1">
      <c r="A84" s="276"/>
      <c r="B84" s="826"/>
      <c r="C84" s="272" t="s">
        <v>1142</v>
      </c>
      <c r="D84" s="199">
        <v>100</v>
      </c>
      <c r="E84" s="200">
        <v>100</v>
      </c>
      <c r="F84" s="159" t="s">
        <v>1143</v>
      </c>
      <c r="G84" s="160">
        <v>0</v>
      </c>
      <c r="H84" s="160">
        <v>1</v>
      </c>
      <c r="I84" s="160">
        <v>0</v>
      </c>
      <c r="J84" s="160">
        <v>2</v>
      </c>
      <c r="K84" s="160">
        <v>2</v>
      </c>
      <c r="L84" s="161" t="s">
        <v>899</v>
      </c>
      <c r="M84" s="162" t="s">
        <v>677</v>
      </c>
      <c r="N84" s="201">
        <v>0</v>
      </c>
      <c r="O84" s="202">
        <v>0.3</v>
      </c>
      <c r="P84" s="165">
        <v>0.5</v>
      </c>
      <c r="Q84" s="166">
        <v>-0.4</v>
      </c>
      <c r="R84" s="167">
        <v>-0.2</v>
      </c>
      <c r="S84" s="168">
        <v>-0.2</v>
      </c>
      <c r="T84" s="169">
        <v>0</v>
      </c>
      <c r="U84" s="170">
        <v>0</v>
      </c>
      <c r="V84" s="171">
        <v>0</v>
      </c>
      <c r="W84" s="172">
        <v>0</v>
      </c>
      <c r="X84" s="173">
        <v>0</v>
      </c>
      <c r="Y84" s="174">
        <v>0</v>
      </c>
      <c r="Z84" s="175" t="s">
        <v>900</v>
      </c>
      <c r="AA84" s="176">
        <v>0</v>
      </c>
      <c r="AB84" s="177">
        <v>0</v>
      </c>
      <c r="AC84" s="178">
        <v>6</v>
      </c>
      <c r="AD84" s="179">
        <v>0</v>
      </c>
      <c r="AE84" s="187"/>
      <c r="AF84" s="173">
        <v>1</v>
      </c>
      <c r="AG84" s="173">
        <v>4</v>
      </c>
      <c r="AH84" s="195">
        <v>2</v>
      </c>
      <c r="AI84" s="106"/>
      <c r="AJ84" s="106"/>
      <c r="AK84" s="106"/>
      <c r="AL84" s="106"/>
      <c r="AM84" s="106"/>
      <c r="AN84" s="106"/>
      <c r="AO84" s="106"/>
      <c r="AP84" s="106"/>
      <c r="AQ84" s="270" t="s">
        <v>1140</v>
      </c>
      <c r="AR84" s="199">
        <v>30</v>
      </c>
      <c r="AS84" s="200">
        <v>60</v>
      </c>
      <c r="AT84" s="182" t="s">
        <v>643</v>
      </c>
      <c r="AU84" s="182" t="s">
        <v>552</v>
      </c>
      <c r="AV84" s="173">
        <v>2</v>
      </c>
      <c r="AW84" s="173">
        <v>4</v>
      </c>
      <c r="AX84" s="161" t="s">
        <v>927</v>
      </c>
      <c r="AY84" s="268">
        <v>7</v>
      </c>
      <c r="AZ84" s="212">
        <v>12</v>
      </c>
      <c r="BA84" s="70">
        <v>-11</v>
      </c>
      <c r="BB84" s="70">
        <v>0</v>
      </c>
      <c r="BC84" s="70">
        <v>1</v>
      </c>
      <c r="BD84" s="189" t="s">
        <v>986</v>
      </c>
      <c r="BE84" s="256">
        <v>4</v>
      </c>
      <c r="BF84" s="189" t="s">
        <v>900</v>
      </c>
      <c r="BG84" s="106"/>
      <c r="BH84" s="106"/>
      <c r="BI84" s="193">
        <v>0</v>
      </c>
    </row>
    <row r="85" spans="1:61" ht="15" customHeight="1">
      <c r="A85" s="276"/>
      <c r="B85" s="826"/>
      <c r="C85" s="273" t="s">
        <v>1144</v>
      </c>
      <c r="D85" s="199">
        <v>150</v>
      </c>
      <c r="E85" s="200">
        <v>120</v>
      </c>
      <c r="F85" s="159" t="s">
        <v>1145</v>
      </c>
      <c r="G85" s="160">
        <v>2</v>
      </c>
      <c r="H85" s="160">
        <v>2</v>
      </c>
      <c r="I85" s="160">
        <v>1</v>
      </c>
      <c r="J85" s="160">
        <v>1</v>
      </c>
      <c r="K85" s="160">
        <v>1</v>
      </c>
      <c r="L85" s="161" t="s">
        <v>953</v>
      </c>
      <c r="M85" s="162" t="s">
        <v>665</v>
      </c>
      <c r="N85" s="201">
        <v>0.1</v>
      </c>
      <c r="O85" s="202">
        <v>0.1</v>
      </c>
      <c r="P85" s="165">
        <v>0.1</v>
      </c>
      <c r="Q85" s="166">
        <v>0.1</v>
      </c>
      <c r="R85" s="167">
        <v>0.1</v>
      </c>
      <c r="S85" s="168">
        <v>0.1</v>
      </c>
      <c r="T85" s="169">
        <v>0.1</v>
      </c>
      <c r="U85" s="170">
        <v>0.1</v>
      </c>
      <c r="V85" s="171">
        <v>0.1</v>
      </c>
      <c r="W85" s="172">
        <v>4.5</v>
      </c>
      <c r="X85" s="173">
        <v>2</v>
      </c>
      <c r="Y85" s="174">
        <v>7</v>
      </c>
      <c r="Z85" s="175" t="s">
        <v>956</v>
      </c>
      <c r="AA85" s="176">
        <v>7</v>
      </c>
      <c r="AB85" s="177">
        <v>0</v>
      </c>
      <c r="AC85" s="178">
        <v>-3</v>
      </c>
      <c r="AD85" s="179">
        <v>4</v>
      </c>
      <c r="AE85" s="187"/>
      <c r="AF85" s="173">
        <v>4</v>
      </c>
      <c r="AG85" s="173">
        <v>3</v>
      </c>
      <c r="AH85" s="180">
        <v>0</v>
      </c>
      <c r="AI85" s="106"/>
      <c r="AJ85" s="106"/>
      <c r="AK85" s="106"/>
      <c r="AL85" s="106"/>
      <c r="AM85" s="106"/>
      <c r="AN85" s="106"/>
      <c r="AO85" s="106"/>
      <c r="AP85" s="106"/>
      <c r="AQ85" s="272" t="s">
        <v>1142</v>
      </c>
      <c r="AR85" s="199">
        <v>100</v>
      </c>
      <c r="AS85" s="200">
        <v>100</v>
      </c>
      <c r="AT85" s="182" t="s">
        <v>643</v>
      </c>
      <c r="AU85" s="182" t="s">
        <v>626</v>
      </c>
      <c r="AV85" s="173">
        <v>2</v>
      </c>
      <c r="AW85" s="173">
        <v>4</v>
      </c>
      <c r="AX85" s="161" t="s">
        <v>899</v>
      </c>
      <c r="AY85" s="268">
        <v>1</v>
      </c>
      <c r="AZ85" s="277">
        <v>6</v>
      </c>
      <c r="BA85" s="70">
        <v>0</v>
      </c>
      <c r="BB85" s="70">
        <v>0</v>
      </c>
      <c r="BC85" s="70">
        <v>1</v>
      </c>
      <c r="BD85" s="189" t="s">
        <v>900</v>
      </c>
      <c r="BE85" s="197">
        <v>-1</v>
      </c>
      <c r="BF85" s="189" t="s">
        <v>671</v>
      </c>
      <c r="BG85" s="106"/>
      <c r="BH85" s="106"/>
      <c r="BI85" s="193">
        <v>1</v>
      </c>
    </row>
    <row r="86" spans="1:61" ht="15" customHeight="1">
      <c r="A86" s="278"/>
      <c r="B86" s="822" t="s">
        <v>1146</v>
      </c>
      <c r="C86" s="279" t="s">
        <v>1147</v>
      </c>
      <c r="D86" s="199">
        <v>120</v>
      </c>
      <c r="E86" s="200">
        <v>100</v>
      </c>
      <c r="F86" s="159" t="s">
        <v>1148</v>
      </c>
      <c r="G86" s="160">
        <v>1</v>
      </c>
      <c r="H86" s="160">
        <v>1</v>
      </c>
      <c r="I86" s="160">
        <v>0</v>
      </c>
      <c r="J86" s="160">
        <v>0</v>
      </c>
      <c r="K86" s="160">
        <v>2</v>
      </c>
      <c r="L86" s="161" t="s">
        <v>899</v>
      </c>
      <c r="M86" s="162" t="s">
        <v>665</v>
      </c>
      <c r="N86" s="163">
        <v>0.6</v>
      </c>
      <c r="O86" s="164">
        <v>0.6</v>
      </c>
      <c r="P86" s="165">
        <v>-0.2</v>
      </c>
      <c r="Q86" s="166">
        <v>-0.2</v>
      </c>
      <c r="R86" s="167">
        <v>0</v>
      </c>
      <c r="S86" s="168">
        <v>-0.2</v>
      </c>
      <c r="T86" s="169">
        <v>0.1</v>
      </c>
      <c r="U86" s="170">
        <v>-0.6</v>
      </c>
      <c r="V86" s="171">
        <v>0</v>
      </c>
      <c r="W86" s="172">
        <v>0.5</v>
      </c>
      <c r="X86" s="173">
        <v>-1</v>
      </c>
      <c r="Y86" s="174">
        <v>-1</v>
      </c>
      <c r="Z86" s="175" t="s">
        <v>900</v>
      </c>
      <c r="AA86" s="176">
        <v>2</v>
      </c>
      <c r="AB86" s="177">
        <v>0</v>
      </c>
      <c r="AC86" s="178">
        <v>6.5</v>
      </c>
      <c r="AD86" s="179">
        <v>-1</v>
      </c>
      <c r="AE86" s="187"/>
      <c r="AF86" s="173">
        <v>2</v>
      </c>
      <c r="AG86" s="173">
        <v>2</v>
      </c>
      <c r="AH86" s="180">
        <v>0</v>
      </c>
      <c r="AI86" s="106"/>
      <c r="AJ86" s="106"/>
      <c r="AK86" s="106"/>
      <c r="AL86" s="106"/>
      <c r="AM86" s="106"/>
      <c r="AN86" s="106"/>
      <c r="AO86" s="106"/>
      <c r="AP86" s="106"/>
      <c r="AQ86" s="273" t="s">
        <v>1144</v>
      </c>
      <c r="AR86" s="199">
        <v>180</v>
      </c>
      <c r="AS86" s="200">
        <v>120</v>
      </c>
      <c r="AT86" s="182" t="s">
        <v>643</v>
      </c>
      <c r="AU86" s="182" t="s">
        <v>564</v>
      </c>
      <c r="AV86" s="173">
        <v>4</v>
      </c>
      <c r="AW86" s="173">
        <v>3</v>
      </c>
      <c r="AX86" s="161" t="s">
        <v>953</v>
      </c>
      <c r="AY86" s="268">
        <v>6</v>
      </c>
      <c r="AZ86" s="233">
        <v>-3</v>
      </c>
      <c r="BA86" s="70">
        <v>10</v>
      </c>
      <c r="BB86" s="70">
        <v>2</v>
      </c>
      <c r="BC86" s="70">
        <v>0</v>
      </c>
      <c r="BD86" s="189" t="s">
        <v>1149</v>
      </c>
      <c r="BE86" s="213">
        <v>3</v>
      </c>
      <c r="BF86" s="189" t="s">
        <v>1150</v>
      </c>
      <c r="BG86" s="106"/>
      <c r="BH86" s="106"/>
      <c r="BI86" s="207">
        <v>14</v>
      </c>
    </row>
    <row r="87" spans="1:61" ht="15" customHeight="1">
      <c r="A87" s="278"/>
      <c r="B87" s="823"/>
      <c r="C87" s="280" t="s">
        <v>1151</v>
      </c>
      <c r="D87" s="199">
        <v>80</v>
      </c>
      <c r="E87" s="200">
        <v>80</v>
      </c>
      <c r="F87" s="159" t="s">
        <v>1152</v>
      </c>
      <c r="G87" s="160">
        <v>1</v>
      </c>
      <c r="H87" s="160">
        <v>1</v>
      </c>
      <c r="I87" s="160">
        <v>1</v>
      </c>
      <c r="J87" s="160">
        <v>1</v>
      </c>
      <c r="K87" s="160">
        <v>1</v>
      </c>
      <c r="L87" s="161" t="s">
        <v>899</v>
      </c>
      <c r="M87" s="162" t="s">
        <v>665</v>
      </c>
      <c r="N87" s="163">
        <v>1</v>
      </c>
      <c r="O87" s="164">
        <v>-0.5</v>
      </c>
      <c r="P87" s="165">
        <v>-0.3</v>
      </c>
      <c r="Q87" s="166">
        <v>-0.2</v>
      </c>
      <c r="R87" s="167">
        <v>0.2</v>
      </c>
      <c r="S87" s="168">
        <v>-0.2</v>
      </c>
      <c r="T87" s="169">
        <v>0.4</v>
      </c>
      <c r="U87" s="170">
        <v>-0.6</v>
      </c>
      <c r="V87" s="171">
        <v>0</v>
      </c>
      <c r="W87" s="172">
        <v>-1</v>
      </c>
      <c r="X87" s="173">
        <v>0</v>
      </c>
      <c r="Y87" s="174">
        <v>-1</v>
      </c>
      <c r="Z87" s="175" t="s">
        <v>900</v>
      </c>
      <c r="AA87" s="176">
        <v>-4</v>
      </c>
      <c r="AB87" s="177">
        <v>0</v>
      </c>
      <c r="AC87" s="178">
        <v>13</v>
      </c>
      <c r="AD87" s="179">
        <v>-1</v>
      </c>
      <c r="AE87" s="187"/>
      <c r="AF87" s="173">
        <v>2</v>
      </c>
      <c r="AG87" s="173">
        <v>3</v>
      </c>
      <c r="AH87" s="180">
        <v>0</v>
      </c>
      <c r="AI87" s="106"/>
      <c r="AJ87" s="106"/>
      <c r="AK87" s="106"/>
      <c r="AL87" s="106"/>
      <c r="AM87" s="106"/>
      <c r="AN87" s="106"/>
      <c r="AO87" s="106"/>
      <c r="AP87" s="106"/>
      <c r="AQ87" s="279" t="s">
        <v>1147</v>
      </c>
      <c r="AR87" s="199">
        <v>120</v>
      </c>
      <c r="AS87" s="200">
        <v>100</v>
      </c>
      <c r="AT87" s="182" t="s">
        <v>643</v>
      </c>
      <c r="AU87" s="182" t="s">
        <v>602</v>
      </c>
      <c r="AV87" s="173">
        <v>2</v>
      </c>
      <c r="AW87" s="173">
        <v>2</v>
      </c>
      <c r="AX87" s="161" t="s">
        <v>899</v>
      </c>
      <c r="AY87" s="268">
        <v>-1</v>
      </c>
      <c r="AZ87" s="218">
        <v>6.5</v>
      </c>
      <c r="BA87" s="70">
        <v>2</v>
      </c>
      <c r="BB87" s="70">
        <v>0</v>
      </c>
      <c r="BC87" s="70">
        <v>-1</v>
      </c>
      <c r="BD87" s="189" t="s">
        <v>900</v>
      </c>
      <c r="BE87" s="222">
        <v>-1</v>
      </c>
      <c r="BF87" s="189" t="s">
        <v>671</v>
      </c>
      <c r="BG87" s="106"/>
      <c r="BH87" s="106"/>
      <c r="BI87" s="193">
        <v>1</v>
      </c>
    </row>
    <row r="88" spans="1:61" ht="15" customHeight="1">
      <c r="A88" s="278"/>
      <c r="B88" s="823"/>
      <c r="C88" s="281" t="s">
        <v>1153</v>
      </c>
      <c r="D88" s="199">
        <v>130</v>
      </c>
      <c r="E88" s="200">
        <v>80</v>
      </c>
      <c r="F88" s="159" t="s">
        <v>1154</v>
      </c>
      <c r="G88" s="160">
        <v>1</v>
      </c>
      <c r="H88" s="160">
        <v>1</v>
      </c>
      <c r="I88" s="160">
        <v>1</v>
      </c>
      <c r="J88" s="160">
        <v>1</v>
      </c>
      <c r="K88" s="160">
        <v>1</v>
      </c>
      <c r="L88" s="161" t="s">
        <v>899</v>
      </c>
      <c r="M88" s="162" t="s">
        <v>665</v>
      </c>
      <c r="N88" s="163">
        <v>0.7</v>
      </c>
      <c r="O88" s="164">
        <v>0</v>
      </c>
      <c r="P88" s="165">
        <v>-0.4</v>
      </c>
      <c r="Q88" s="166">
        <v>0.4</v>
      </c>
      <c r="R88" s="167">
        <v>0</v>
      </c>
      <c r="S88" s="168">
        <v>0</v>
      </c>
      <c r="T88" s="169">
        <v>0</v>
      </c>
      <c r="U88" s="170">
        <v>-0.6</v>
      </c>
      <c r="V88" s="171">
        <v>0</v>
      </c>
      <c r="W88" s="172">
        <v>0.5</v>
      </c>
      <c r="X88" s="173">
        <v>0</v>
      </c>
      <c r="Y88" s="174">
        <v>1</v>
      </c>
      <c r="Z88" s="175" t="s">
        <v>900</v>
      </c>
      <c r="AA88" s="176">
        <v>1</v>
      </c>
      <c r="AB88" s="177">
        <v>0</v>
      </c>
      <c r="AC88" s="178">
        <v>6.5</v>
      </c>
      <c r="AD88" s="179">
        <v>1</v>
      </c>
      <c r="AE88" s="187"/>
      <c r="AF88" s="173">
        <v>2</v>
      </c>
      <c r="AG88" s="173">
        <v>3</v>
      </c>
      <c r="AH88" s="180">
        <v>0</v>
      </c>
      <c r="AI88" s="106"/>
      <c r="AJ88" s="106"/>
      <c r="AK88" s="106"/>
      <c r="AL88" s="106"/>
      <c r="AM88" s="106"/>
      <c r="AN88" s="106"/>
      <c r="AO88" s="106"/>
      <c r="AP88" s="106"/>
      <c r="AQ88" s="280" t="s">
        <v>1151</v>
      </c>
      <c r="AR88" s="199">
        <v>90</v>
      </c>
      <c r="AS88" s="200">
        <v>90</v>
      </c>
      <c r="AT88" s="182" t="s">
        <v>643</v>
      </c>
      <c r="AU88" s="182" t="s">
        <v>612</v>
      </c>
      <c r="AV88" s="173">
        <v>2</v>
      </c>
      <c r="AW88" s="173">
        <v>3</v>
      </c>
      <c r="AX88" s="161" t="s">
        <v>899</v>
      </c>
      <c r="AY88" s="268">
        <v>-3</v>
      </c>
      <c r="AZ88" s="282">
        <v>13</v>
      </c>
      <c r="BA88" s="70">
        <v>-2</v>
      </c>
      <c r="BB88" s="70">
        <v>0</v>
      </c>
      <c r="BC88" s="70">
        <v>0</v>
      </c>
      <c r="BD88" s="189" t="s">
        <v>900</v>
      </c>
      <c r="BE88" s="239">
        <v>1</v>
      </c>
      <c r="BF88" s="189" t="s">
        <v>1155</v>
      </c>
      <c r="BG88" s="106"/>
      <c r="BH88" s="106"/>
      <c r="BI88" s="207">
        <v>-5</v>
      </c>
    </row>
    <row r="89" spans="1:61" ht="15" customHeight="1">
      <c r="A89" s="827" t="s">
        <v>1156</v>
      </c>
      <c r="B89" s="822" t="s">
        <v>1157</v>
      </c>
      <c r="C89" s="279" t="s">
        <v>1158</v>
      </c>
      <c r="D89" s="199">
        <v>75</v>
      </c>
      <c r="E89" s="200">
        <v>115</v>
      </c>
      <c r="F89" s="159" t="s">
        <v>1159</v>
      </c>
      <c r="G89" s="160">
        <v>1</v>
      </c>
      <c r="H89" s="160">
        <v>1</v>
      </c>
      <c r="I89" s="160">
        <v>0</v>
      </c>
      <c r="J89" s="160">
        <v>0</v>
      </c>
      <c r="K89" s="160">
        <v>2</v>
      </c>
      <c r="L89" s="161" t="s">
        <v>899</v>
      </c>
      <c r="M89" s="162" t="s">
        <v>681</v>
      </c>
      <c r="N89" s="163">
        <v>0.2</v>
      </c>
      <c r="O89" s="164">
        <v>0.2</v>
      </c>
      <c r="P89" s="165">
        <v>0.2</v>
      </c>
      <c r="Q89" s="166">
        <v>0.2</v>
      </c>
      <c r="R89" s="167">
        <v>0.2</v>
      </c>
      <c r="S89" s="168">
        <v>0.2</v>
      </c>
      <c r="T89" s="169">
        <v>0.2</v>
      </c>
      <c r="U89" s="170">
        <v>-0.8</v>
      </c>
      <c r="V89" s="171">
        <v>-0.8</v>
      </c>
      <c r="W89" s="172">
        <v>-1</v>
      </c>
      <c r="X89" s="173">
        <v>-1</v>
      </c>
      <c r="Y89" s="174">
        <v>-2</v>
      </c>
      <c r="Z89" s="175" t="s">
        <v>900</v>
      </c>
      <c r="AA89" s="176">
        <v>-1</v>
      </c>
      <c r="AB89" s="177">
        <v>0</v>
      </c>
      <c r="AC89" s="178">
        <v>7</v>
      </c>
      <c r="AD89" s="179">
        <v>-2</v>
      </c>
      <c r="AE89" s="187"/>
      <c r="AF89" s="173">
        <v>2</v>
      </c>
      <c r="AG89" s="173">
        <v>2</v>
      </c>
      <c r="AH89" s="217">
        <v>4</v>
      </c>
      <c r="AI89" s="106"/>
      <c r="AJ89" s="106"/>
      <c r="AK89" s="106"/>
      <c r="AL89" s="106"/>
      <c r="AM89" s="106"/>
      <c r="AN89" s="106"/>
      <c r="AO89" s="106"/>
      <c r="AP89" s="106"/>
      <c r="AQ89" s="281" t="s">
        <v>1153</v>
      </c>
      <c r="AR89" s="199">
        <v>130</v>
      </c>
      <c r="AS89" s="200">
        <v>80</v>
      </c>
      <c r="AT89" s="182" t="s">
        <v>643</v>
      </c>
      <c r="AU89" s="182" t="s">
        <v>570</v>
      </c>
      <c r="AV89" s="173">
        <v>2</v>
      </c>
      <c r="AW89" s="173">
        <v>3</v>
      </c>
      <c r="AX89" s="161" t="s">
        <v>899</v>
      </c>
      <c r="AY89" s="268">
        <v>0</v>
      </c>
      <c r="AZ89" s="218">
        <v>6.5</v>
      </c>
      <c r="BA89" s="70">
        <v>1</v>
      </c>
      <c r="BB89" s="70">
        <v>0</v>
      </c>
      <c r="BC89" s="70">
        <v>0</v>
      </c>
      <c r="BD89" s="189" t="s">
        <v>900</v>
      </c>
      <c r="BE89" s="222">
        <v>-1</v>
      </c>
      <c r="BF89" s="189" t="s">
        <v>671</v>
      </c>
      <c r="BG89" s="106"/>
      <c r="BH89" s="106"/>
      <c r="BI89" s="193">
        <v>1</v>
      </c>
    </row>
    <row r="90" spans="1:61" ht="15" customHeight="1">
      <c r="A90" s="828"/>
      <c r="B90" s="823"/>
      <c r="C90" s="280" t="s">
        <v>1160</v>
      </c>
      <c r="D90" s="199">
        <v>100</v>
      </c>
      <c r="E90" s="200">
        <v>110</v>
      </c>
      <c r="F90" s="159" t="s">
        <v>1161</v>
      </c>
      <c r="G90" s="160">
        <v>1</v>
      </c>
      <c r="H90" s="160">
        <v>1</v>
      </c>
      <c r="I90" s="160">
        <v>1</v>
      </c>
      <c r="J90" s="160">
        <v>1</v>
      </c>
      <c r="K90" s="160">
        <v>1</v>
      </c>
      <c r="L90" s="161" t="s">
        <v>899</v>
      </c>
      <c r="M90" s="162" t="s">
        <v>677</v>
      </c>
      <c r="N90" s="163">
        <v>0.2</v>
      </c>
      <c r="O90" s="164">
        <v>0.2</v>
      </c>
      <c r="P90" s="165">
        <v>0.2</v>
      </c>
      <c r="Q90" s="166">
        <v>0.2</v>
      </c>
      <c r="R90" s="167">
        <v>0.2</v>
      </c>
      <c r="S90" s="168">
        <v>0.2</v>
      </c>
      <c r="T90" s="169">
        <v>0.2</v>
      </c>
      <c r="U90" s="170">
        <v>-0.7</v>
      </c>
      <c r="V90" s="171">
        <v>-0.7</v>
      </c>
      <c r="W90" s="172">
        <v>0</v>
      </c>
      <c r="X90" s="173">
        <v>0</v>
      </c>
      <c r="Y90" s="174">
        <v>0</v>
      </c>
      <c r="Z90" s="175" t="s">
        <v>900</v>
      </c>
      <c r="AA90" s="176">
        <v>1</v>
      </c>
      <c r="AB90" s="177">
        <v>0</v>
      </c>
      <c r="AC90" s="178">
        <v>5</v>
      </c>
      <c r="AD90" s="179">
        <v>0</v>
      </c>
      <c r="AE90" s="187"/>
      <c r="AF90" s="173">
        <v>2</v>
      </c>
      <c r="AG90" s="173">
        <v>3</v>
      </c>
      <c r="AH90" s="195">
        <v>2</v>
      </c>
      <c r="AI90" s="106"/>
      <c r="AJ90" s="106"/>
      <c r="AK90" s="106"/>
      <c r="AL90" s="106"/>
      <c r="AM90" s="106"/>
      <c r="AN90" s="106"/>
      <c r="AO90" s="106"/>
      <c r="AP90" s="106"/>
      <c r="AQ90" s="279" t="s">
        <v>1158</v>
      </c>
      <c r="AR90" s="199">
        <v>75</v>
      </c>
      <c r="AS90" s="200">
        <v>125</v>
      </c>
      <c r="AT90" s="182" t="s">
        <v>554</v>
      </c>
      <c r="AU90" s="182" t="s">
        <v>618</v>
      </c>
      <c r="AV90" s="173">
        <v>2</v>
      </c>
      <c r="AW90" s="173">
        <v>3</v>
      </c>
      <c r="AX90" s="161" t="s">
        <v>899</v>
      </c>
      <c r="AY90" s="268">
        <v>0</v>
      </c>
      <c r="AZ90" s="196">
        <v>7</v>
      </c>
      <c r="BA90" s="70">
        <v>0</v>
      </c>
      <c r="BB90" s="70">
        <v>0</v>
      </c>
      <c r="BC90" s="70">
        <v>0</v>
      </c>
      <c r="BD90" s="189" t="s">
        <v>900</v>
      </c>
      <c r="BE90" s="197">
        <v>-1</v>
      </c>
      <c r="BF90" s="189" t="s">
        <v>900</v>
      </c>
      <c r="BG90" s="106"/>
      <c r="BH90" s="106"/>
      <c r="BI90" s="193">
        <v>0</v>
      </c>
    </row>
    <row r="91" spans="1:61" ht="15" customHeight="1">
      <c r="A91" s="828"/>
      <c r="B91" s="823"/>
      <c r="C91" s="281" t="s">
        <v>1162</v>
      </c>
      <c r="D91" s="199">
        <v>120</v>
      </c>
      <c r="E91" s="200">
        <v>110</v>
      </c>
      <c r="F91" s="159" t="s">
        <v>1163</v>
      </c>
      <c r="G91" s="160">
        <v>2</v>
      </c>
      <c r="H91" s="160">
        <v>0</v>
      </c>
      <c r="I91" s="160">
        <v>-2</v>
      </c>
      <c r="J91" s="160">
        <v>2</v>
      </c>
      <c r="K91" s="160">
        <v>0</v>
      </c>
      <c r="L91" s="161" t="s">
        <v>899</v>
      </c>
      <c r="M91" s="162" t="s">
        <v>660</v>
      </c>
      <c r="N91" s="163">
        <v>0.2</v>
      </c>
      <c r="O91" s="164">
        <v>0</v>
      </c>
      <c r="P91" s="165">
        <v>0.1</v>
      </c>
      <c r="Q91" s="166">
        <v>0.1</v>
      </c>
      <c r="R91" s="167">
        <v>0</v>
      </c>
      <c r="S91" s="168">
        <v>0.1</v>
      </c>
      <c r="T91" s="169">
        <v>0.1</v>
      </c>
      <c r="U91" s="170">
        <v>-0.5</v>
      </c>
      <c r="V91" s="171">
        <v>-0.5</v>
      </c>
      <c r="W91" s="172">
        <v>-2</v>
      </c>
      <c r="X91" s="173">
        <v>-3</v>
      </c>
      <c r="Y91" s="174">
        <v>-5</v>
      </c>
      <c r="Z91" s="175" t="s">
        <v>900</v>
      </c>
      <c r="AA91" s="176">
        <v>3</v>
      </c>
      <c r="AB91" s="177">
        <v>0</v>
      </c>
      <c r="AC91" s="178">
        <v>4</v>
      </c>
      <c r="AD91" s="179">
        <v>-5</v>
      </c>
      <c r="AE91" s="187"/>
      <c r="AF91" s="173">
        <v>2</v>
      </c>
      <c r="AG91" s="173">
        <v>0</v>
      </c>
      <c r="AH91" s="214">
        <v>6</v>
      </c>
      <c r="AI91" s="106"/>
      <c r="AJ91" s="106"/>
      <c r="AK91" s="106"/>
      <c r="AL91" s="106"/>
      <c r="AM91" s="106"/>
      <c r="AN91" s="106"/>
      <c r="AO91" s="106"/>
      <c r="AP91" s="106"/>
      <c r="AQ91" s="280" t="s">
        <v>1160</v>
      </c>
      <c r="AR91" s="199">
        <v>70</v>
      </c>
      <c r="AS91" s="200">
        <v>120</v>
      </c>
      <c r="AT91" s="182" t="s">
        <v>554</v>
      </c>
      <c r="AU91" s="182" t="s">
        <v>580</v>
      </c>
      <c r="AV91" s="173">
        <v>2</v>
      </c>
      <c r="AW91" s="173">
        <v>3</v>
      </c>
      <c r="AX91" s="161" t="s">
        <v>899</v>
      </c>
      <c r="AY91" s="268">
        <v>0</v>
      </c>
      <c r="AZ91" s="265">
        <v>5</v>
      </c>
      <c r="BA91" s="70">
        <v>-1</v>
      </c>
      <c r="BB91" s="70">
        <v>0</v>
      </c>
      <c r="BC91" s="70">
        <v>0</v>
      </c>
      <c r="BD91" s="189" t="s">
        <v>900</v>
      </c>
      <c r="BE91" s="216">
        <v>-4</v>
      </c>
      <c r="BF91" s="189" t="s">
        <v>943</v>
      </c>
      <c r="BG91" s="106"/>
      <c r="BH91" s="106"/>
      <c r="BI91" s="193">
        <v>-1</v>
      </c>
    </row>
    <row r="92" spans="1:61" ht="15" customHeight="1">
      <c r="A92" s="828"/>
      <c r="B92" s="822" t="s">
        <v>1164</v>
      </c>
      <c r="C92" s="279" t="s">
        <v>1165</v>
      </c>
      <c r="D92" s="199">
        <v>80</v>
      </c>
      <c r="E92" s="200">
        <v>100</v>
      </c>
      <c r="F92" s="159" t="s">
        <v>1166</v>
      </c>
      <c r="G92" s="160">
        <v>1</v>
      </c>
      <c r="H92" s="160">
        <v>1</v>
      </c>
      <c r="I92" s="160">
        <v>1</v>
      </c>
      <c r="J92" s="160">
        <v>1</v>
      </c>
      <c r="K92" s="160">
        <v>1</v>
      </c>
      <c r="L92" s="161" t="s">
        <v>899</v>
      </c>
      <c r="M92" s="162" t="s">
        <v>665</v>
      </c>
      <c r="N92" s="163">
        <v>0</v>
      </c>
      <c r="O92" s="164">
        <v>-1</v>
      </c>
      <c r="P92" s="165">
        <v>0</v>
      </c>
      <c r="Q92" s="166">
        <v>0</v>
      </c>
      <c r="R92" s="167">
        <v>0</v>
      </c>
      <c r="S92" s="168">
        <v>0</v>
      </c>
      <c r="T92" s="169">
        <v>0.8</v>
      </c>
      <c r="U92" s="170">
        <v>-0.2</v>
      </c>
      <c r="V92" s="171">
        <v>0</v>
      </c>
      <c r="W92" s="172">
        <v>-2</v>
      </c>
      <c r="X92" s="173">
        <v>0</v>
      </c>
      <c r="Y92" s="174">
        <v>-2</v>
      </c>
      <c r="Z92" s="175" t="s">
        <v>900</v>
      </c>
      <c r="AA92" s="176">
        <v>-2</v>
      </c>
      <c r="AB92" s="177">
        <v>0</v>
      </c>
      <c r="AC92" s="178">
        <v>12</v>
      </c>
      <c r="AD92" s="179">
        <v>-2</v>
      </c>
      <c r="AE92" s="187"/>
      <c r="AF92" s="173">
        <v>2</v>
      </c>
      <c r="AG92" s="173">
        <v>3</v>
      </c>
      <c r="AH92" s="180">
        <v>0</v>
      </c>
      <c r="AI92" s="106"/>
      <c r="AJ92" s="106"/>
      <c r="AK92" s="106"/>
      <c r="AL92" s="106"/>
      <c r="AM92" s="106"/>
      <c r="AN92" s="106"/>
      <c r="AO92" s="106"/>
      <c r="AP92" s="106"/>
      <c r="AQ92" s="281" t="s">
        <v>1162</v>
      </c>
      <c r="AR92" s="199">
        <v>80</v>
      </c>
      <c r="AS92" s="200">
        <v>130</v>
      </c>
      <c r="AT92" s="182" t="s">
        <v>554</v>
      </c>
      <c r="AU92" s="182" t="s">
        <v>639</v>
      </c>
      <c r="AV92" s="173">
        <v>3</v>
      </c>
      <c r="AW92" s="173">
        <v>2</v>
      </c>
      <c r="AX92" s="161" t="s">
        <v>899</v>
      </c>
      <c r="AY92" s="268">
        <v>-2</v>
      </c>
      <c r="AZ92" s="283">
        <v>4</v>
      </c>
      <c r="BA92" s="70">
        <v>1</v>
      </c>
      <c r="BB92" s="70">
        <v>1</v>
      </c>
      <c r="BC92" s="70">
        <v>-1</v>
      </c>
      <c r="BD92" s="189" t="s">
        <v>900</v>
      </c>
      <c r="BE92" s="284">
        <v>-5</v>
      </c>
      <c r="BF92" s="189" t="s">
        <v>1007</v>
      </c>
      <c r="BG92" s="106"/>
      <c r="BH92" s="106"/>
      <c r="BI92" s="193">
        <v>-1</v>
      </c>
    </row>
    <row r="93" spans="1:61" ht="15" customHeight="1">
      <c r="A93" s="828"/>
      <c r="B93" s="823"/>
      <c r="C93" s="280" t="s">
        <v>1167</v>
      </c>
      <c r="D93" s="199">
        <v>30</v>
      </c>
      <c r="E93" s="200">
        <v>70</v>
      </c>
      <c r="F93" s="159" t="s">
        <v>1168</v>
      </c>
      <c r="G93" s="160">
        <v>-2</v>
      </c>
      <c r="H93" s="160">
        <v>-2</v>
      </c>
      <c r="I93" s="160">
        <v>3</v>
      </c>
      <c r="J93" s="160">
        <v>3</v>
      </c>
      <c r="K93" s="160">
        <v>3</v>
      </c>
      <c r="L93" s="161" t="s">
        <v>953</v>
      </c>
      <c r="M93" s="162" t="s">
        <v>665</v>
      </c>
      <c r="N93" s="163">
        <v>0</v>
      </c>
      <c r="O93" s="164">
        <v>0</v>
      </c>
      <c r="P93" s="165">
        <v>0</v>
      </c>
      <c r="Q93" s="166">
        <v>0</v>
      </c>
      <c r="R93" s="167">
        <v>0</v>
      </c>
      <c r="S93" s="168">
        <v>0</v>
      </c>
      <c r="T93" s="169">
        <v>1</v>
      </c>
      <c r="U93" s="170">
        <v>-0.1</v>
      </c>
      <c r="V93" s="171">
        <v>0</v>
      </c>
      <c r="W93" s="172">
        <v>4.5</v>
      </c>
      <c r="X93" s="173">
        <v>0</v>
      </c>
      <c r="Y93" s="174">
        <v>5</v>
      </c>
      <c r="Z93" s="175" t="s">
        <v>956</v>
      </c>
      <c r="AA93" s="176">
        <v>-10</v>
      </c>
      <c r="AB93" s="177">
        <v>0</v>
      </c>
      <c r="AC93" s="178">
        <v>16</v>
      </c>
      <c r="AD93" s="179">
        <v>2</v>
      </c>
      <c r="AE93" s="187"/>
      <c r="AF93" s="173">
        <v>-4</v>
      </c>
      <c r="AG93" s="173">
        <v>9</v>
      </c>
      <c r="AH93" s="180">
        <v>0</v>
      </c>
      <c r="AI93" s="106"/>
      <c r="AJ93" s="106"/>
      <c r="AK93" s="106"/>
      <c r="AL93" s="106"/>
      <c r="AM93" s="106"/>
      <c r="AN93" s="106"/>
      <c r="AO93" s="106"/>
      <c r="AP93" s="106"/>
      <c r="AQ93" s="279" t="s">
        <v>1165</v>
      </c>
      <c r="AR93" s="199">
        <v>80</v>
      </c>
      <c r="AS93" s="200">
        <v>100</v>
      </c>
      <c r="AT93" s="182" t="s">
        <v>614</v>
      </c>
      <c r="AU93" s="182" t="s">
        <v>590</v>
      </c>
      <c r="AV93" s="173">
        <v>2</v>
      </c>
      <c r="AW93" s="173">
        <v>3</v>
      </c>
      <c r="AX93" s="161" t="s">
        <v>899</v>
      </c>
      <c r="AY93" s="268">
        <v>0</v>
      </c>
      <c r="AZ93" s="212">
        <v>12</v>
      </c>
      <c r="BA93" s="70">
        <v>-2</v>
      </c>
      <c r="BB93" s="70">
        <v>0</v>
      </c>
      <c r="BC93" s="70">
        <v>0</v>
      </c>
      <c r="BD93" s="189" t="s">
        <v>900</v>
      </c>
      <c r="BE93" s="243">
        <v>2</v>
      </c>
      <c r="BF93" s="189" t="s">
        <v>1040</v>
      </c>
      <c r="BG93" s="106"/>
      <c r="BH93" s="106"/>
      <c r="BI93" s="193">
        <v>-2</v>
      </c>
    </row>
    <row r="94" spans="1:61" ht="15" customHeight="1">
      <c r="A94" s="828"/>
      <c r="B94" s="823"/>
      <c r="C94" s="281" t="s">
        <v>1169</v>
      </c>
      <c r="D94" s="199">
        <v>80</v>
      </c>
      <c r="E94" s="200">
        <v>100</v>
      </c>
      <c r="F94" s="159" t="s">
        <v>1170</v>
      </c>
      <c r="G94" s="160">
        <v>1</v>
      </c>
      <c r="H94" s="160">
        <v>1</v>
      </c>
      <c r="I94" s="160">
        <v>1</v>
      </c>
      <c r="J94" s="160">
        <v>1</v>
      </c>
      <c r="K94" s="160">
        <v>1</v>
      </c>
      <c r="L94" s="161" t="s">
        <v>899</v>
      </c>
      <c r="M94" s="162" t="s">
        <v>665</v>
      </c>
      <c r="N94" s="163">
        <v>0.4</v>
      </c>
      <c r="O94" s="164">
        <v>0.4</v>
      </c>
      <c r="P94" s="165">
        <v>0</v>
      </c>
      <c r="Q94" s="166">
        <v>0</v>
      </c>
      <c r="R94" s="167">
        <v>0</v>
      </c>
      <c r="S94" s="168">
        <v>0</v>
      </c>
      <c r="T94" s="169">
        <v>0</v>
      </c>
      <c r="U94" s="170">
        <v>0</v>
      </c>
      <c r="V94" s="171">
        <v>0</v>
      </c>
      <c r="W94" s="172">
        <v>4</v>
      </c>
      <c r="X94" s="173">
        <v>0</v>
      </c>
      <c r="Y94" s="174">
        <v>4</v>
      </c>
      <c r="Z94" s="175" t="s">
        <v>900</v>
      </c>
      <c r="AA94" s="176">
        <v>-2</v>
      </c>
      <c r="AB94" s="177">
        <v>0</v>
      </c>
      <c r="AC94" s="178">
        <v>6</v>
      </c>
      <c r="AD94" s="179">
        <v>4</v>
      </c>
      <c r="AE94" s="187"/>
      <c r="AF94" s="173">
        <v>2</v>
      </c>
      <c r="AG94" s="173">
        <v>3</v>
      </c>
      <c r="AH94" s="180">
        <v>0</v>
      </c>
      <c r="AI94" s="106"/>
      <c r="AJ94" s="106"/>
      <c r="AK94" s="106"/>
      <c r="AL94" s="106"/>
      <c r="AM94" s="106"/>
      <c r="AN94" s="106"/>
      <c r="AO94" s="106"/>
      <c r="AP94" s="106"/>
      <c r="AQ94" s="280" t="s">
        <v>1167</v>
      </c>
      <c r="AR94" s="199">
        <v>30</v>
      </c>
      <c r="AS94" s="200">
        <v>100</v>
      </c>
      <c r="AT94" s="182" t="s">
        <v>614</v>
      </c>
      <c r="AU94" s="182" t="s">
        <v>582</v>
      </c>
      <c r="AV94" s="173">
        <v>-4</v>
      </c>
      <c r="AW94" s="173">
        <v>9</v>
      </c>
      <c r="AX94" s="161" t="s">
        <v>953</v>
      </c>
      <c r="AY94" s="268">
        <v>4</v>
      </c>
      <c r="AZ94" s="285">
        <v>16</v>
      </c>
      <c r="BA94" s="70">
        <v>-7</v>
      </c>
      <c r="BB94" s="70">
        <v>-6</v>
      </c>
      <c r="BC94" s="70">
        <v>6</v>
      </c>
      <c r="BD94" s="189" t="s">
        <v>1149</v>
      </c>
      <c r="BE94" s="271">
        <v>4</v>
      </c>
      <c r="BF94" s="189" t="s">
        <v>1155</v>
      </c>
      <c r="BG94" s="106"/>
      <c r="BH94" s="106"/>
      <c r="BI94" s="207">
        <v>-5</v>
      </c>
    </row>
    <row r="95" spans="1:61" ht="15" customHeight="1">
      <c r="A95" s="278"/>
      <c r="B95" s="822" t="s">
        <v>1171</v>
      </c>
      <c r="C95" s="279" t="s">
        <v>1172</v>
      </c>
      <c r="D95" s="199">
        <v>200</v>
      </c>
      <c r="E95" s="200">
        <v>200</v>
      </c>
      <c r="F95" s="159" t="s">
        <v>1173</v>
      </c>
      <c r="G95" s="160">
        <v>3</v>
      </c>
      <c r="H95" s="160">
        <v>3</v>
      </c>
      <c r="I95" s="160">
        <v>0</v>
      </c>
      <c r="J95" s="160">
        <v>0</v>
      </c>
      <c r="K95" s="160">
        <v>0</v>
      </c>
      <c r="L95" s="161" t="s">
        <v>982</v>
      </c>
      <c r="M95" s="162" t="s">
        <v>677</v>
      </c>
      <c r="N95" s="163">
        <v>-0.3</v>
      </c>
      <c r="O95" s="164">
        <v>-0.3</v>
      </c>
      <c r="P95" s="165">
        <v>-0.3</v>
      </c>
      <c r="Q95" s="166">
        <v>-0.3</v>
      </c>
      <c r="R95" s="167">
        <v>-0.3</v>
      </c>
      <c r="S95" s="168">
        <v>-0.3</v>
      </c>
      <c r="T95" s="169">
        <v>-0.3</v>
      </c>
      <c r="U95" s="170">
        <v>-0.3</v>
      </c>
      <c r="V95" s="171">
        <v>-0.3</v>
      </c>
      <c r="W95" s="172">
        <v>-13.5</v>
      </c>
      <c r="X95" s="173">
        <v>1</v>
      </c>
      <c r="Y95" s="174">
        <v>-13</v>
      </c>
      <c r="Z95" s="175" t="s">
        <v>983</v>
      </c>
      <c r="AA95" s="176">
        <v>20</v>
      </c>
      <c r="AB95" s="177">
        <v>0</v>
      </c>
      <c r="AC95" s="178">
        <v>3.5</v>
      </c>
      <c r="AD95" s="179">
        <v>-18</v>
      </c>
      <c r="AE95" s="187"/>
      <c r="AF95" s="173">
        <v>6</v>
      </c>
      <c r="AG95" s="173">
        <v>0</v>
      </c>
      <c r="AH95" s="195">
        <v>2</v>
      </c>
      <c r="AI95" s="106"/>
      <c r="AJ95" s="106"/>
      <c r="AK95" s="106"/>
      <c r="AL95" s="106"/>
      <c r="AM95" s="106"/>
      <c r="AN95" s="106"/>
      <c r="AO95" s="106"/>
      <c r="AP95" s="106"/>
      <c r="AQ95" s="281" t="s">
        <v>1169</v>
      </c>
      <c r="AR95" s="199">
        <v>80</v>
      </c>
      <c r="AS95" s="200">
        <v>100</v>
      </c>
      <c r="AT95" s="182" t="s">
        <v>614</v>
      </c>
      <c r="AU95" s="182" t="s">
        <v>637</v>
      </c>
      <c r="AV95" s="173">
        <v>2</v>
      </c>
      <c r="AW95" s="173">
        <v>3</v>
      </c>
      <c r="AX95" s="161" t="s">
        <v>899</v>
      </c>
      <c r="AY95" s="268">
        <v>4</v>
      </c>
      <c r="AZ95" s="277">
        <v>6</v>
      </c>
      <c r="BA95" s="70">
        <v>-2</v>
      </c>
      <c r="BB95" s="70">
        <v>0</v>
      </c>
      <c r="BC95" s="70">
        <v>0</v>
      </c>
      <c r="BD95" s="189" t="s">
        <v>900</v>
      </c>
      <c r="BE95" s="222">
        <v>-1</v>
      </c>
      <c r="BF95" s="189" t="s">
        <v>1003</v>
      </c>
      <c r="BG95" s="106"/>
      <c r="BH95" s="106"/>
      <c r="BI95" s="193">
        <v>2</v>
      </c>
    </row>
    <row r="96" spans="1:61" ht="15" customHeight="1">
      <c r="A96" s="278"/>
      <c r="B96" s="823"/>
      <c r="C96" s="280" t="s">
        <v>1174</v>
      </c>
      <c r="D96" s="199">
        <v>250</v>
      </c>
      <c r="E96" s="200">
        <v>0</v>
      </c>
      <c r="F96" s="159" t="s">
        <v>1175</v>
      </c>
      <c r="G96" s="160">
        <v>1</v>
      </c>
      <c r="H96" s="160">
        <v>1</v>
      </c>
      <c r="I96" s="160">
        <v>0</v>
      </c>
      <c r="J96" s="160">
        <v>0</v>
      </c>
      <c r="K96" s="160">
        <v>0</v>
      </c>
      <c r="L96" s="161" t="s">
        <v>899</v>
      </c>
      <c r="M96" s="162" t="s">
        <v>681</v>
      </c>
      <c r="N96" s="163">
        <v>0.4</v>
      </c>
      <c r="O96" s="164">
        <v>-0.7</v>
      </c>
      <c r="P96" s="165">
        <v>0.2</v>
      </c>
      <c r="Q96" s="166">
        <v>-0.6</v>
      </c>
      <c r="R96" s="167">
        <v>-0.2</v>
      </c>
      <c r="S96" s="168">
        <v>0</v>
      </c>
      <c r="T96" s="169">
        <v>0</v>
      </c>
      <c r="U96" s="170">
        <v>0</v>
      </c>
      <c r="V96" s="171">
        <v>0</v>
      </c>
      <c r="W96" s="172">
        <v>-4.5</v>
      </c>
      <c r="X96" s="173">
        <v>-3</v>
      </c>
      <c r="Y96" s="174">
        <v>-8</v>
      </c>
      <c r="Z96" s="175" t="s">
        <v>900</v>
      </c>
      <c r="AA96" s="176">
        <v>5</v>
      </c>
      <c r="AB96" s="177">
        <v>0</v>
      </c>
      <c r="AC96" s="178">
        <v>6.5</v>
      </c>
      <c r="AD96" s="179">
        <v>-8</v>
      </c>
      <c r="AE96" s="187"/>
      <c r="AF96" s="173">
        <v>2</v>
      </c>
      <c r="AG96" s="173">
        <v>0</v>
      </c>
      <c r="AH96" s="217">
        <v>4</v>
      </c>
      <c r="AI96" s="106"/>
      <c r="AJ96" s="106"/>
      <c r="AK96" s="106"/>
      <c r="AL96" s="106"/>
      <c r="AM96" s="106"/>
      <c r="AN96" s="106"/>
      <c r="AO96" s="106"/>
      <c r="AP96" s="106"/>
      <c r="AQ96" s="279" t="s">
        <v>1172</v>
      </c>
      <c r="AR96" s="199">
        <v>205</v>
      </c>
      <c r="AS96" s="200">
        <v>205</v>
      </c>
      <c r="AT96" s="182" t="s">
        <v>546</v>
      </c>
      <c r="AU96" s="182" t="s">
        <v>562</v>
      </c>
      <c r="AV96" s="173">
        <v>6</v>
      </c>
      <c r="AW96" s="173">
        <v>0</v>
      </c>
      <c r="AX96" s="161" t="s">
        <v>982</v>
      </c>
      <c r="AY96" s="268">
        <v>-17</v>
      </c>
      <c r="AZ96" s="237">
        <v>3.5</v>
      </c>
      <c r="BA96" s="70">
        <v>21</v>
      </c>
      <c r="BB96" s="70">
        <v>4</v>
      </c>
      <c r="BC96" s="70">
        <v>-3</v>
      </c>
      <c r="BD96" s="189" t="s">
        <v>949</v>
      </c>
      <c r="BE96" s="197">
        <v>-1</v>
      </c>
      <c r="BF96" s="189" t="s">
        <v>930</v>
      </c>
      <c r="BG96" s="106"/>
      <c r="BH96" s="106"/>
      <c r="BI96" s="207">
        <v>4</v>
      </c>
    </row>
    <row r="97" spans="1:61" ht="15" customHeight="1">
      <c r="A97" s="278"/>
      <c r="B97" s="823"/>
      <c r="C97" s="281" t="s">
        <v>1176</v>
      </c>
      <c r="D97" s="199">
        <v>10</v>
      </c>
      <c r="E97" s="200">
        <v>240</v>
      </c>
      <c r="F97" s="286" t="s">
        <v>1177</v>
      </c>
      <c r="G97" s="287">
        <v>-2</v>
      </c>
      <c r="H97" s="287">
        <v>4</v>
      </c>
      <c r="I97" s="287">
        <v>-1</v>
      </c>
      <c r="J97" s="287">
        <v>-1</v>
      </c>
      <c r="K97" s="287">
        <v>-1</v>
      </c>
      <c r="L97" s="288" t="s">
        <v>899</v>
      </c>
      <c r="M97" s="162" t="s">
        <v>665</v>
      </c>
      <c r="N97" s="163">
        <v>0.1</v>
      </c>
      <c r="O97" s="164">
        <v>0.1</v>
      </c>
      <c r="P97" s="165">
        <v>0.1</v>
      </c>
      <c r="Q97" s="166">
        <v>0.1</v>
      </c>
      <c r="R97" s="167">
        <v>0.1</v>
      </c>
      <c r="S97" s="168">
        <v>0.1</v>
      </c>
      <c r="T97" s="169">
        <v>0.5</v>
      </c>
      <c r="U97" s="170">
        <v>0.1</v>
      </c>
      <c r="V97" s="171">
        <v>0</v>
      </c>
      <c r="W97" s="172">
        <v>6</v>
      </c>
      <c r="X97" s="173">
        <v>-6</v>
      </c>
      <c r="Y97" s="174">
        <v>0</v>
      </c>
      <c r="Z97" s="175" t="s">
        <v>900</v>
      </c>
      <c r="AA97" s="176">
        <v>5</v>
      </c>
      <c r="AB97" s="177">
        <v>0</v>
      </c>
      <c r="AC97" s="178">
        <v>3</v>
      </c>
      <c r="AD97" s="179">
        <v>0</v>
      </c>
      <c r="AE97" s="187"/>
      <c r="AF97" s="173">
        <v>2</v>
      </c>
      <c r="AG97" s="173">
        <v>-3</v>
      </c>
      <c r="AH97" s="180">
        <v>0</v>
      </c>
      <c r="AI97" s="106"/>
      <c r="AJ97" s="106"/>
      <c r="AK97" s="106"/>
      <c r="AL97" s="106"/>
      <c r="AM97" s="106"/>
      <c r="AN97" s="106"/>
      <c r="AO97" s="106"/>
      <c r="AP97" s="106"/>
      <c r="AQ97" s="280" t="s">
        <v>1174</v>
      </c>
      <c r="AR97" s="199">
        <v>250</v>
      </c>
      <c r="AS97" s="200">
        <v>0</v>
      </c>
      <c r="AT97" s="182" t="s">
        <v>546</v>
      </c>
      <c r="AU97" s="182" t="s">
        <v>618</v>
      </c>
      <c r="AV97" s="173">
        <v>4</v>
      </c>
      <c r="AW97" s="173">
        <v>0</v>
      </c>
      <c r="AX97" s="161" t="s">
        <v>899</v>
      </c>
      <c r="AY97" s="268">
        <v>0</v>
      </c>
      <c r="AZ97" s="218">
        <v>6.5</v>
      </c>
      <c r="BA97" s="70">
        <v>5</v>
      </c>
      <c r="BB97" s="70">
        <v>2</v>
      </c>
      <c r="BC97" s="70">
        <v>-3</v>
      </c>
      <c r="BD97" s="189" t="s">
        <v>900</v>
      </c>
      <c r="BE97" s="271">
        <v>4</v>
      </c>
      <c r="BF97" s="189" t="s">
        <v>927</v>
      </c>
      <c r="BG97" s="106"/>
      <c r="BH97" s="106"/>
      <c r="BI97" s="207">
        <v>5</v>
      </c>
    </row>
    <row r="98" spans="1:61" ht="15" customHeight="1">
      <c r="A98" s="289" t="s">
        <v>1178</v>
      </c>
      <c r="B98" s="824" t="s">
        <v>1179</v>
      </c>
      <c r="C98" s="824"/>
      <c r="D98" s="824"/>
      <c r="E98" s="824"/>
      <c r="F98" s="824"/>
      <c r="G98" s="824"/>
      <c r="H98" s="824"/>
      <c r="I98" s="824"/>
      <c r="J98" s="824"/>
      <c r="K98" s="824"/>
      <c r="L98" s="824"/>
      <c r="M98" s="290"/>
      <c r="N98" s="291" t="s">
        <v>1180</v>
      </c>
      <c r="O98" s="292" t="s">
        <v>1181</v>
      </c>
      <c r="P98" s="293" t="s">
        <v>1182</v>
      </c>
      <c r="Q98" s="294" t="s">
        <v>1183</v>
      </c>
      <c r="R98" s="295" t="s">
        <v>1184</v>
      </c>
      <c r="S98" s="296" t="s">
        <v>1185</v>
      </c>
      <c r="T98" s="297" t="s">
        <v>1186</v>
      </c>
      <c r="U98" s="298" t="s">
        <v>1187</v>
      </c>
      <c r="V98" s="299" t="s">
        <v>1188</v>
      </c>
      <c r="W98" s="106"/>
      <c r="X98" s="106"/>
      <c r="Y98" s="106"/>
      <c r="Z98" s="106"/>
      <c r="AA98" s="106"/>
      <c r="AB98" s="106"/>
      <c r="AC98" s="106"/>
      <c r="AD98" s="106"/>
      <c r="AE98" s="106"/>
      <c r="AF98" s="106"/>
      <c r="AG98" s="106"/>
      <c r="AH98" s="106"/>
      <c r="AI98" s="106"/>
      <c r="AJ98" s="106"/>
      <c r="AK98" s="106"/>
      <c r="AL98" s="106"/>
      <c r="AM98" s="106"/>
      <c r="AN98" s="106"/>
      <c r="AO98" s="106"/>
      <c r="AP98" s="106"/>
      <c r="AQ98" s="281" t="s">
        <v>1176</v>
      </c>
      <c r="AR98" s="199">
        <v>10</v>
      </c>
      <c r="AS98" s="200">
        <v>240</v>
      </c>
      <c r="AT98" s="182" t="s">
        <v>546</v>
      </c>
      <c r="AU98" s="182" t="s">
        <v>604</v>
      </c>
      <c r="AV98" s="173">
        <v>2</v>
      </c>
      <c r="AW98" s="173">
        <v>-3</v>
      </c>
      <c r="AX98" s="288" t="s">
        <v>899</v>
      </c>
      <c r="AY98" s="268">
        <v>-2</v>
      </c>
      <c r="AZ98" s="235">
        <v>3</v>
      </c>
      <c r="BA98" s="70">
        <v>5</v>
      </c>
      <c r="BB98" s="70">
        <v>0</v>
      </c>
      <c r="BC98" s="70">
        <v>-6</v>
      </c>
      <c r="BD98" s="189" t="s">
        <v>900</v>
      </c>
      <c r="BE98" s="215">
        <v>-2</v>
      </c>
      <c r="BF98" s="189" t="s">
        <v>899</v>
      </c>
      <c r="BG98" s="106"/>
      <c r="BH98" s="106"/>
      <c r="BI98" s="193">
        <v>3</v>
      </c>
    </row>
    <row r="99" spans="1:61" ht="15" customHeight="1">
      <c r="A99" s="159" t="s">
        <v>546</v>
      </c>
      <c r="B99" s="814" t="s">
        <v>1189</v>
      </c>
      <c r="C99" s="814"/>
      <c r="D99" s="814"/>
      <c r="E99" s="814"/>
      <c r="F99" s="814"/>
      <c r="G99" s="814"/>
      <c r="H99" s="814"/>
      <c r="I99" s="814"/>
      <c r="J99" s="814"/>
      <c r="K99" s="814"/>
      <c r="L99" s="814"/>
      <c r="M99" s="16"/>
      <c r="N99" s="106"/>
      <c r="O99" s="106"/>
      <c r="P99" s="106"/>
      <c r="Q99" s="106"/>
      <c r="R99" s="106"/>
      <c r="S99" s="106"/>
      <c r="T99" s="106"/>
      <c r="U99" s="300">
        <v>-0.01</v>
      </c>
      <c r="V99" s="300">
        <v>0.02</v>
      </c>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row>
    <row r="100" spans="1:61" ht="15" customHeight="1">
      <c r="A100" s="159" t="s">
        <v>548</v>
      </c>
      <c r="B100" s="814" t="s">
        <v>1190</v>
      </c>
      <c r="C100" s="814"/>
      <c r="D100" s="814"/>
      <c r="E100" s="814"/>
      <c r="F100" s="814"/>
      <c r="G100" s="814"/>
      <c r="H100" s="814"/>
      <c r="I100" s="814"/>
      <c r="J100" s="814"/>
      <c r="K100" s="814"/>
      <c r="L100" s="814"/>
      <c r="M100" s="16"/>
      <c r="N100" s="106"/>
      <c r="O100" s="106"/>
      <c r="P100" s="106"/>
      <c r="Q100" s="106"/>
      <c r="R100" s="301"/>
      <c r="S100" s="301"/>
      <c r="T100" s="301"/>
      <c r="U100" s="300">
        <v>0</v>
      </c>
      <c r="V100" s="301"/>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row>
    <row r="101" spans="1:61" ht="15" customHeight="1">
      <c r="A101" s="159" t="s">
        <v>550</v>
      </c>
      <c r="B101" s="814" t="s">
        <v>1191</v>
      </c>
      <c r="C101" s="814"/>
      <c r="D101" s="814"/>
      <c r="E101" s="814"/>
      <c r="F101" s="814"/>
      <c r="G101" s="814"/>
      <c r="H101" s="814"/>
      <c r="I101" s="814"/>
      <c r="J101" s="814"/>
      <c r="K101" s="814"/>
      <c r="L101" s="814"/>
      <c r="M101" s="1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row>
    <row r="102" spans="1:61" ht="15" customHeight="1">
      <c r="A102" s="159" t="s">
        <v>552</v>
      </c>
      <c r="B102" s="814" t="s">
        <v>553</v>
      </c>
      <c r="C102" s="814"/>
      <c r="D102" s="814"/>
      <c r="E102" s="814"/>
      <c r="F102" s="814"/>
      <c r="G102" s="814"/>
      <c r="H102" s="814"/>
      <c r="I102" s="814"/>
      <c r="J102" s="814"/>
      <c r="K102" s="814"/>
      <c r="L102" s="814"/>
      <c r="M102" s="1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row>
    <row r="103" spans="1:61" ht="15" customHeight="1">
      <c r="A103" s="159" t="s">
        <v>554</v>
      </c>
      <c r="B103" s="814" t="s">
        <v>555</v>
      </c>
      <c r="C103" s="814"/>
      <c r="D103" s="814"/>
      <c r="E103" s="814"/>
      <c r="F103" s="814"/>
      <c r="G103" s="814"/>
      <c r="H103" s="814"/>
      <c r="I103" s="814"/>
      <c r="J103" s="814"/>
      <c r="K103" s="814"/>
      <c r="L103" s="814"/>
      <c r="M103" s="1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row>
    <row r="104" spans="1:61" ht="15" customHeight="1">
      <c r="A104" s="159" t="s">
        <v>556</v>
      </c>
      <c r="B104" s="814" t="s">
        <v>557</v>
      </c>
      <c r="C104" s="814"/>
      <c r="D104" s="814"/>
      <c r="E104" s="814"/>
      <c r="F104" s="814"/>
      <c r="G104" s="814"/>
      <c r="H104" s="814"/>
      <c r="I104" s="814"/>
      <c r="J104" s="814"/>
      <c r="K104" s="814"/>
      <c r="L104" s="814"/>
      <c r="M104" s="16"/>
      <c r="N104" s="106"/>
      <c r="O104" s="106"/>
      <c r="P104" s="106"/>
      <c r="Q104" s="106"/>
      <c r="R104" s="106"/>
      <c r="S104" s="106"/>
      <c r="T104" s="106"/>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row>
    <row r="105" spans="1:61" ht="15" customHeight="1">
      <c r="A105" s="159" t="s">
        <v>558</v>
      </c>
      <c r="B105" s="814" t="s">
        <v>559</v>
      </c>
      <c r="C105" s="814"/>
      <c r="D105" s="814"/>
      <c r="E105" s="814"/>
      <c r="F105" s="814"/>
      <c r="G105" s="814"/>
      <c r="H105" s="814"/>
      <c r="I105" s="814"/>
      <c r="J105" s="814"/>
      <c r="K105" s="814"/>
      <c r="L105" s="814"/>
      <c r="M105" s="16"/>
      <c r="N105" s="106"/>
      <c r="O105" s="106"/>
      <c r="P105" s="106"/>
      <c r="Q105" s="106"/>
      <c r="R105" s="106"/>
      <c r="S105" s="106"/>
      <c r="T105" s="106"/>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row>
    <row r="106" spans="1:61" ht="15" customHeight="1">
      <c r="A106" s="159" t="s">
        <v>560</v>
      </c>
      <c r="B106" s="814" t="s">
        <v>561</v>
      </c>
      <c r="C106" s="814"/>
      <c r="D106" s="814"/>
      <c r="E106" s="814"/>
      <c r="F106" s="814"/>
      <c r="G106" s="814"/>
      <c r="H106" s="814"/>
      <c r="I106" s="814"/>
      <c r="J106" s="814"/>
      <c r="K106" s="814"/>
      <c r="L106" s="814"/>
      <c r="M106" s="1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row>
    <row r="107" spans="1:61" ht="15" customHeight="1">
      <c r="A107" s="159" t="s">
        <v>562</v>
      </c>
      <c r="B107" s="814" t="s">
        <v>1192</v>
      </c>
      <c r="C107" s="814"/>
      <c r="D107" s="814"/>
      <c r="E107" s="814"/>
      <c r="F107" s="814"/>
      <c r="G107" s="814"/>
      <c r="H107" s="814"/>
      <c r="I107" s="814"/>
      <c r="J107" s="814"/>
      <c r="K107" s="814"/>
      <c r="L107" s="814"/>
      <c r="M107" s="16"/>
      <c r="N107" s="106"/>
      <c r="O107" s="106"/>
      <c r="P107" s="106"/>
      <c r="Q107" s="106"/>
      <c r="R107" s="106"/>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row>
    <row r="108" spans="1:61" ht="15" customHeight="1">
      <c r="A108" s="159" t="s">
        <v>564</v>
      </c>
      <c r="B108" s="814" t="s">
        <v>1193</v>
      </c>
      <c r="C108" s="814"/>
      <c r="D108" s="814"/>
      <c r="E108" s="814"/>
      <c r="F108" s="814"/>
      <c r="G108" s="814"/>
      <c r="H108" s="814"/>
      <c r="I108" s="814"/>
      <c r="J108" s="814"/>
      <c r="K108" s="814"/>
      <c r="L108" s="814"/>
      <c r="M108" s="16"/>
      <c r="N108" s="106"/>
      <c r="O108" s="106"/>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row>
    <row r="109" spans="1:61" ht="15" customHeight="1">
      <c r="A109" s="159" t="s">
        <v>566</v>
      </c>
      <c r="B109" s="814" t="s">
        <v>1194</v>
      </c>
      <c r="C109" s="814"/>
      <c r="D109" s="814"/>
      <c r="E109" s="814"/>
      <c r="F109" s="814"/>
      <c r="G109" s="814"/>
      <c r="H109" s="814"/>
      <c r="I109" s="814"/>
      <c r="J109" s="814"/>
      <c r="K109" s="814"/>
      <c r="L109" s="814"/>
      <c r="M109" s="16"/>
      <c r="N109" s="106"/>
      <c r="O109" s="106"/>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row>
    <row r="110" spans="1:61" ht="15" customHeight="1">
      <c r="A110" s="159" t="s">
        <v>568</v>
      </c>
      <c r="B110" s="814" t="s">
        <v>569</v>
      </c>
      <c r="C110" s="814"/>
      <c r="D110" s="814"/>
      <c r="E110" s="814"/>
      <c r="F110" s="814"/>
      <c r="G110" s="814"/>
      <c r="H110" s="814"/>
      <c r="I110" s="814"/>
      <c r="J110" s="814"/>
      <c r="K110" s="814"/>
      <c r="L110" s="814"/>
      <c r="M110" s="16"/>
      <c r="N110" s="106"/>
      <c r="O110" s="106"/>
      <c r="P110" s="106"/>
      <c r="Q110" s="106"/>
      <c r="R110" s="106"/>
      <c r="S110" s="106"/>
      <c r="T110" s="106"/>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row>
    <row r="111" spans="1:61" ht="15" customHeight="1">
      <c r="A111" s="159" t="s">
        <v>570</v>
      </c>
      <c r="B111" s="814" t="s">
        <v>571</v>
      </c>
      <c r="C111" s="814"/>
      <c r="D111" s="814"/>
      <c r="E111" s="814"/>
      <c r="F111" s="814"/>
      <c r="G111" s="814"/>
      <c r="H111" s="814"/>
      <c r="I111" s="814"/>
      <c r="J111" s="814"/>
      <c r="K111" s="814"/>
      <c r="L111" s="814"/>
      <c r="M111" s="16"/>
      <c r="N111" s="106"/>
      <c r="O111" s="106"/>
      <c r="P111" s="106"/>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row>
    <row r="112" spans="1:61" ht="15" customHeight="1">
      <c r="A112" s="159" t="s">
        <v>572</v>
      </c>
      <c r="B112" s="814" t="s">
        <v>573</v>
      </c>
      <c r="C112" s="814"/>
      <c r="D112" s="814"/>
      <c r="E112" s="814"/>
      <c r="F112" s="814"/>
      <c r="G112" s="814"/>
      <c r="H112" s="814"/>
      <c r="I112" s="814"/>
      <c r="J112" s="814"/>
      <c r="K112" s="814"/>
      <c r="L112" s="814"/>
      <c r="M112" s="16"/>
      <c r="N112" s="106"/>
      <c r="O112" s="106"/>
      <c r="P112" s="106"/>
      <c r="Q112" s="106"/>
      <c r="R112" s="106"/>
      <c r="S112" s="106"/>
      <c r="T112" s="106"/>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row>
    <row r="113" spans="1:61" ht="15" customHeight="1">
      <c r="A113" s="159" t="s">
        <v>574</v>
      </c>
      <c r="B113" s="814" t="s">
        <v>1195</v>
      </c>
      <c r="C113" s="814"/>
      <c r="D113" s="814"/>
      <c r="E113" s="814"/>
      <c r="F113" s="814"/>
      <c r="G113" s="814"/>
      <c r="H113" s="814"/>
      <c r="I113" s="814"/>
      <c r="J113" s="814"/>
      <c r="K113" s="814"/>
      <c r="L113" s="814"/>
      <c r="M113" s="16"/>
      <c r="N113" s="106"/>
      <c r="O113" s="106"/>
      <c r="P113" s="106"/>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row>
    <row r="114" spans="1:61" ht="15" customHeight="1">
      <c r="A114" s="159" t="s">
        <v>576</v>
      </c>
      <c r="B114" s="814" t="s">
        <v>1196</v>
      </c>
      <c r="C114" s="814"/>
      <c r="D114" s="814"/>
      <c r="E114" s="814"/>
      <c r="F114" s="814"/>
      <c r="G114" s="814"/>
      <c r="H114" s="814"/>
      <c r="I114" s="814"/>
      <c r="J114" s="814"/>
      <c r="K114" s="814"/>
      <c r="L114" s="814"/>
      <c r="M114" s="16"/>
      <c r="N114" s="106"/>
      <c r="O114" s="106"/>
      <c r="P114" s="106"/>
      <c r="Q114" s="106"/>
      <c r="R114" s="106"/>
      <c r="S114" s="106"/>
      <c r="T114" s="106"/>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row>
    <row r="115" spans="1:61" ht="15" customHeight="1">
      <c r="A115" s="159" t="s">
        <v>578</v>
      </c>
      <c r="B115" s="814" t="s">
        <v>579</v>
      </c>
      <c r="C115" s="814"/>
      <c r="D115" s="814"/>
      <c r="E115" s="814"/>
      <c r="F115" s="814"/>
      <c r="G115" s="814"/>
      <c r="H115" s="814"/>
      <c r="I115" s="814"/>
      <c r="J115" s="814"/>
      <c r="K115" s="814"/>
      <c r="L115" s="814"/>
      <c r="M115" s="16"/>
      <c r="N115" s="106"/>
      <c r="O115" s="106"/>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row>
    <row r="116" spans="1:61" ht="15" customHeight="1">
      <c r="A116" s="159" t="s">
        <v>580</v>
      </c>
      <c r="B116" s="814" t="s">
        <v>581</v>
      </c>
      <c r="C116" s="814"/>
      <c r="D116" s="814"/>
      <c r="E116" s="814"/>
      <c r="F116" s="814"/>
      <c r="G116" s="814"/>
      <c r="H116" s="814"/>
      <c r="I116" s="814"/>
      <c r="J116" s="814"/>
      <c r="K116" s="814"/>
      <c r="L116" s="814"/>
      <c r="M116" s="16"/>
      <c r="N116" s="106"/>
      <c r="O116" s="106"/>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row>
    <row r="117" spans="1:61" ht="15" customHeight="1">
      <c r="A117" s="159" t="s">
        <v>582</v>
      </c>
      <c r="B117" s="814" t="s">
        <v>583</v>
      </c>
      <c r="C117" s="814"/>
      <c r="D117" s="814"/>
      <c r="E117" s="814"/>
      <c r="F117" s="814"/>
      <c r="G117" s="814"/>
      <c r="H117" s="814"/>
      <c r="I117" s="814"/>
      <c r="J117" s="814"/>
      <c r="K117" s="814"/>
      <c r="L117" s="814"/>
      <c r="M117" s="16"/>
      <c r="N117" s="106"/>
      <c r="O117" s="106"/>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row>
    <row r="118" spans="1:61" ht="15" customHeight="1">
      <c r="A118" s="159" t="s">
        <v>584</v>
      </c>
      <c r="B118" s="814" t="s">
        <v>585</v>
      </c>
      <c r="C118" s="814"/>
      <c r="D118" s="814"/>
      <c r="E118" s="814"/>
      <c r="F118" s="814"/>
      <c r="G118" s="814"/>
      <c r="H118" s="814"/>
      <c r="I118" s="814"/>
      <c r="J118" s="814"/>
      <c r="K118" s="814"/>
      <c r="L118" s="814"/>
      <c r="M118" s="16"/>
      <c r="N118" s="106"/>
      <c r="O118" s="106"/>
      <c r="P118" s="106"/>
      <c r="Q118" s="106"/>
      <c r="R118" s="106"/>
      <c r="S118" s="106"/>
      <c r="T118" s="106"/>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row>
    <row r="119" spans="1:61" ht="15" customHeight="1">
      <c r="A119" s="159" t="s">
        <v>586</v>
      </c>
      <c r="B119" s="814" t="s">
        <v>587</v>
      </c>
      <c r="C119" s="814"/>
      <c r="D119" s="814"/>
      <c r="E119" s="814"/>
      <c r="F119" s="814"/>
      <c r="G119" s="814"/>
      <c r="H119" s="814"/>
      <c r="I119" s="814"/>
      <c r="J119" s="814"/>
      <c r="K119" s="814"/>
      <c r="L119" s="814"/>
      <c r="M119" s="16"/>
      <c r="N119" s="106"/>
      <c r="O119" s="106"/>
      <c r="P119" s="106"/>
      <c r="Q119" s="106"/>
      <c r="R119" s="106"/>
      <c r="S119" s="106"/>
      <c r="T119" s="106"/>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row>
    <row r="120" spans="1:61" ht="15" customHeight="1">
      <c r="A120" s="159" t="s">
        <v>588</v>
      </c>
      <c r="B120" s="814" t="s">
        <v>589</v>
      </c>
      <c r="C120" s="814"/>
      <c r="D120" s="814"/>
      <c r="E120" s="814"/>
      <c r="F120" s="814"/>
      <c r="G120" s="814"/>
      <c r="H120" s="814"/>
      <c r="I120" s="814"/>
      <c r="J120" s="814"/>
      <c r="K120" s="814"/>
      <c r="L120" s="814"/>
      <c r="M120" s="16"/>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row>
    <row r="121" spans="1:61" ht="15" customHeight="1">
      <c r="A121" s="159" t="s">
        <v>590</v>
      </c>
      <c r="B121" s="814" t="s">
        <v>591</v>
      </c>
      <c r="C121" s="814"/>
      <c r="D121" s="814"/>
      <c r="E121" s="814"/>
      <c r="F121" s="814"/>
      <c r="G121" s="814"/>
      <c r="H121" s="814"/>
      <c r="I121" s="814"/>
      <c r="J121" s="814"/>
      <c r="K121" s="814"/>
      <c r="L121" s="814"/>
      <c r="M121" s="1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row>
    <row r="122" spans="1:61" ht="15" customHeight="1">
      <c r="A122" s="159" t="s">
        <v>592</v>
      </c>
      <c r="B122" s="814" t="s">
        <v>593</v>
      </c>
      <c r="C122" s="814"/>
      <c r="D122" s="814"/>
      <c r="E122" s="814"/>
      <c r="F122" s="814"/>
      <c r="G122" s="814"/>
      <c r="H122" s="814"/>
      <c r="I122" s="814"/>
      <c r="J122" s="814"/>
      <c r="K122" s="814"/>
      <c r="L122" s="814"/>
      <c r="M122" s="1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row>
    <row r="123" spans="1:61" ht="15" customHeight="1">
      <c r="A123" s="159" t="s">
        <v>594</v>
      </c>
      <c r="B123" s="814" t="s">
        <v>1197</v>
      </c>
      <c r="C123" s="814"/>
      <c r="D123" s="814"/>
      <c r="E123" s="814"/>
      <c r="F123" s="814"/>
      <c r="G123" s="814"/>
      <c r="H123" s="814"/>
      <c r="I123" s="814"/>
      <c r="J123" s="814"/>
      <c r="K123" s="814"/>
      <c r="L123" s="814"/>
      <c r="M123" s="1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row>
    <row r="124" spans="1:61" ht="15" customHeight="1">
      <c r="A124" s="159" t="s">
        <v>596</v>
      </c>
      <c r="B124" s="814" t="s">
        <v>597</v>
      </c>
      <c r="C124" s="814"/>
      <c r="D124" s="814"/>
      <c r="E124" s="814"/>
      <c r="F124" s="814"/>
      <c r="G124" s="814"/>
      <c r="H124" s="814"/>
      <c r="I124" s="814"/>
      <c r="J124" s="814"/>
      <c r="K124" s="814"/>
      <c r="L124" s="814"/>
      <c r="M124" s="1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row>
    <row r="125" spans="1:61" ht="15" customHeight="1">
      <c r="A125" s="159" t="s">
        <v>598</v>
      </c>
      <c r="B125" s="814" t="s">
        <v>599</v>
      </c>
      <c r="C125" s="814"/>
      <c r="D125" s="814"/>
      <c r="E125" s="814"/>
      <c r="F125" s="814"/>
      <c r="G125" s="814"/>
      <c r="H125" s="814"/>
      <c r="I125" s="814"/>
      <c r="J125" s="814"/>
      <c r="K125" s="814"/>
      <c r="L125" s="814"/>
      <c r="M125" s="1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row>
    <row r="126" spans="1:61" ht="15" customHeight="1">
      <c r="A126" s="159" t="s">
        <v>600</v>
      </c>
      <c r="B126" s="814" t="s">
        <v>1198</v>
      </c>
      <c r="C126" s="814"/>
      <c r="D126" s="814"/>
      <c r="E126" s="814"/>
      <c r="F126" s="814"/>
      <c r="G126" s="814"/>
      <c r="H126" s="814"/>
      <c r="I126" s="814"/>
      <c r="J126" s="814"/>
      <c r="K126" s="814"/>
      <c r="L126" s="814"/>
      <c r="M126" s="1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row>
    <row r="127" spans="1:61" ht="15" customHeight="1">
      <c r="A127" s="159" t="s">
        <v>602</v>
      </c>
      <c r="B127" s="814" t="s">
        <v>1199</v>
      </c>
      <c r="C127" s="814"/>
      <c r="D127" s="814"/>
      <c r="E127" s="814"/>
      <c r="F127" s="814"/>
      <c r="G127" s="814"/>
      <c r="H127" s="814"/>
      <c r="I127" s="814"/>
      <c r="J127" s="814"/>
      <c r="K127" s="814"/>
      <c r="L127" s="814"/>
      <c r="M127" s="1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row>
    <row r="128" spans="1:61" ht="15" customHeight="1">
      <c r="A128" s="159" t="s">
        <v>604</v>
      </c>
      <c r="B128" s="814" t="s">
        <v>605</v>
      </c>
      <c r="C128" s="814"/>
      <c r="D128" s="814"/>
      <c r="E128" s="814"/>
      <c r="F128" s="814"/>
      <c r="G128" s="814"/>
      <c r="H128" s="814"/>
      <c r="I128" s="814"/>
      <c r="J128" s="814"/>
      <c r="K128" s="814"/>
      <c r="L128" s="814"/>
      <c r="M128" s="1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row>
    <row r="129" spans="1:61" ht="15" customHeight="1">
      <c r="A129" s="159" t="s">
        <v>606</v>
      </c>
      <c r="B129" s="814" t="s">
        <v>607</v>
      </c>
      <c r="C129" s="814"/>
      <c r="D129" s="814"/>
      <c r="E129" s="814"/>
      <c r="F129" s="814"/>
      <c r="G129" s="814"/>
      <c r="H129" s="814"/>
      <c r="I129" s="814"/>
      <c r="J129" s="814"/>
      <c r="K129" s="814"/>
      <c r="L129" s="814"/>
      <c r="M129" s="1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row>
    <row r="130" spans="1:61" ht="15" customHeight="1">
      <c r="A130" s="159" t="s">
        <v>1014</v>
      </c>
      <c r="B130" s="814" t="s">
        <v>1200</v>
      </c>
      <c r="C130" s="814"/>
      <c r="D130" s="814"/>
      <c r="E130" s="814"/>
      <c r="F130" s="814"/>
      <c r="G130" s="814"/>
      <c r="H130" s="814"/>
      <c r="I130" s="814"/>
      <c r="J130" s="814"/>
      <c r="K130" s="814"/>
      <c r="L130" s="814"/>
      <c r="M130" s="1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row>
    <row r="131" spans="1:61" ht="15" customHeight="1">
      <c r="A131" s="159" t="s">
        <v>610</v>
      </c>
      <c r="B131" s="814" t="s">
        <v>1201</v>
      </c>
      <c r="C131" s="814"/>
      <c r="D131" s="814"/>
      <c r="E131" s="814"/>
      <c r="F131" s="814"/>
      <c r="G131" s="814"/>
      <c r="H131" s="814"/>
      <c r="I131" s="814"/>
      <c r="J131" s="814"/>
      <c r="K131" s="814"/>
      <c r="L131" s="814"/>
      <c r="M131" s="1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row>
    <row r="132" spans="1:61" ht="15" customHeight="1">
      <c r="A132" s="159" t="s">
        <v>612</v>
      </c>
      <c r="B132" s="814" t="s">
        <v>613</v>
      </c>
      <c r="C132" s="814"/>
      <c r="D132" s="814"/>
      <c r="E132" s="814"/>
      <c r="F132" s="814"/>
      <c r="G132" s="814"/>
      <c r="H132" s="814"/>
      <c r="I132" s="814"/>
      <c r="J132" s="814"/>
      <c r="K132" s="814"/>
      <c r="L132" s="814"/>
      <c r="M132" s="1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row>
    <row r="133" spans="1:61" ht="15" customHeight="1">
      <c r="A133" s="159" t="s">
        <v>614</v>
      </c>
      <c r="B133" s="814" t="s">
        <v>615</v>
      </c>
      <c r="C133" s="814"/>
      <c r="D133" s="814"/>
      <c r="E133" s="814"/>
      <c r="F133" s="814"/>
      <c r="G133" s="814"/>
      <c r="H133" s="814"/>
      <c r="I133" s="814"/>
      <c r="J133" s="814"/>
      <c r="K133" s="814"/>
      <c r="L133" s="814"/>
      <c r="M133" s="1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row>
    <row r="134" spans="1:61" ht="15" customHeight="1">
      <c r="A134" s="159" t="s">
        <v>616</v>
      </c>
      <c r="B134" s="814" t="s">
        <v>617</v>
      </c>
      <c r="C134" s="814"/>
      <c r="D134" s="814"/>
      <c r="E134" s="814"/>
      <c r="F134" s="814"/>
      <c r="G134" s="814"/>
      <c r="H134" s="814"/>
      <c r="I134" s="814"/>
      <c r="J134" s="814"/>
      <c r="K134" s="814"/>
      <c r="L134" s="814"/>
      <c r="M134" s="1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row>
    <row r="135" spans="1:61" ht="15" customHeight="1">
      <c r="A135" s="159" t="s">
        <v>618</v>
      </c>
      <c r="B135" s="814" t="s">
        <v>1202</v>
      </c>
      <c r="C135" s="814"/>
      <c r="D135" s="814"/>
      <c r="E135" s="814"/>
      <c r="F135" s="814"/>
      <c r="G135" s="814"/>
      <c r="H135" s="814"/>
      <c r="I135" s="814"/>
      <c r="J135" s="814"/>
      <c r="K135" s="814"/>
      <c r="L135" s="814"/>
      <c r="M135" s="1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row>
    <row r="136" spans="1:61" ht="15" customHeight="1">
      <c r="A136" s="159" t="s">
        <v>620</v>
      </c>
      <c r="B136" s="814" t="s">
        <v>621</v>
      </c>
      <c r="C136" s="814"/>
      <c r="D136" s="814"/>
      <c r="E136" s="814"/>
      <c r="F136" s="814"/>
      <c r="G136" s="814"/>
      <c r="H136" s="814"/>
      <c r="I136" s="814"/>
      <c r="J136" s="814"/>
      <c r="K136" s="814"/>
      <c r="L136" s="814"/>
      <c r="M136" s="1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row>
    <row r="137" spans="1:61" ht="15" customHeight="1">
      <c r="A137" s="159" t="s">
        <v>622</v>
      </c>
      <c r="B137" s="814" t="s">
        <v>1203</v>
      </c>
      <c r="C137" s="814"/>
      <c r="D137" s="814"/>
      <c r="E137" s="814"/>
      <c r="F137" s="814"/>
      <c r="G137" s="814"/>
      <c r="H137" s="814"/>
      <c r="I137" s="814"/>
      <c r="J137" s="814"/>
      <c r="K137" s="814"/>
      <c r="L137" s="814"/>
      <c r="M137" s="1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row>
    <row r="138" spans="1:61" ht="15" customHeight="1">
      <c r="A138" s="159" t="s">
        <v>624</v>
      </c>
      <c r="B138" s="814" t="s">
        <v>1204</v>
      </c>
      <c r="C138" s="814"/>
      <c r="D138" s="814"/>
      <c r="E138" s="814"/>
      <c r="F138" s="814"/>
      <c r="G138" s="814"/>
      <c r="H138" s="814"/>
      <c r="I138" s="814"/>
      <c r="J138" s="814"/>
      <c r="K138" s="814"/>
      <c r="L138" s="814"/>
      <c r="M138" s="1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row>
    <row r="139" spans="1:61" ht="15" customHeight="1">
      <c r="A139" s="159" t="s">
        <v>626</v>
      </c>
      <c r="B139" s="814" t="s">
        <v>627</v>
      </c>
      <c r="C139" s="814"/>
      <c r="D139" s="814"/>
      <c r="E139" s="814"/>
      <c r="F139" s="814"/>
      <c r="G139" s="814"/>
      <c r="H139" s="814"/>
      <c r="I139" s="814"/>
      <c r="J139" s="814"/>
      <c r="K139" s="814"/>
      <c r="L139" s="814"/>
      <c r="M139" s="1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row>
    <row r="140" spans="1:61" ht="15" customHeight="1">
      <c r="A140" s="159" t="s">
        <v>628</v>
      </c>
      <c r="B140" s="814" t="s">
        <v>629</v>
      </c>
      <c r="C140" s="814"/>
      <c r="D140" s="814"/>
      <c r="E140" s="814"/>
      <c r="F140" s="814"/>
      <c r="G140" s="814"/>
      <c r="H140" s="814"/>
      <c r="I140" s="814"/>
      <c r="J140" s="814"/>
      <c r="K140" s="814"/>
      <c r="L140" s="814"/>
      <c r="M140" s="1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row>
    <row r="141" spans="1:61" ht="15" customHeight="1">
      <c r="A141" s="159" t="s">
        <v>630</v>
      </c>
      <c r="B141" s="814" t="s">
        <v>631</v>
      </c>
      <c r="C141" s="814"/>
      <c r="D141" s="814"/>
      <c r="E141" s="814"/>
      <c r="F141" s="814"/>
      <c r="G141" s="814"/>
      <c r="H141" s="814"/>
      <c r="I141" s="814"/>
      <c r="J141" s="814"/>
      <c r="K141" s="814"/>
      <c r="L141" s="814"/>
      <c r="M141" s="16"/>
      <c r="N141" s="106"/>
      <c r="O141" s="302"/>
      <c r="P141" s="3"/>
      <c r="Q141" s="3"/>
      <c r="R141" s="106"/>
      <c r="S141" s="106"/>
      <c r="T141" s="106"/>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row>
    <row r="142" spans="1:61" ht="15" customHeight="1">
      <c r="A142" s="159" t="s">
        <v>632</v>
      </c>
      <c r="B142" s="814" t="s">
        <v>633</v>
      </c>
      <c r="C142" s="814"/>
      <c r="D142" s="814"/>
      <c r="E142" s="814"/>
      <c r="F142" s="814"/>
      <c r="G142" s="814"/>
      <c r="H142" s="814"/>
      <c r="I142" s="814"/>
      <c r="J142" s="814"/>
      <c r="K142" s="814"/>
      <c r="L142" s="814"/>
      <c r="M142" s="16"/>
      <c r="N142" s="106"/>
      <c r="O142" s="302"/>
      <c r="P142" s="3"/>
      <c r="Q142" s="3"/>
      <c r="R142" s="106"/>
      <c r="S142" s="106"/>
      <c r="T142" s="106"/>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row>
    <row r="143" spans="1:61" ht="15" customHeight="1">
      <c r="A143" s="159" t="s">
        <v>634</v>
      </c>
      <c r="B143" s="814" t="s">
        <v>1205</v>
      </c>
      <c r="C143" s="814"/>
      <c r="D143" s="814"/>
      <c r="E143" s="814"/>
      <c r="F143" s="814"/>
      <c r="G143" s="814"/>
      <c r="H143" s="814"/>
      <c r="I143" s="814"/>
      <c r="J143" s="814"/>
      <c r="K143" s="814"/>
      <c r="L143" s="814"/>
      <c r="M143" s="16"/>
      <c r="N143" s="106"/>
      <c r="O143" s="302"/>
      <c r="P143" s="3"/>
      <c r="Q143" s="3"/>
      <c r="R143" s="106"/>
      <c r="S143" s="106"/>
      <c r="T143" s="106"/>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row>
    <row r="144" spans="1:61" ht="15" customHeight="1">
      <c r="A144" s="159" t="s">
        <v>636</v>
      </c>
      <c r="B144" s="814" t="s">
        <v>1206</v>
      </c>
      <c r="C144" s="814"/>
      <c r="D144" s="814"/>
      <c r="E144" s="814"/>
      <c r="F144" s="814"/>
      <c r="G144" s="814"/>
      <c r="H144" s="814"/>
      <c r="I144" s="814"/>
      <c r="J144" s="814"/>
      <c r="K144" s="814"/>
      <c r="L144" s="814"/>
      <c r="M144" s="16"/>
      <c r="N144" s="106"/>
      <c r="O144" s="302"/>
      <c r="P144" s="3"/>
      <c r="Q144" s="3"/>
      <c r="R144" s="106"/>
      <c r="S144" s="106"/>
      <c r="T144" s="106"/>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row>
    <row r="145" spans="1:61" ht="15" customHeight="1">
      <c r="A145" s="159" t="s">
        <v>637</v>
      </c>
      <c r="B145" s="814" t="s">
        <v>1207</v>
      </c>
      <c r="C145" s="814"/>
      <c r="D145" s="814"/>
      <c r="E145" s="814"/>
      <c r="F145" s="814"/>
      <c r="G145" s="814"/>
      <c r="H145" s="814"/>
      <c r="I145" s="814"/>
      <c r="J145" s="814"/>
      <c r="K145" s="814"/>
      <c r="L145" s="814"/>
      <c r="M145" s="16"/>
      <c r="N145" s="106"/>
      <c r="O145" s="302"/>
      <c r="P145" s="3"/>
      <c r="Q145" s="3"/>
      <c r="R145" s="106"/>
      <c r="S145" s="106"/>
      <c r="T145" s="106"/>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row>
    <row r="146" spans="1:61" ht="15" customHeight="1">
      <c r="A146" s="159" t="s">
        <v>639</v>
      </c>
      <c r="B146" s="814" t="s">
        <v>640</v>
      </c>
      <c r="C146" s="814"/>
      <c r="D146" s="814"/>
      <c r="E146" s="814"/>
      <c r="F146" s="814"/>
      <c r="G146" s="814"/>
      <c r="H146" s="814"/>
      <c r="I146" s="814"/>
      <c r="J146" s="814"/>
      <c r="K146" s="814"/>
      <c r="L146" s="814"/>
      <c r="M146" s="16"/>
      <c r="N146" s="106"/>
      <c r="O146" s="302"/>
      <c r="P146" s="3"/>
      <c r="Q146" s="3"/>
      <c r="R146" s="106"/>
      <c r="S146" s="106"/>
      <c r="T146" s="106"/>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row>
    <row r="147" spans="1:61" ht="15" customHeight="1">
      <c r="A147" s="159" t="s">
        <v>641</v>
      </c>
      <c r="B147" s="814" t="s">
        <v>642</v>
      </c>
      <c r="C147" s="814"/>
      <c r="D147" s="814"/>
      <c r="E147" s="814"/>
      <c r="F147" s="814"/>
      <c r="G147" s="814"/>
      <c r="H147" s="814"/>
      <c r="I147" s="814"/>
      <c r="J147" s="814"/>
      <c r="K147" s="814"/>
      <c r="L147" s="814"/>
      <c r="M147" s="16"/>
      <c r="N147" s="106"/>
      <c r="O147" s="302"/>
      <c r="P147" s="3"/>
      <c r="Q147" s="3"/>
      <c r="R147" s="106"/>
      <c r="S147" s="106"/>
      <c r="T147" s="106"/>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row>
    <row r="148" spans="1:61" ht="15" customHeight="1">
      <c r="A148" s="159" t="s">
        <v>643</v>
      </c>
      <c r="B148" s="815" t="s">
        <v>1208</v>
      </c>
      <c r="C148" s="815"/>
      <c r="D148" s="815"/>
      <c r="E148" s="815"/>
      <c r="F148" s="815"/>
      <c r="G148" s="815"/>
      <c r="H148" s="815"/>
      <c r="I148" s="815"/>
      <c r="J148" s="815"/>
      <c r="K148" s="815"/>
      <c r="L148" s="815"/>
      <c r="M148" s="303"/>
      <c r="N148" s="106"/>
      <c r="O148" s="302"/>
      <c r="P148" s="3"/>
      <c r="Q148" s="106"/>
      <c r="R148" s="106"/>
      <c r="S148" s="106"/>
      <c r="T148" s="106"/>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row>
    <row r="149" spans="1:61" ht="15" customHeight="1">
      <c r="A149" s="12"/>
      <c r="B149" s="12"/>
      <c r="C149" s="12"/>
      <c r="D149" s="12"/>
      <c r="E149" s="12"/>
      <c r="F149" s="12"/>
      <c r="G149" s="12"/>
      <c r="H149" s="12"/>
      <c r="I149" s="12"/>
      <c r="J149" s="12"/>
      <c r="K149" s="12"/>
      <c r="L149" s="12"/>
      <c r="M149" s="12"/>
      <c r="N149" s="106"/>
      <c r="O149" s="106"/>
      <c r="P149" s="106"/>
      <c r="Q149" s="106"/>
      <c r="R149" s="106"/>
      <c r="S149" s="106"/>
      <c r="T149" s="106"/>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row>
    <row r="150" spans="1:61" ht="15" customHeight="1">
      <c r="A150" s="12"/>
      <c r="B150" s="12"/>
      <c r="C150" s="12"/>
      <c r="D150" s="12"/>
      <c r="E150" s="12"/>
      <c r="F150" s="12"/>
      <c r="G150" s="12"/>
      <c r="H150" s="12"/>
      <c r="I150" s="12"/>
      <c r="J150" s="12"/>
      <c r="K150" s="12"/>
      <c r="L150" s="12"/>
      <c r="M150" s="12"/>
      <c r="N150" s="106"/>
      <c r="O150" s="106"/>
      <c r="P150" s="106"/>
      <c r="Q150" s="106"/>
      <c r="R150" s="106"/>
      <c r="S150" s="106"/>
      <c r="T150" s="106"/>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row>
    <row r="151" spans="1:61" ht="15" customHeight="1">
      <c r="A151" s="12"/>
      <c r="B151" s="12"/>
      <c r="C151" s="12"/>
      <c r="D151" s="12"/>
      <c r="E151" s="12"/>
      <c r="F151" s="12"/>
      <c r="G151" s="12"/>
      <c r="H151" s="12"/>
      <c r="I151" s="12"/>
      <c r="J151" s="12"/>
      <c r="K151" s="12"/>
      <c r="L151" s="12"/>
      <c r="M151" s="12"/>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row>
    <row r="152" spans="1:61" ht="15" customHeight="1">
      <c r="A152" s="12"/>
      <c r="B152" s="12"/>
      <c r="C152" s="12"/>
      <c r="D152" s="12"/>
      <c r="E152" s="12"/>
      <c r="F152" s="12"/>
      <c r="G152" s="12"/>
      <c r="H152" s="12"/>
      <c r="I152" s="12"/>
      <c r="J152" s="12"/>
      <c r="K152" s="12"/>
      <c r="L152" s="12"/>
      <c r="M152" s="12"/>
      <c r="N152" s="106"/>
      <c r="O152" s="106"/>
      <c r="P152" s="106"/>
      <c r="Q152" s="106"/>
      <c r="R152" s="106"/>
      <c r="S152" s="106"/>
      <c r="T152" s="106"/>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row>
    <row r="153" spans="1:61" ht="15" customHeight="1">
      <c r="A153" s="12"/>
      <c r="B153" s="12"/>
      <c r="C153" s="12"/>
      <c r="D153" s="12"/>
      <c r="E153" s="12"/>
      <c r="F153" s="12"/>
      <c r="G153" s="12"/>
      <c r="H153" s="12"/>
      <c r="I153" s="12"/>
      <c r="J153" s="12"/>
      <c r="K153" s="12"/>
      <c r="L153" s="12"/>
      <c r="M153" s="12"/>
      <c r="N153" s="106"/>
      <c r="O153" s="106"/>
      <c r="P153" s="106"/>
      <c r="Q153" s="106"/>
      <c r="R153" s="106"/>
      <c r="S153" s="106"/>
      <c r="T153" s="106"/>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row>
    <row r="154" spans="1:61" ht="15" customHeight="1">
      <c r="A154" s="12"/>
      <c r="B154" s="12"/>
      <c r="C154" s="12"/>
      <c r="D154" s="12"/>
      <c r="E154" s="12"/>
      <c r="F154" s="12"/>
      <c r="G154" s="12"/>
      <c r="H154" s="12"/>
      <c r="I154" s="12"/>
      <c r="J154" s="12"/>
      <c r="K154" s="12"/>
      <c r="L154" s="12"/>
      <c r="M154" s="12"/>
      <c r="N154" s="106"/>
      <c r="O154" s="106"/>
      <c r="P154" s="106"/>
      <c r="Q154" s="106"/>
      <c r="R154" s="106"/>
      <c r="S154" s="106"/>
      <c r="T154" s="106"/>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row>
    <row r="155" spans="1:61" ht="15" customHeight="1">
      <c r="A155" s="12"/>
      <c r="B155" s="12"/>
      <c r="C155" s="12"/>
      <c r="D155" s="12"/>
      <c r="E155" s="12"/>
      <c r="F155" s="12"/>
      <c r="G155" s="12"/>
      <c r="H155" s="12"/>
      <c r="I155" s="12"/>
      <c r="J155" s="12"/>
      <c r="K155" s="12"/>
      <c r="L155" s="12"/>
      <c r="M155" s="12"/>
      <c r="N155" s="106"/>
      <c r="O155" s="106"/>
      <c r="P155" s="106"/>
      <c r="Q155" s="106"/>
      <c r="R155" s="106"/>
      <c r="S155" s="106"/>
      <c r="T155" s="106"/>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row>
    <row r="156" spans="1:61" ht="15" customHeight="1">
      <c r="A156" s="12"/>
      <c r="B156" s="12"/>
      <c r="C156" s="12"/>
      <c r="D156" s="12"/>
      <c r="E156" s="12"/>
      <c r="F156" s="12"/>
      <c r="G156" s="12"/>
      <c r="H156" s="12"/>
      <c r="I156" s="12"/>
      <c r="J156" s="12"/>
      <c r="K156" s="12"/>
      <c r="L156" s="12"/>
      <c r="M156" s="12"/>
      <c r="N156" s="106"/>
      <c r="O156" s="106"/>
      <c r="P156" s="106"/>
      <c r="Q156" s="106"/>
      <c r="R156" s="106"/>
      <c r="S156" s="106"/>
      <c r="T156" s="106"/>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row>
    <row r="157" spans="1:61" ht="15" customHeight="1">
      <c r="A157" s="12"/>
      <c r="B157" s="12"/>
      <c r="C157" s="12"/>
      <c r="D157" s="12"/>
      <c r="E157" s="12"/>
      <c r="F157" s="12"/>
      <c r="G157" s="12"/>
      <c r="H157" s="12"/>
      <c r="I157" s="12"/>
      <c r="J157" s="12"/>
      <c r="K157" s="12"/>
      <c r="L157" s="12"/>
      <c r="M157" s="12"/>
      <c r="N157" s="106"/>
      <c r="O157" s="106"/>
      <c r="P157" s="106"/>
      <c r="Q157" s="106"/>
      <c r="R157" s="106"/>
      <c r="S157" s="106"/>
      <c r="T157" s="106"/>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row>
    <row r="158" spans="1:61" ht="15" customHeight="1">
      <c r="A158" s="12"/>
      <c r="B158" s="12"/>
      <c r="C158" s="12"/>
      <c r="D158" s="12"/>
      <c r="E158" s="12"/>
      <c r="F158" s="12"/>
      <c r="G158" s="12"/>
      <c r="H158" s="12"/>
      <c r="I158" s="12"/>
      <c r="J158" s="12"/>
      <c r="K158" s="12"/>
      <c r="L158" s="12"/>
      <c r="M158" s="12"/>
      <c r="N158" s="12"/>
      <c r="O158" s="106"/>
      <c r="P158" s="106"/>
      <c r="Q158" s="106"/>
      <c r="R158" s="106"/>
      <c r="S158" s="106"/>
      <c r="T158" s="106"/>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row>
    <row r="159" spans="1:61" ht="15" customHeight="1">
      <c r="A159" s="12"/>
      <c r="B159" s="12"/>
      <c r="C159" s="12"/>
      <c r="D159" s="12"/>
      <c r="E159" s="12"/>
      <c r="F159" s="12"/>
      <c r="G159" s="12"/>
      <c r="H159" s="12"/>
      <c r="I159" s="12"/>
      <c r="J159" s="12"/>
      <c r="K159" s="12"/>
      <c r="L159" s="12"/>
      <c r="M159" s="12"/>
      <c r="N159" s="12"/>
      <c r="O159" s="106"/>
      <c r="P159" s="106"/>
      <c r="Q159" s="106"/>
      <c r="R159" s="106"/>
      <c r="S159" s="106"/>
      <c r="T159" s="106"/>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row>
    <row r="160" spans="1:61" ht="15" customHeight="1">
      <c r="A160" s="12"/>
      <c r="B160" s="12"/>
      <c r="C160" s="12"/>
      <c r="D160" s="12"/>
      <c r="E160" s="12"/>
      <c r="F160" s="12"/>
      <c r="G160" s="12"/>
      <c r="H160" s="12"/>
      <c r="I160" s="12"/>
      <c r="J160" s="12"/>
      <c r="K160" s="12"/>
      <c r="L160" s="12"/>
      <c r="M160" s="12"/>
      <c r="N160" s="12"/>
      <c r="O160" s="106"/>
      <c r="P160" s="106"/>
      <c r="Q160" s="106"/>
      <c r="R160" s="106"/>
      <c r="S160" s="106"/>
      <c r="T160" s="106"/>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row>
    <row r="161" spans="1:61" ht="15" customHeight="1">
      <c r="A161" s="12"/>
      <c r="B161" s="12"/>
      <c r="C161" s="12"/>
      <c r="D161" s="12"/>
      <c r="E161" s="12"/>
      <c r="F161" s="12"/>
      <c r="G161" s="12"/>
      <c r="H161" s="12"/>
      <c r="I161" s="12"/>
      <c r="J161" s="12"/>
      <c r="K161" s="12"/>
      <c r="L161" s="12"/>
      <c r="M161" s="12"/>
      <c r="N161" s="12"/>
      <c r="O161" s="106"/>
      <c r="P161" s="106"/>
      <c r="Q161" s="106"/>
      <c r="R161" s="106"/>
      <c r="S161" s="106"/>
      <c r="T161" s="106"/>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row>
    <row r="162" spans="1:61" ht="15" customHeight="1">
      <c r="A162" s="12"/>
      <c r="B162" s="12"/>
      <c r="C162" s="12"/>
      <c r="D162" s="12"/>
      <c r="E162" s="12"/>
      <c r="F162" s="12"/>
      <c r="G162" s="12"/>
      <c r="H162" s="12"/>
      <c r="I162" s="12"/>
      <c r="J162" s="12"/>
      <c r="K162" s="12"/>
      <c r="L162" s="12"/>
      <c r="M162" s="12"/>
      <c r="N162" s="12"/>
      <c r="O162" s="106"/>
      <c r="P162" s="106"/>
      <c r="Q162" s="106"/>
      <c r="R162" s="106"/>
      <c r="S162" s="106"/>
      <c r="T162" s="106"/>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row>
    <row r="163" spans="1:61" ht="15" customHeight="1">
      <c r="A163" s="12"/>
      <c r="B163" s="12"/>
      <c r="C163" s="12"/>
      <c r="D163" s="12"/>
      <c r="E163" s="12"/>
      <c r="F163" s="12"/>
      <c r="G163" s="12"/>
      <c r="H163" s="12"/>
      <c r="I163" s="12"/>
      <c r="J163" s="12"/>
      <c r="K163" s="12"/>
      <c r="L163" s="12"/>
      <c r="M163" s="12"/>
      <c r="N163" s="12"/>
      <c r="O163" s="106"/>
      <c r="P163" s="106"/>
      <c r="Q163" s="106"/>
      <c r="R163" s="106"/>
      <c r="S163" s="106"/>
      <c r="T163" s="106"/>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row>
    <row r="164" spans="1:61" ht="15" customHeight="1">
      <c r="A164" s="12"/>
      <c r="B164" s="12"/>
      <c r="C164" s="12"/>
      <c r="D164" s="12"/>
      <c r="E164" s="12"/>
      <c r="F164" s="12"/>
      <c r="G164" s="12"/>
      <c r="H164" s="12"/>
      <c r="I164" s="12"/>
      <c r="J164" s="12"/>
      <c r="K164" s="12"/>
      <c r="L164" s="12"/>
      <c r="M164" s="12"/>
      <c r="N164" s="12"/>
      <c r="O164" s="106"/>
      <c r="P164" s="106"/>
      <c r="Q164" s="106"/>
      <c r="R164" s="106"/>
      <c r="S164" s="106"/>
      <c r="T164" s="106"/>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row>
    <row r="165" spans="1:61" ht="15" customHeight="1">
      <c r="A165" s="12"/>
      <c r="B165" s="12"/>
      <c r="C165" s="12"/>
      <c r="D165" s="12"/>
      <c r="E165" s="12"/>
      <c r="F165" s="12"/>
      <c r="G165" s="12"/>
      <c r="H165" s="12"/>
      <c r="I165" s="12"/>
      <c r="J165" s="12"/>
      <c r="K165" s="12"/>
      <c r="L165" s="12"/>
      <c r="M165" s="12"/>
      <c r="N165" s="12"/>
      <c r="O165" s="106"/>
      <c r="P165" s="106"/>
      <c r="Q165" s="106"/>
      <c r="R165" s="106"/>
      <c r="S165" s="106"/>
      <c r="T165" s="106"/>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row>
    <row r="166" spans="1:61" ht="15" customHeight="1">
      <c r="A166" s="12"/>
      <c r="B166" s="12"/>
      <c r="C166" s="12"/>
      <c r="D166" s="12"/>
      <c r="E166" s="12"/>
      <c r="F166" s="12"/>
      <c r="G166" s="12"/>
      <c r="H166" s="12"/>
      <c r="I166" s="12"/>
      <c r="J166" s="12"/>
      <c r="K166" s="12"/>
      <c r="L166" s="12"/>
      <c r="M166" s="12"/>
      <c r="N166" s="12"/>
      <c r="O166" s="106"/>
      <c r="P166" s="106"/>
      <c r="Q166" s="106"/>
      <c r="R166" s="106"/>
      <c r="S166" s="106"/>
      <c r="T166" s="106"/>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row>
    <row r="167" spans="1:61" ht="15" customHeight="1">
      <c r="A167" s="12"/>
      <c r="B167" s="12"/>
      <c r="C167" s="12"/>
      <c r="D167" s="12"/>
      <c r="E167" s="12"/>
      <c r="F167" s="12"/>
      <c r="G167" s="12"/>
      <c r="H167" s="12"/>
      <c r="I167" s="12"/>
      <c r="J167" s="12"/>
      <c r="K167" s="12"/>
      <c r="L167" s="12"/>
      <c r="M167" s="12"/>
      <c r="N167" s="12"/>
      <c r="O167" s="106"/>
      <c r="P167" s="106"/>
      <c r="Q167" s="106"/>
      <c r="R167" s="106"/>
      <c r="S167" s="106"/>
      <c r="T167" s="106"/>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row>
    <row r="168" spans="1:61" ht="15" customHeight="1">
      <c r="A168" s="12"/>
      <c r="B168" s="12"/>
      <c r="C168" s="12"/>
      <c r="D168" s="12"/>
      <c r="E168" s="12"/>
      <c r="F168" s="12"/>
      <c r="G168" s="12"/>
      <c r="H168" s="12"/>
      <c r="I168" s="12"/>
      <c r="J168" s="12"/>
      <c r="K168" s="12"/>
      <c r="L168" s="12"/>
      <c r="M168" s="12"/>
      <c r="N168" s="12"/>
      <c r="O168" s="106"/>
      <c r="P168" s="106"/>
      <c r="Q168" s="106"/>
      <c r="R168" s="106"/>
      <c r="S168" s="106"/>
      <c r="T168" s="106"/>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row>
    <row r="169" spans="1:61" ht="15" customHeight="1">
      <c r="A169" s="12"/>
      <c r="B169" s="12"/>
      <c r="C169" s="12"/>
      <c r="D169" s="12"/>
      <c r="E169" s="12"/>
      <c r="F169" s="12"/>
      <c r="G169" s="12"/>
      <c r="H169" s="12"/>
      <c r="I169" s="12"/>
      <c r="J169" s="12"/>
      <c r="K169" s="12"/>
      <c r="L169" s="12"/>
      <c r="M169" s="12"/>
      <c r="N169" s="12"/>
      <c r="O169" s="106"/>
      <c r="P169" s="106"/>
      <c r="Q169" s="106"/>
      <c r="R169" s="106"/>
      <c r="S169" s="106"/>
      <c r="T169" s="106"/>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row>
    <row r="170" spans="1:61" ht="15" customHeight="1">
      <c r="A170" s="12"/>
      <c r="B170" s="12"/>
      <c r="C170" s="12"/>
      <c r="D170" s="12"/>
      <c r="E170" s="12"/>
      <c r="F170" s="12"/>
      <c r="G170" s="12"/>
      <c r="H170" s="12"/>
      <c r="I170" s="12"/>
      <c r="J170" s="12"/>
      <c r="K170" s="12"/>
      <c r="L170" s="12"/>
      <c r="M170" s="12"/>
      <c r="N170" s="12"/>
      <c r="O170" s="106"/>
      <c r="P170" s="106"/>
      <c r="Q170" s="106"/>
      <c r="R170" s="106"/>
      <c r="S170" s="106"/>
      <c r="T170" s="106"/>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row>
    <row r="171" spans="1:61" ht="15" customHeight="1">
      <c r="A171" s="12"/>
      <c r="B171" s="12"/>
      <c r="C171" s="12"/>
      <c r="D171" s="12"/>
      <c r="E171" s="12"/>
      <c r="F171" s="12"/>
      <c r="G171" s="12"/>
      <c r="H171" s="12"/>
      <c r="I171" s="12"/>
      <c r="J171" s="12"/>
      <c r="K171" s="12"/>
      <c r="L171" s="12"/>
      <c r="M171" s="12"/>
      <c r="N171" s="12"/>
      <c r="O171" s="106"/>
      <c r="P171" s="106"/>
      <c r="Q171" s="106"/>
      <c r="R171" s="106"/>
      <c r="S171" s="106"/>
      <c r="T171" s="106"/>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row>
    <row r="172" spans="1:61" ht="15" customHeight="1">
      <c r="A172" s="12"/>
      <c r="B172" s="12"/>
      <c r="C172" s="12"/>
      <c r="D172" s="12"/>
      <c r="E172" s="12"/>
      <c r="F172" s="12"/>
      <c r="G172" s="12"/>
      <c r="H172" s="12"/>
      <c r="I172" s="12"/>
      <c r="J172" s="12"/>
      <c r="K172" s="12"/>
      <c r="L172" s="12"/>
      <c r="M172" s="12"/>
      <c r="N172" s="12"/>
      <c r="O172" s="106"/>
      <c r="P172" s="106"/>
      <c r="Q172" s="106"/>
      <c r="R172" s="106"/>
      <c r="S172" s="106"/>
      <c r="T172" s="106"/>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row>
    <row r="173" spans="1:61" ht="15" customHeight="1">
      <c r="A173" s="12"/>
      <c r="B173" s="12"/>
      <c r="C173" s="12"/>
      <c r="D173" s="12"/>
      <c r="E173" s="12"/>
      <c r="F173" s="12"/>
      <c r="G173" s="12"/>
      <c r="H173" s="12"/>
      <c r="I173" s="12"/>
      <c r="J173" s="12"/>
      <c r="K173" s="12"/>
      <c r="L173" s="12"/>
      <c r="M173" s="12"/>
      <c r="N173" s="12"/>
      <c r="O173" s="106"/>
      <c r="P173" s="106"/>
      <c r="Q173" s="106"/>
      <c r="R173" s="106"/>
      <c r="S173" s="106"/>
      <c r="T173" s="106"/>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row>
    <row r="174" spans="1:61" ht="15" customHeight="1">
      <c r="A174" s="12"/>
      <c r="B174" s="12"/>
      <c r="C174" s="12"/>
      <c r="D174" s="12"/>
      <c r="E174" s="12"/>
      <c r="F174" s="12"/>
      <c r="G174" s="12"/>
      <c r="H174" s="12"/>
      <c r="I174" s="12"/>
      <c r="J174" s="12"/>
      <c r="K174" s="12"/>
      <c r="L174" s="12"/>
      <c r="M174" s="12"/>
      <c r="N174" s="12"/>
      <c r="O174" s="106"/>
      <c r="P174" s="106"/>
      <c r="Q174" s="106"/>
      <c r="R174" s="106"/>
      <c r="S174" s="106"/>
      <c r="T174" s="106"/>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row>
    <row r="175" spans="1:61" ht="15" customHeight="1">
      <c r="A175" s="12"/>
      <c r="B175" s="12"/>
      <c r="C175" s="12"/>
      <c r="D175" s="12"/>
      <c r="E175" s="12"/>
      <c r="F175" s="12"/>
      <c r="G175" s="12"/>
      <c r="H175" s="12"/>
      <c r="I175" s="12"/>
      <c r="J175" s="12"/>
      <c r="K175" s="12"/>
      <c r="L175" s="12"/>
      <c r="M175" s="12"/>
      <c r="N175" s="12"/>
      <c r="O175" s="106"/>
      <c r="P175" s="106"/>
      <c r="Q175" s="106"/>
      <c r="R175" s="106"/>
      <c r="S175" s="106"/>
      <c r="T175" s="106"/>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row>
    <row r="176" spans="1:61" ht="15" customHeight="1">
      <c r="A176" s="12"/>
      <c r="B176" s="12"/>
      <c r="C176" s="12"/>
      <c r="D176" s="12"/>
      <c r="E176" s="12"/>
      <c r="F176" s="12"/>
      <c r="G176" s="12"/>
      <c r="H176" s="12"/>
      <c r="I176" s="12"/>
      <c r="J176" s="12"/>
      <c r="K176" s="12"/>
      <c r="L176" s="12"/>
      <c r="M176" s="12"/>
      <c r="N176" s="12"/>
      <c r="O176" s="106"/>
      <c r="P176" s="106"/>
      <c r="Q176" s="106"/>
      <c r="R176" s="106"/>
      <c r="S176" s="106"/>
      <c r="T176" s="106"/>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row>
    <row r="177" spans="1:61" ht="15" customHeight="1">
      <c r="A177" s="12"/>
      <c r="B177" s="12"/>
      <c r="C177" s="12"/>
      <c r="D177" s="12"/>
      <c r="E177" s="12"/>
      <c r="F177" s="12"/>
      <c r="G177" s="12"/>
      <c r="H177" s="12"/>
      <c r="I177" s="12"/>
      <c r="J177" s="12"/>
      <c r="K177" s="12"/>
      <c r="L177" s="12"/>
      <c r="M177" s="12"/>
      <c r="N177" s="12"/>
      <c r="O177" s="106"/>
      <c r="P177" s="106"/>
      <c r="Q177" s="106"/>
      <c r="R177" s="106"/>
      <c r="S177" s="106"/>
      <c r="T177" s="106"/>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row>
    <row r="178" spans="1:61" ht="15" customHeight="1">
      <c r="A178" s="12"/>
      <c r="B178" s="12"/>
      <c r="C178" s="12"/>
      <c r="D178" s="12"/>
      <c r="E178" s="12"/>
      <c r="F178" s="12"/>
      <c r="G178" s="12"/>
      <c r="H178" s="12"/>
      <c r="I178" s="12"/>
      <c r="J178" s="12"/>
      <c r="K178" s="12"/>
      <c r="L178" s="12"/>
      <c r="M178" s="12"/>
      <c r="N178" s="12"/>
      <c r="O178" s="106"/>
      <c r="P178" s="106"/>
      <c r="Q178" s="106"/>
      <c r="R178" s="106"/>
      <c r="S178" s="106"/>
      <c r="T178" s="106"/>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row>
    <row r="179" spans="1:61" ht="15" customHeight="1">
      <c r="A179" s="12"/>
      <c r="B179" s="12"/>
      <c r="C179" s="12"/>
      <c r="D179" s="12"/>
      <c r="E179" s="12"/>
      <c r="F179" s="12"/>
      <c r="G179" s="12"/>
      <c r="H179" s="12"/>
      <c r="I179" s="12"/>
      <c r="J179" s="12"/>
      <c r="K179" s="12"/>
      <c r="L179" s="12"/>
      <c r="M179" s="12"/>
      <c r="N179" s="12"/>
      <c r="O179" s="106"/>
      <c r="P179" s="106"/>
      <c r="Q179" s="106"/>
      <c r="R179" s="106"/>
      <c r="S179" s="106"/>
      <c r="T179" s="106"/>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row>
    <row r="180" spans="1:61" ht="15" customHeight="1">
      <c r="A180" s="12"/>
      <c r="B180" s="12"/>
      <c r="C180" s="12"/>
      <c r="D180" s="12"/>
      <c r="E180" s="12"/>
      <c r="F180" s="12"/>
      <c r="G180" s="12"/>
      <c r="H180" s="12"/>
      <c r="I180" s="12"/>
      <c r="J180" s="12"/>
      <c r="K180" s="12"/>
      <c r="L180" s="12"/>
      <c r="M180" s="12"/>
      <c r="N180" s="12"/>
      <c r="O180" s="106"/>
      <c r="P180" s="106"/>
      <c r="Q180" s="106"/>
      <c r="R180" s="106"/>
      <c r="S180" s="106"/>
      <c r="T180" s="106"/>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row>
    <row r="181" spans="1:61" ht="15" customHeight="1">
      <c r="A181" s="12"/>
      <c r="B181" s="12"/>
      <c r="C181" s="12"/>
      <c r="D181" s="12"/>
      <c r="E181" s="12"/>
      <c r="F181" s="12"/>
      <c r="G181" s="12"/>
      <c r="H181" s="12"/>
      <c r="I181" s="12"/>
      <c r="J181" s="12"/>
      <c r="K181" s="12"/>
      <c r="L181" s="12"/>
      <c r="M181" s="12"/>
      <c r="N181" s="12"/>
      <c r="O181" s="106"/>
      <c r="P181" s="106"/>
      <c r="Q181" s="106"/>
      <c r="R181" s="106"/>
      <c r="S181" s="106"/>
      <c r="T181" s="106"/>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row>
    <row r="182" spans="1:61" ht="15" customHeight="1">
      <c r="A182" s="12"/>
      <c r="B182" s="12"/>
      <c r="C182" s="12"/>
      <c r="D182" s="12"/>
      <c r="E182" s="12"/>
      <c r="F182" s="12"/>
      <c r="G182" s="12"/>
      <c r="H182" s="12"/>
      <c r="I182" s="12"/>
      <c r="J182" s="12"/>
      <c r="K182" s="12"/>
      <c r="L182" s="12"/>
      <c r="M182" s="12"/>
      <c r="N182" s="12"/>
      <c r="O182" s="106"/>
      <c r="P182" s="106"/>
      <c r="Q182" s="106"/>
      <c r="R182" s="106"/>
      <c r="S182" s="106"/>
      <c r="T182" s="106"/>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row>
    <row r="183" spans="1:61" ht="15" customHeight="1">
      <c r="A183" s="12"/>
      <c r="B183" s="12"/>
      <c r="C183" s="12"/>
      <c r="D183" s="12"/>
      <c r="E183" s="12"/>
      <c r="F183" s="12"/>
      <c r="G183" s="12"/>
      <c r="H183" s="12"/>
      <c r="I183" s="12"/>
      <c r="J183" s="12"/>
      <c r="K183" s="12"/>
      <c r="L183" s="12"/>
      <c r="M183" s="12"/>
      <c r="N183" s="12"/>
      <c r="O183" s="106"/>
      <c r="P183" s="106"/>
      <c r="Q183" s="106"/>
      <c r="R183" s="106"/>
      <c r="S183" s="106"/>
      <c r="T183" s="106"/>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row>
    <row r="184" spans="1:61" ht="15" customHeight="1">
      <c r="A184" s="12"/>
      <c r="B184" s="12"/>
      <c r="C184" s="12"/>
      <c r="D184" s="12"/>
      <c r="E184" s="12"/>
      <c r="F184" s="12"/>
      <c r="G184" s="12"/>
      <c r="H184" s="12"/>
      <c r="I184" s="12"/>
      <c r="J184" s="12"/>
      <c r="K184" s="12"/>
      <c r="L184" s="12"/>
      <c r="M184" s="12"/>
      <c r="N184" s="12"/>
      <c r="O184" s="106"/>
      <c r="P184" s="106"/>
      <c r="Q184" s="106"/>
      <c r="R184" s="106"/>
      <c r="S184" s="106"/>
      <c r="T184" s="106"/>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row>
    <row r="185" spans="1:61" ht="15" customHeight="1">
      <c r="A185" s="12"/>
      <c r="B185" s="12"/>
      <c r="C185" s="12"/>
      <c r="D185" s="12"/>
      <c r="E185" s="12"/>
      <c r="F185" s="12"/>
      <c r="G185" s="12"/>
      <c r="H185" s="12"/>
      <c r="I185" s="12"/>
      <c r="J185" s="12"/>
      <c r="K185" s="12"/>
      <c r="L185" s="12"/>
      <c r="M185" s="12"/>
      <c r="N185" s="12"/>
      <c r="O185" s="106"/>
      <c r="P185" s="106"/>
      <c r="Q185" s="106"/>
      <c r="R185" s="106"/>
      <c r="S185" s="106"/>
      <c r="T185" s="106"/>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row>
    <row r="186" spans="1:61" ht="15" customHeight="1">
      <c r="A186" s="12"/>
      <c r="B186" s="12"/>
      <c r="C186" s="12"/>
      <c r="D186" s="12"/>
      <c r="E186" s="12"/>
      <c r="F186" s="12"/>
      <c r="G186" s="12"/>
      <c r="H186" s="12"/>
      <c r="I186" s="12"/>
      <c r="J186" s="12"/>
      <c r="K186" s="12"/>
      <c r="L186" s="12"/>
      <c r="M186" s="12"/>
      <c r="N186" s="12"/>
      <c r="O186" s="106"/>
      <c r="P186" s="106"/>
      <c r="Q186" s="106"/>
      <c r="R186" s="106"/>
      <c r="S186" s="106"/>
      <c r="T186" s="106"/>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row>
    <row r="187" spans="1:61" ht="15" customHeight="1">
      <c r="A187" s="12"/>
      <c r="B187" s="12"/>
      <c r="C187" s="12"/>
      <c r="D187" s="12"/>
      <c r="E187" s="12"/>
      <c r="F187" s="12"/>
      <c r="G187" s="12"/>
      <c r="H187" s="12"/>
      <c r="I187" s="12"/>
      <c r="J187" s="12"/>
      <c r="K187" s="12"/>
      <c r="L187" s="12"/>
      <c r="M187" s="12"/>
      <c r="N187" s="12"/>
      <c r="O187" s="106"/>
      <c r="P187" s="106"/>
      <c r="Q187" s="106"/>
      <c r="R187" s="106"/>
      <c r="S187" s="106"/>
      <c r="T187" s="106"/>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row>
    <row r="188" spans="1:61" ht="15" customHeight="1">
      <c r="A188" s="12"/>
      <c r="B188" s="12"/>
      <c r="C188" s="12"/>
      <c r="D188" s="12"/>
      <c r="E188" s="12"/>
      <c r="F188" s="12"/>
      <c r="G188" s="12"/>
      <c r="H188" s="12"/>
      <c r="I188" s="12"/>
      <c r="J188" s="12"/>
      <c r="K188" s="12"/>
      <c r="L188" s="12"/>
      <c r="M188" s="12"/>
      <c r="N188" s="12"/>
      <c r="O188" s="106"/>
      <c r="P188" s="106"/>
      <c r="Q188" s="106"/>
      <c r="R188" s="106"/>
      <c r="S188" s="106"/>
      <c r="T188" s="106"/>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row>
    <row r="189" spans="1:61" ht="15" customHeight="1">
      <c r="A189" s="12"/>
      <c r="B189" s="12"/>
      <c r="C189" s="12"/>
      <c r="D189" s="12"/>
      <c r="E189" s="12"/>
      <c r="F189" s="12"/>
      <c r="G189" s="12"/>
      <c r="H189" s="12"/>
      <c r="I189" s="12"/>
      <c r="J189" s="12"/>
      <c r="K189" s="12"/>
      <c r="L189" s="12"/>
      <c r="M189" s="12"/>
      <c r="N189" s="12"/>
      <c r="O189" s="106"/>
      <c r="P189" s="106"/>
      <c r="Q189" s="106"/>
      <c r="R189" s="106"/>
      <c r="S189" s="106"/>
      <c r="T189" s="106"/>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row>
    <row r="190" spans="1:61" ht="15" customHeight="1">
      <c r="A190" s="12"/>
      <c r="B190" s="12"/>
      <c r="C190" s="12"/>
      <c r="D190" s="12"/>
      <c r="E190" s="12"/>
      <c r="F190" s="12"/>
      <c r="G190" s="12"/>
      <c r="H190" s="12"/>
      <c r="I190" s="12"/>
      <c r="J190" s="12"/>
      <c r="K190" s="12"/>
      <c r="L190" s="12"/>
      <c r="M190" s="12"/>
      <c r="N190" s="12"/>
      <c r="O190" s="106"/>
      <c r="P190" s="106"/>
      <c r="Q190" s="106"/>
      <c r="R190" s="106"/>
      <c r="S190" s="106"/>
      <c r="T190" s="106"/>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row>
    <row r="191" spans="1:61" ht="15" customHeight="1">
      <c r="A191" s="12"/>
      <c r="B191" s="12"/>
      <c r="C191" s="12"/>
      <c r="D191" s="12"/>
      <c r="E191" s="12"/>
      <c r="F191" s="12"/>
      <c r="G191" s="12"/>
      <c r="H191" s="12"/>
      <c r="I191" s="12"/>
      <c r="J191" s="12"/>
      <c r="K191" s="12"/>
      <c r="L191" s="12"/>
      <c r="M191" s="12"/>
      <c r="N191" s="12"/>
      <c r="O191" s="106"/>
      <c r="P191" s="106"/>
      <c r="Q191" s="106"/>
      <c r="R191" s="106"/>
      <c r="S191" s="106"/>
      <c r="T191" s="106"/>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row>
    <row r="192" spans="1:61" ht="15" customHeight="1">
      <c r="A192" s="12"/>
      <c r="B192" s="12"/>
      <c r="C192" s="12"/>
      <c r="D192" s="12"/>
      <c r="E192" s="12"/>
      <c r="F192" s="12"/>
      <c r="G192" s="12"/>
      <c r="H192" s="12"/>
      <c r="I192" s="12"/>
      <c r="J192" s="12"/>
      <c r="K192" s="12"/>
      <c r="L192" s="12"/>
      <c r="M192" s="12"/>
      <c r="N192" s="12"/>
      <c r="O192" s="106"/>
      <c r="P192" s="106"/>
      <c r="Q192" s="106"/>
      <c r="R192" s="106"/>
      <c r="S192" s="106"/>
      <c r="T192" s="106"/>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row>
    <row r="193" spans="1:61" ht="15" customHeight="1">
      <c r="A193" s="12"/>
      <c r="B193" s="12"/>
      <c r="C193" s="12"/>
      <c r="D193" s="12"/>
      <c r="E193" s="12"/>
      <c r="F193" s="12"/>
      <c r="G193" s="12"/>
      <c r="H193" s="12"/>
      <c r="I193" s="12"/>
      <c r="J193" s="12"/>
      <c r="K193" s="12"/>
      <c r="L193" s="12"/>
      <c r="M193" s="12"/>
      <c r="N193" s="12"/>
      <c r="O193" s="106"/>
      <c r="P193" s="106"/>
      <c r="Q193" s="106"/>
      <c r="R193" s="106"/>
      <c r="S193" s="106"/>
      <c r="T193" s="106"/>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row>
    <row r="194" spans="1:61" ht="15" customHeight="1">
      <c r="A194" s="12"/>
      <c r="B194" s="12"/>
      <c r="C194" s="12"/>
      <c r="D194" s="12"/>
      <c r="E194" s="12"/>
      <c r="F194" s="12"/>
      <c r="G194" s="12"/>
      <c r="H194" s="12"/>
      <c r="I194" s="12"/>
      <c r="J194" s="12"/>
      <c r="K194" s="12"/>
      <c r="L194" s="12"/>
      <c r="M194" s="12"/>
      <c r="N194" s="12"/>
      <c r="O194" s="106"/>
      <c r="P194" s="106"/>
      <c r="Q194" s="106"/>
      <c r="R194" s="106"/>
      <c r="S194" s="106"/>
      <c r="T194" s="106"/>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row>
    <row r="195" spans="1:61" ht="15" customHeight="1">
      <c r="A195" s="12"/>
      <c r="B195" s="12"/>
      <c r="C195" s="12"/>
      <c r="D195" s="12"/>
      <c r="E195" s="12"/>
      <c r="F195" s="12"/>
      <c r="G195" s="12"/>
      <c r="H195" s="12"/>
      <c r="I195" s="12"/>
      <c r="J195" s="12"/>
      <c r="K195" s="12"/>
      <c r="L195" s="12"/>
      <c r="M195" s="12"/>
      <c r="N195" s="12"/>
      <c r="O195" s="106"/>
      <c r="P195" s="106"/>
      <c r="Q195" s="106"/>
      <c r="R195" s="106"/>
      <c r="S195" s="106"/>
      <c r="T195" s="106"/>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row>
    <row r="196" spans="1:61" ht="15" customHeight="1">
      <c r="A196" s="12"/>
      <c r="B196" s="12"/>
      <c r="C196" s="12"/>
      <c r="D196" s="12"/>
      <c r="E196" s="12"/>
      <c r="F196" s="12"/>
      <c r="G196" s="12"/>
      <c r="H196" s="12"/>
      <c r="I196" s="12"/>
      <c r="J196" s="12"/>
      <c r="K196" s="12"/>
      <c r="L196" s="12"/>
      <c r="M196" s="12"/>
      <c r="N196" s="12"/>
      <c r="O196" s="106"/>
      <c r="P196" s="106"/>
      <c r="Q196" s="106"/>
      <c r="R196" s="106"/>
      <c r="S196" s="106"/>
      <c r="T196" s="106"/>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row>
    <row r="197" spans="1:61" ht="15" customHeight="1">
      <c r="A197" s="12"/>
      <c r="B197" s="12"/>
      <c r="C197" s="12"/>
      <c r="D197" s="12"/>
      <c r="E197" s="12"/>
      <c r="F197" s="12"/>
      <c r="G197" s="12"/>
      <c r="H197" s="12"/>
      <c r="I197" s="12"/>
      <c r="J197" s="12"/>
      <c r="K197" s="12"/>
      <c r="L197" s="12"/>
      <c r="M197" s="12"/>
      <c r="N197" s="12"/>
      <c r="O197" s="106"/>
      <c r="P197" s="106"/>
      <c r="Q197" s="106"/>
      <c r="R197" s="106"/>
      <c r="S197" s="106"/>
      <c r="T197" s="106"/>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row>
    <row r="198" spans="1:61" ht="15" customHeight="1">
      <c r="A198" s="12"/>
      <c r="B198" s="12"/>
      <c r="C198" s="12"/>
      <c r="D198" s="12"/>
      <c r="E198" s="12"/>
      <c r="F198" s="12"/>
      <c r="G198" s="12"/>
      <c r="H198" s="12"/>
      <c r="I198" s="12"/>
      <c r="J198" s="12"/>
      <c r="K198" s="12"/>
      <c r="L198" s="12"/>
      <c r="M198" s="12"/>
      <c r="N198" s="12"/>
      <c r="O198" s="106"/>
      <c r="P198" s="106"/>
      <c r="Q198" s="106"/>
      <c r="R198" s="106"/>
      <c r="S198" s="106"/>
      <c r="T198" s="106"/>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row>
    <row r="199" spans="1:61" ht="15" customHeight="1">
      <c r="A199" s="12"/>
      <c r="B199" s="12"/>
      <c r="C199" s="12"/>
      <c r="D199" s="12"/>
      <c r="E199" s="12"/>
      <c r="F199" s="12"/>
      <c r="G199" s="12"/>
      <c r="H199" s="12"/>
      <c r="I199" s="12"/>
      <c r="J199" s="12"/>
      <c r="K199" s="12"/>
      <c r="L199" s="12"/>
      <c r="M199" s="12"/>
      <c r="N199" s="12"/>
      <c r="O199" s="106"/>
      <c r="P199" s="106"/>
      <c r="Q199" s="106"/>
      <c r="R199" s="106"/>
      <c r="S199" s="106"/>
      <c r="T199" s="106"/>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row>
    <row r="200" spans="1:61" ht="15" customHeight="1">
      <c r="A200" s="12"/>
      <c r="B200" s="12"/>
      <c r="C200" s="12"/>
      <c r="D200" s="12"/>
      <c r="E200" s="12"/>
      <c r="F200" s="12"/>
      <c r="G200" s="12"/>
      <c r="H200" s="12"/>
      <c r="I200" s="12"/>
      <c r="J200" s="12"/>
      <c r="K200" s="12"/>
      <c r="L200" s="12"/>
      <c r="M200" s="12"/>
      <c r="N200" s="12"/>
      <c r="O200" s="106"/>
      <c r="P200" s="106"/>
      <c r="Q200" s="106"/>
      <c r="R200" s="106"/>
      <c r="S200" s="106"/>
      <c r="T200" s="106"/>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row>
    <row r="201" spans="1:61" ht="15" customHeight="1">
      <c r="A201" s="12"/>
      <c r="B201" s="12"/>
      <c r="C201" s="12"/>
      <c r="D201" s="12"/>
      <c r="E201" s="12"/>
      <c r="F201" s="12"/>
      <c r="G201" s="12"/>
      <c r="H201" s="12"/>
      <c r="I201" s="12"/>
      <c r="J201" s="12"/>
      <c r="K201" s="12"/>
      <c r="L201" s="12"/>
      <c r="M201" s="12"/>
      <c r="N201" s="12"/>
      <c r="O201" s="106"/>
      <c r="P201" s="106"/>
      <c r="Q201" s="106"/>
      <c r="R201" s="106"/>
      <c r="S201" s="106"/>
      <c r="T201" s="106"/>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row>
    <row r="202" spans="1:61" ht="15" customHeight="1">
      <c r="A202" s="12"/>
      <c r="B202" s="12"/>
      <c r="C202" s="12"/>
      <c r="D202" s="12"/>
      <c r="E202" s="12"/>
      <c r="F202" s="12"/>
      <c r="G202" s="12"/>
      <c r="H202" s="12"/>
      <c r="I202" s="12"/>
      <c r="J202" s="12"/>
      <c r="K202" s="12"/>
      <c r="L202" s="12"/>
      <c r="M202" s="12"/>
      <c r="N202" s="12"/>
      <c r="O202" s="106"/>
      <c r="P202" s="106"/>
      <c r="Q202" s="106"/>
      <c r="R202" s="106"/>
      <c r="S202" s="106"/>
      <c r="T202" s="106"/>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row>
    <row r="203" spans="1:61" ht="15" customHeight="1">
      <c r="A203" s="12"/>
      <c r="B203" s="12"/>
      <c r="C203" s="12"/>
      <c r="D203" s="12"/>
      <c r="E203" s="12"/>
      <c r="F203" s="12"/>
      <c r="G203" s="12"/>
      <c r="H203" s="12"/>
      <c r="I203" s="12"/>
      <c r="J203" s="12"/>
      <c r="K203" s="12"/>
      <c r="L203" s="12"/>
      <c r="M203" s="12"/>
      <c r="N203" s="12"/>
      <c r="O203" s="106"/>
      <c r="P203" s="106"/>
      <c r="Q203" s="106"/>
      <c r="R203" s="106"/>
      <c r="S203" s="106"/>
      <c r="T203" s="106"/>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row>
    <row r="204" spans="1:61" ht="15" customHeight="1">
      <c r="A204" s="12"/>
      <c r="B204" s="12"/>
      <c r="C204" s="12"/>
      <c r="D204" s="12"/>
      <c r="E204" s="12"/>
      <c r="F204" s="12"/>
      <c r="G204" s="12"/>
      <c r="H204" s="12"/>
      <c r="I204" s="12"/>
      <c r="J204" s="12"/>
      <c r="K204" s="12"/>
      <c r="L204" s="12"/>
      <c r="M204" s="12"/>
      <c r="N204" s="12"/>
      <c r="O204" s="106"/>
      <c r="P204" s="106"/>
      <c r="Q204" s="106"/>
      <c r="R204" s="106"/>
      <c r="S204" s="106"/>
      <c r="T204" s="106"/>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row>
    <row r="205" spans="1:61" ht="15" customHeight="1">
      <c r="A205" s="12"/>
      <c r="B205" s="12"/>
      <c r="C205" s="12"/>
      <c r="D205" s="12"/>
      <c r="E205" s="12"/>
      <c r="F205" s="12"/>
      <c r="G205" s="12"/>
      <c r="H205" s="12"/>
      <c r="I205" s="12"/>
      <c r="J205" s="12"/>
      <c r="K205" s="12"/>
      <c r="L205" s="12"/>
      <c r="M205" s="12"/>
      <c r="N205" s="12"/>
      <c r="O205" s="106"/>
      <c r="P205" s="106"/>
      <c r="Q205" s="106"/>
      <c r="R205" s="106"/>
      <c r="S205" s="106"/>
      <c r="T205" s="106"/>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row>
    <row r="206" spans="1:61" ht="15" customHeight="1">
      <c r="A206" s="12"/>
      <c r="B206" s="12"/>
      <c r="C206" s="12"/>
      <c r="D206" s="12"/>
      <c r="E206" s="12"/>
      <c r="F206" s="12"/>
      <c r="G206" s="12"/>
      <c r="H206" s="12"/>
      <c r="I206" s="12"/>
      <c r="J206" s="12"/>
      <c r="K206" s="12"/>
      <c r="L206" s="12"/>
      <c r="M206" s="12"/>
      <c r="N206" s="12"/>
      <c r="O206" s="106"/>
      <c r="P206" s="106"/>
      <c r="Q206" s="106"/>
      <c r="R206" s="106"/>
      <c r="S206" s="106"/>
      <c r="T206" s="106"/>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row>
    <row r="207" spans="1:61" ht="15" customHeight="1">
      <c r="A207" s="12"/>
      <c r="B207" s="12"/>
      <c r="C207" s="12"/>
      <c r="D207" s="12"/>
      <c r="E207" s="12"/>
      <c r="F207" s="12"/>
      <c r="G207" s="12"/>
      <c r="H207" s="12"/>
      <c r="I207" s="12"/>
      <c r="J207" s="12"/>
      <c r="K207" s="12"/>
      <c r="L207" s="12"/>
      <c r="M207" s="12"/>
      <c r="N207" s="12"/>
      <c r="O207" s="106"/>
      <c r="P207" s="106"/>
      <c r="Q207" s="106"/>
      <c r="R207" s="106"/>
      <c r="S207" s="106"/>
      <c r="T207" s="106"/>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row>
    <row r="208" spans="1:61" ht="15" customHeight="1">
      <c r="A208" s="12"/>
      <c r="B208" s="12"/>
      <c r="C208" s="12"/>
      <c r="D208" s="12"/>
      <c r="E208" s="12"/>
      <c r="F208" s="12"/>
      <c r="G208" s="12"/>
      <c r="H208" s="12"/>
      <c r="I208" s="12"/>
      <c r="J208" s="12"/>
      <c r="K208" s="12"/>
      <c r="L208" s="12"/>
      <c r="M208" s="12"/>
      <c r="N208" s="12"/>
      <c r="O208" s="106"/>
      <c r="P208" s="106"/>
      <c r="Q208" s="106"/>
      <c r="R208" s="106"/>
      <c r="S208" s="106"/>
      <c r="T208" s="106"/>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row>
    <row r="209" spans="1:61" ht="15" customHeight="1">
      <c r="A209" s="12"/>
      <c r="B209" s="12"/>
      <c r="C209" s="12"/>
      <c r="D209" s="12"/>
      <c r="E209" s="12"/>
      <c r="F209" s="12"/>
      <c r="G209" s="12"/>
      <c r="H209" s="12"/>
      <c r="I209" s="12"/>
      <c r="J209" s="12"/>
      <c r="K209" s="12"/>
      <c r="L209" s="12"/>
      <c r="M209" s="12"/>
      <c r="N209" s="12"/>
      <c r="O209" s="106"/>
      <c r="P209" s="106"/>
      <c r="Q209" s="106"/>
      <c r="R209" s="106"/>
      <c r="S209" s="106"/>
      <c r="T209" s="106"/>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row>
    <row r="210" spans="1:61" ht="15" customHeight="1">
      <c r="A210" s="106"/>
      <c r="B210" s="106"/>
      <c r="C210" s="106"/>
      <c r="D210" s="301"/>
      <c r="E210" s="301"/>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row>
    <row r="211" spans="1:61" ht="15" customHeight="1">
      <c r="A211" s="106"/>
      <c r="B211" s="106"/>
      <c r="C211" s="106"/>
      <c r="D211" s="301"/>
      <c r="E211" s="301"/>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row>
    <row r="212" spans="1:61" ht="15" customHeight="1">
      <c r="A212" s="106"/>
      <c r="B212" s="106"/>
      <c r="C212" s="106"/>
      <c r="D212" s="301"/>
      <c r="E212" s="301"/>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row>
    <row r="213" spans="1:61" ht="15" customHeight="1">
      <c r="A213" s="106"/>
      <c r="B213" s="106"/>
      <c r="C213" s="106"/>
      <c r="D213" s="301"/>
      <c r="E213" s="301"/>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row>
    <row r="214" spans="1:61" ht="15" customHeight="1">
      <c r="A214" s="106"/>
      <c r="B214" s="106"/>
      <c r="C214" s="106"/>
      <c r="D214" s="301"/>
      <c r="E214" s="301"/>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row>
    <row r="215" spans="1:61" ht="15" customHeight="1">
      <c r="A215" s="106"/>
      <c r="B215" s="106"/>
      <c r="C215" s="106"/>
      <c r="D215" s="301"/>
      <c r="E215" s="301"/>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row>
    <row r="216" spans="1:61" ht="15" customHeight="1">
      <c r="A216" s="106"/>
      <c r="B216" s="106"/>
      <c r="C216" s="106"/>
      <c r="D216" s="301"/>
      <c r="E216" s="301"/>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row>
    <row r="217" spans="1:61" ht="15" customHeight="1">
      <c r="A217" s="106"/>
      <c r="B217" s="106"/>
      <c r="C217" s="106"/>
      <c r="D217" s="301"/>
      <c r="E217" s="301"/>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row>
    <row r="218" spans="1:61" ht="15" customHeight="1">
      <c r="A218" s="106"/>
      <c r="B218" s="106"/>
      <c r="C218" s="106"/>
      <c r="D218" s="301"/>
      <c r="E218" s="301"/>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row>
    <row r="219" spans="1:61" ht="15" customHeight="1">
      <c r="A219" s="106"/>
      <c r="B219" s="106"/>
      <c r="C219" s="106"/>
      <c r="D219" s="301"/>
      <c r="E219" s="301"/>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row>
    <row r="220" spans="1:61" ht="15" customHeight="1">
      <c r="A220" s="106"/>
      <c r="B220" s="106"/>
      <c r="C220" s="106"/>
      <c r="D220" s="301"/>
      <c r="E220" s="301"/>
      <c r="F220" s="106"/>
      <c r="G220" s="106"/>
      <c r="H220" s="106"/>
      <c r="I220" s="106"/>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row>
    <row r="221" spans="1:61" ht="15" customHeight="1">
      <c r="A221" s="106"/>
      <c r="B221" s="106"/>
      <c r="C221" s="106"/>
      <c r="D221" s="301"/>
      <c r="E221" s="301"/>
      <c r="F221" s="106"/>
      <c r="G221" s="106"/>
      <c r="H221" s="106"/>
      <c r="I221" s="106"/>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row>
    <row r="222" spans="1:61" ht="15" customHeight="1">
      <c r="A222" s="106"/>
      <c r="B222" s="106"/>
      <c r="C222" s="106"/>
      <c r="D222" s="301"/>
      <c r="E222" s="301"/>
      <c r="F222" s="106"/>
      <c r="G222" s="106"/>
      <c r="H222" s="106"/>
      <c r="I222" s="106"/>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row>
    <row r="223" spans="1:61" ht="15" customHeight="1">
      <c r="A223" s="106"/>
      <c r="B223" s="106"/>
      <c r="C223" s="106"/>
      <c r="D223" s="301"/>
      <c r="E223" s="301"/>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row>
    <row r="224" spans="1:61" ht="15" customHeight="1">
      <c r="A224" s="106"/>
      <c r="B224" s="106"/>
      <c r="C224" s="106"/>
      <c r="D224" s="301"/>
      <c r="E224" s="301"/>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row>
    <row r="225" spans="1:61" ht="15" customHeight="1">
      <c r="A225" s="106"/>
      <c r="B225" s="106"/>
      <c r="C225" s="106"/>
      <c r="D225" s="301"/>
      <c r="E225" s="301"/>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row>
    <row r="226" spans="1:61" ht="15" customHeight="1">
      <c r="A226" s="106"/>
      <c r="B226" s="106"/>
      <c r="C226" s="106"/>
      <c r="D226" s="301"/>
      <c r="E226" s="301"/>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row>
    <row r="227" spans="1:61" ht="15" customHeight="1">
      <c r="A227" s="106"/>
      <c r="B227" s="106"/>
      <c r="C227" s="106"/>
      <c r="D227" s="301"/>
      <c r="E227" s="301"/>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row>
    <row r="228" spans="1:61" ht="15" customHeight="1">
      <c r="A228" s="106"/>
      <c r="B228" s="106"/>
      <c r="C228" s="106"/>
      <c r="D228" s="301"/>
      <c r="E228" s="301"/>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row>
    <row r="229" spans="1:61" ht="15" customHeight="1">
      <c r="A229" s="106"/>
      <c r="B229" s="106"/>
      <c r="C229" s="106"/>
      <c r="D229" s="301"/>
      <c r="E229" s="301"/>
      <c r="F229" s="106"/>
      <c r="G229" s="106"/>
      <c r="H229" s="106"/>
      <c r="I229" s="106"/>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row>
    <row r="230" spans="1:61" ht="15" customHeight="1">
      <c r="A230" s="106"/>
      <c r="B230" s="106"/>
      <c r="C230" s="106"/>
      <c r="D230" s="301"/>
      <c r="E230" s="301"/>
      <c r="F230" s="106"/>
      <c r="G230" s="106"/>
      <c r="H230" s="106"/>
      <c r="I230" s="106"/>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row>
    <row r="231" spans="1:61" ht="15" customHeight="1">
      <c r="A231" s="106"/>
      <c r="B231" s="106"/>
      <c r="C231" s="106"/>
      <c r="D231" s="301"/>
      <c r="E231" s="301"/>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row>
    <row r="232" spans="1:61" ht="15" customHeight="1">
      <c r="A232" s="106"/>
      <c r="B232" s="106"/>
      <c r="C232" s="106"/>
      <c r="D232" s="301"/>
      <c r="E232" s="301"/>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row>
    <row r="233" spans="1:61" ht="15" customHeight="1">
      <c r="A233" s="106"/>
      <c r="B233" s="106"/>
      <c r="C233" s="106"/>
      <c r="D233" s="301"/>
      <c r="E233" s="301"/>
      <c r="F233" s="106"/>
      <c r="G233" s="106"/>
      <c r="H233" s="106"/>
      <c r="I233" s="106"/>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row>
    <row r="234" spans="1:61" ht="15" customHeight="1">
      <c r="A234" s="106"/>
      <c r="B234" s="106"/>
      <c r="C234" s="106"/>
      <c r="D234" s="301"/>
      <c r="E234" s="301"/>
      <c r="F234" s="106"/>
      <c r="G234" s="106"/>
      <c r="H234" s="106"/>
      <c r="I234" s="106"/>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row>
    <row r="235" spans="1:61" ht="15" customHeight="1">
      <c r="A235" s="106"/>
      <c r="B235" s="106"/>
      <c r="C235" s="106"/>
      <c r="D235" s="301"/>
      <c r="E235" s="301"/>
      <c r="F235" s="106"/>
      <c r="G235" s="106"/>
      <c r="H235" s="106"/>
      <c r="I235" s="106"/>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row>
    <row r="236" spans="1:61" ht="15" customHeight="1">
      <c r="A236" s="106"/>
      <c r="B236" s="106"/>
      <c r="C236" s="106"/>
      <c r="D236" s="301"/>
      <c r="E236" s="301"/>
      <c r="F236" s="106"/>
      <c r="G236" s="106"/>
      <c r="H236" s="106"/>
      <c r="I236" s="106"/>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row>
    <row r="237" spans="1:61" ht="15" customHeight="1">
      <c r="A237" s="106"/>
      <c r="B237" s="106"/>
      <c r="C237" s="106"/>
      <c r="D237" s="301"/>
      <c r="E237" s="301"/>
      <c r="F237" s="106"/>
      <c r="G237" s="106"/>
      <c r="H237" s="106"/>
      <c r="I237" s="106"/>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row>
    <row r="238" spans="1:61" ht="15" customHeight="1">
      <c r="A238" s="106"/>
      <c r="B238" s="106"/>
      <c r="C238" s="106"/>
      <c r="D238" s="301"/>
      <c r="E238" s="301"/>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row>
    <row r="239" spans="1:61" ht="15" customHeight="1">
      <c r="A239" s="106"/>
      <c r="B239" s="106"/>
      <c r="C239" s="106"/>
      <c r="D239" s="301"/>
      <c r="E239" s="301"/>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row>
    <row r="240" spans="1:61" ht="15" customHeight="1">
      <c r="A240" s="106"/>
      <c r="B240" s="106"/>
      <c r="C240" s="106"/>
      <c r="D240" s="301"/>
      <c r="E240" s="301"/>
      <c r="F240" s="106"/>
      <c r="G240" s="106"/>
      <c r="H240" s="106"/>
      <c r="I240" s="106"/>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row>
    <row r="241" spans="1:61" ht="15" customHeight="1">
      <c r="A241" s="106"/>
      <c r="B241" s="106"/>
      <c r="C241" s="106"/>
      <c r="D241" s="301"/>
      <c r="E241" s="301"/>
      <c r="F241" s="106"/>
      <c r="G241" s="106"/>
      <c r="H241" s="106"/>
      <c r="I241" s="106"/>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row>
    <row r="242" spans="1:61" ht="15" customHeight="1">
      <c r="A242" s="106"/>
      <c r="B242" s="106"/>
      <c r="C242" s="106"/>
      <c r="D242" s="301"/>
      <c r="E242" s="301"/>
      <c r="F242" s="106"/>
      <c r="G242" s="106"/>
      <c r="H242" s="106"/>
      <c r="I242" s="106"/>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row>
    <row r="243" spans="1:61" ht="15" customHeight="1">
      <c r="A243" s="106"/>
      <c r="B243" s="106"/>
      <c r="C243" s="106"/>
      <c r="D243" s="301"/>
      <c r="E243" s="301"/>
      <c r="F243" s="106"/>
      <c r="G243" s="106"/>
      <c r="H243" s="106"/>
      <c r="I243" s="106"/>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row>
    <row r="244" spans="1:61" ht="15" customHeight="1">
      <c r="A244" s="106"/>
      <c r="B244" s="106"/>
      <c r="C244" s="106"/>
      <c r="D244" s="301"/>
      <c r="E244" s="301"/>
      <c r="F244" s="106"/>
      <c r="G244" s="106"/>
      <c r="H244" s="106"/>
      <c r="I244" s="106"/>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row>
    <row r="245" spans="1:61" ht="15" customHeight="1">
      <c r="A245" s="106"/>
      <c r="B245" s="106"/>
      <c r="C245" s="106"/>
      <c r="D245" s="301"/>
      <c r="E245" s="301"/>
      <c r="F245" s="106"/>
      <c r="G245" s="106"/>
      <c r="H245" s="106"/>
      <c r="I245" s="106"/>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row>
    <row r="246" spans="1:61" ht="15" customHeight="1">
      <c r="A246" s="106"/>
      <c r="B246" s="106"/>
      <c r="C246" s="106"/>
      <c r="D246" s="301"/>
      <c r="E246" s="301"/>
      <c r="F246" s="106"/>
      <c r="G246" s="106"/>
      <c r="H246" s="106"/>
      <c r="I246" s="106"/>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row>
    <row r="247" spans="1:61" ht="15" customHeight="1">
      <c r="A247" s="106"/>
      <c r="B247" s="106"/>
      <c r="C247" s="106"/>
      <c r="D247" s="301"/>
      <c r="E247" s="301"/>
      <c r="F247" s="106"/>
      <c r="G247" s="106"/>
      <c r="H247" s="106"/>
      <c r="I247" s="106"/>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row>
    <row r="248" spans="1:61" ht="15" customHeight="1">
      <c r="A248" s="106"/>
      <c r="B248" s="106"/>
      <c r="C248" s="106"/>
      <c r="D248" s="301"/>
      <c r="E248" s="301"/>
      <c r="F248" s="106"/>
      <c r="G248" s="106"/>
      <c r="H248" s="106"/>
      <c r="I248" s="106"/>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row>
    <row r="249" spans="1:61" ht="15" customHeight="1">
      <c r="A249" s="106"/>
      <c r="B249" s="106"/>
      <c r="C249" s="106"/>
      <c r="D249" s="301"/>
      <c r="E249" s="301"/>
      <c r="F249" s="106"/>
      <c r="G249" s="106"/>
      <c r="H249" s="106"/>
      <c r="I249" s="106"/>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row>
    <row r="250" spans="1:61" ht="15" customHeight="1">
      <c r="A250" s="106"/>
      <c r="B250" s="106"/>
      <c r="C250" s="106"/>
      <c r="D250" s="301"/>
      <c r="E250" s="301"/>
      <c r="F250" s="106"/>
      <c r="G250" s="106"/>
      <c r="H250" s="106"/>
      <c r="I250" s="106"/>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row>
    <row r="251" spans="1:61" ht="15" customHeight="1">
      <c r="A251" s="106"/>
      <c r="B251" s="106"/>
      <c r="C251" s="106"/>
      <c r="D251" s="301"/>
      <c r="E251" s="301"/>
      <c r="F251" s="106"/>
      <c r="G251" s="106"/>
      <c r="H251" s="106"/>
      <c r="I251" s="106"/>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row>
    <row r="252" spans="1:61" ht="15" customHeight="1">
      <c r="A252" s="106"/>
      <c r="B252" s="106"/>
      <c r="C252" s="106"/>
      <c r="D252" s="301"/>
      <c r="E252" s="301"/>
      <c r="F252" s="106"/>
      <c r="G252" s="106"/>
      <c r="H252" s="106"/>
      <c r="I252" s="106"/>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row>
    <row r="253" spans="1:61" ht="15" customHeight="1">
      <c r="A253" s="106"/>
      <c r="B253" s="106"/>
      <c r="C253" s="106"/>
      <c r="D253" s="301"/>
      <c r="E253" s="301"/>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row>
    <row r="254" spans="1:61" ht="15" customHeight="1">
      <c r="A254" s="106"/>
      <c r="B254" s="106"/>
      <c r="C254" s="106"/>
      <c r="D254" s="301"/>
      <c r="E254" s="301"/>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row>
    <row r="255" spans="1:61" ht="15" customHeight="1">
      <c r="A255" s="106"/>
      <c r="B255" s="106"/>
      <c r="C255" s="106"/>
      <c r="D255" s="301"/>
      <c r="E255" s="301"/>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row>
    <row r="256" spans="1:61" ht="15" customHeight="1">
      <c r="A256" s="106"/>
      <c r="B256" s="106"/>
      <c r="C256" s="106"/>
      <c r="D256" s="301"/>
      <c r="E256" s="301"/>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row>
    <row r="257" spans="1:61" ht="15" customHeight="1">
      <c r="A257" s="106"/>
      <c r="B257" s="106"/>
      <c r="C257" s="106"/>
      <c r="D257" s="301"/>
      <c r="E257" s="301"/>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row>
    <row r="258" spans="1:61" ht="15" customHeight="1">
      <c r="A258" s="106"/>
      <c r="B258" s="106"/>
      <c r="C258" s="106"/>
      <c r="D258" s="301"/>
      <c r="E258" s="301"/>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row>
    <row r="259" spans="1:61" ht="15" customHeight="1">
      <c r="A259" s="106"/>
      <c r="B259" s="106"/>
      <c r="C259" s="106"/>
      <c r="D259" s="301"/>
      <c r="E259" s="301"/>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row>
    <row r="260" spans="1:61" ht="15" customHeight="1">
      <c r="A260" s="106"/>
      <c r="B260" s="106"/>
      <c r="C260" s="106"/>
      <c r="D260" s="301"/>
      <c r="E260" s="301"/>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row>
    <row r="261" spans="1:61" ht="15" customHeight="1">
      <c r="A261" s="106"/>
      <c r="B261" s="106"/>
      <c r="C261" s="106"/>
      <c r="D261" s="301"/>
      <c r="E261" s="301"/>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row>
    <row r="262" spans="1:61" ht="15" customHeight="1">
      <c r="A262" s="106"/>
      <c r="B262" s="106"/>
      <c r="C262" s="106"/>
      <c r="D262" s="301"/>
      <c r="E262" s="301"/>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row>
    <row r="263" spans="1:61" ht="15" customHeight="1">
      <c r="A263" s="106"/>
      <c r="B263" s="106"/>
      <c r="C263" s="106"/>
      <c r="D263" s="301"/>
      <c r="E263" s="301"/>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row>
    <row r="264" spans="1:61" ht="15" customHeight="1">
      <c r="A264" s="106"/>
      <c r="B264" s="106"/>
      <c r="C264" s="106"/>
      <c r="D264" s="301"/>
      <c r="E264" s="301"/>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row>
    <row r="265" spans="1:61" ht="15" customHeight="1">
      <c r="A265" s="106"/>
      <c r="B265" s="106"/>
      <c r="C265" s="106"/>
      <c r="D265" s="301"/>
      <c r="E265" s="301"/>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row>
    <row r="266" spans="1:61" ht="15" customHeight="1">
      <c r="A266" s="106"/>
      <c r="B266" s="106"/>
      <c r="C266" s="106"/>
      <c r="D266" s="301"/>
      <c r="E266" s="301"/>
      <c r="F266" s="106"/>
      <c r="G266" s="106"/>
      <c r="H266" s="106"/>
      <c r="I266" s="106"/>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row>
    <row r="267" spans="1:61" ht="15" customHeight="1">
      <c r="A267" s="106"/>
      <c r="B267" s="106"/>
      <c r="C267" s="106"/>
      <c r="D267" s="301"/>
      <c r="E267" s="301"/>
      <c r="F267" s="106"/>
      <c r="G267" s="106"/>
      <c r="H267" s="106"/>
      <c r="I267" s="106"/>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row>
    <row r="268" spans="1:61" ht="15" customHeight="1">
      <c r="A268" s="106"/>
      <c r="B268" s="106"/>
      <c r="C268" s="106"/>
      <c r="D268" s="301"/>
      <c r="E268" s="301"/>
      <c r="F268" s="106"/>
      <c r="G268" s="106"/>
      <c r="H268" s="106"/>
      <c r="I268" s="106"/>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row>
    <row r="269" spans="1:61" ht="15" customHeight="1">
      <c r="A269" s="106"/>
      <c r="B269" s="106"/>
      <c r="C269" s="106"/>
      <c r="D269" s="301"/>
      <c r="E269" s="301"/>
      <c r="F269" s="106"/>
      <c r="G269" s="106"/>
      <c r="H269" s="106"/>
      <c r="I269" s="106"/>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row>
    <row r="270" spans="1:61" ht="15" customHeight="1">
      <c r="A270" s="106"/>
      <c r="B270" s="106"/>
      <c r="C270" s="106"/>
      <c r="D270" s="301"/>
      <c r="E270" s="301"/>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row>
    <row r="271" spans="1:61" ht="15" customHeight="1">
      <c r="A271" s="106"/>
      <c r="B271" s="106"/>
      <c r="C271" s="106"/>
      <c r="D271" s="301"/>
      <c r="E271" s="301"/>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row>
    <row r="272" spans="1:61" ht="15" customHeight="1">
      <c r="A272" s="106"/>
      <c r="B272" s="106"/>
      <c r="C272" s="106"/>
      <c r="D272" s="301"/>
      <c r="E272" s="301"/>
      <c r="F272" s="106"/>
      <c r="G272" s="106"/>
      <c r="H272" s="106"/>
      <c r="I272" s="106"/>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row>
    <row r="273" spans="1:61" ht="15" customHeight="1">
      <c r="A273" s="106"/>
      <c r="B273" s="106"/>
      <c r="C273" s="106"/>
      <c r="D273" s="301"/>
      <c r="E273" s="301"/>
      <c r="F273" s="106"/>
      <c r="G273" s="106"/>
      <c r="H273" s="106"/>
      <c r="I273" s="106"/>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row>
    <row r="274" spans="1:61" ht="15" customHeight="1">
      <c r="A274" s="106"/>
      <c r="B274" s="106"/>
      <c r="C274" s="106"/>
      <c r="D274" s="301"/>
      <c r="E274" s="301"/>
      <c r="F274" s="106"/>
      <c r="G274" s="106"/>
      <c r="H274" s="106"/>
      <c r="I274" s="106"/>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row>
    <row r="275" spans="1:61" ht="15" customHeight="1">
      <c r="A275" s="106"/>
      <c r="B275" s="106"/>
      <c r="C275" s="106"/>
      <c r="D275" s="301"/>
      <c r="E275" s="301"/>
      <c r="F275" s="106"/>
      <c r="G275" s="106"/>
      <c r="H275" s="106"/>
      <c r="I275" s="106"/>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row>
    <row r="276" spans="1:61" ht="15" customHeight="1">
      <c r="A276" s="106"/>
      <c r="B276" s="106"/>
      <c r="C276" s="106"/>
      <c r="D276" s="301"/>
      <c r="E276" s="301"/>
      <c r="F276" s="106"/>
      <c r="G276" s="106"/>
      <c r="H276" s="106"/>
      <c r="I276" s="106"/>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row>
    <row r="277" spans="1:61" ht="15" customHeight="1">
      <c r="A277" s="106"/>
      <c r="B277" s="106"/>
      <c r="C277" s="106"/>
      <c r="D277" s="301"/>
      <c r="E277" s="301"/>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row>
    <row r="278" spans="1:61" ht="15" customHeight="1">
      <c r="A278" s="106"/>
      <c r="B278" s="106"/>
      <c r="C278" s="106"/>
      <c r="D278" s="301"/>
      <c r="E278" s="301"/>
      <c r="F278" s="106"/>
      <c r="G278" s="106"/>
      <c r="H278" s="106"/>
      <c r="I278" s="106"/>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row>
    <row r="279" spans="1:61" ht="15" customHeight="1">
      <c r="A279" s="106"/>
      <c r="B279" s="106"/>
      <c r="C279" s="106"/>
      <c r="D279" s="301"/>
      <c r="E279" s="301"/>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row>
    <row r="280" spans="1:61" ht="15" customHeight="1">
      <c r="A280" s="106"/>
      <c r="B280" s="106"/>
      <c r="C280" s="106"/>
      <c r="D280" s="301"/>
      <c r="E280" s="301"/>
      <c r="F280" s="106"/>
      <c r="G280" s="106"/>
      <c r="H280" s="106"/>
      <c r="I280" s="106"/>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row>
    <row r="281" spans="1:61" ht="15" customHeight="1">
      <c r="A281" s="106"/>
      <c r="B281" s="106"/>
      <c r="C281" s="106"/>
      <c r="D281" s="301"/>
      <c r="E281" s="301"/>
      <c r="F281" s="106"/>
      <c r="G281" s="106"/>
      <c r="H281" s="106"/>
      <c r="I281" s="106"/>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row>
    <row r="282" spans="1:61" ht="15" customHeight="1">
      <c r="A282" s="106"/>
      <c r="B282" s="106"/>
      <c r="C282" s="106"/>
      <c r="D282" s="301"/>
      <c r="E282" s="301"/>
      <c r="F282" s="106"/>
      <c r="G282" s="106"/>
      <c r="H282" s="106"/>
      <c r="I282" s="106"/>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row>
    <row r="283" spans="1:61" ht="15" customHeight="1">
      <c r="A283" s="106"/>
      <c r="B283" s="106"/>
      <c r="C283" s="106"/>
      <c r="D283" s="301"/>
      <c r="E283" s="301"/>
      <c r="F283" s="106"/>
      <c r="G283" s="106"/>
      <c r="H283" s="106"/>
      <c r="I283" s="106"/>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row>
    <row r="284" spans="1:61" ht="15" customHeight="1">
      <c r="A284" s="106"/>
      <c r="B284" s="106"/>
      <c r="C284" s="106"/>
      <c r="D284" s="301"/>
      <c r="E284" s="301"/>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row>
    <row r="285" spans="1:61" ht="15" customHeight="1">
      <c r="A285" s="106"/>
      <c r="B285" s="106"/>
      <c r="C285" s="106"/>
      <c r="D285" s="301"/>
      <c r="E285" s="301"/>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row>
    <row r="286" spans="1:61" ht="15" customHeight="1">
      <c r="A286" s="106"/>
      <c r="B286" s="106"/>
      <c r="C286" s="106"/>
      <c r="D286" s="301"/>
      <c r="E286" s="301"/>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row>
    <row r="287" spans="1:61" ht="15" customHeight="1">
      <c r="A287" s="106"/>
      <c r="B287" s="106"/>
      <c r="C287" s="106"/>
      <c r="D287" s="301"/>
      <c r="E287" s="301"/>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row>
    <row r="288" spans="1:61" ht="15" customHeight="1">
      <c r="A288" s="106"/>
      <c r="B288" s="106"/>
      <c r="C288" s="106"/>
      <c r="D288" s="301"/>
      <c r="E288" s="301"/>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row>
    <row r="289" spans="1:61" ht="15" customHeight="1">
      <c r="A289" s="106"/>
      <c r="B289" s="106"/>
      <c r="C289" s="106"/>
      <c r="D289" s="301"/>
      <c r="E289" s="301"/>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row>
    <row r="290" spans="1:61" ht="15" customHeight="1">
      <c r="A290" s="106"/>
      <c r="B290" s="106"/>
      <c r="C290" s="106"/>
      <c r="D290" s="301"/>
      <c r="E290" s="301"/>
      <c r="F290" s="106"/>
      <c r="G290" s="106"/>
      <c r="H290" s="106"/>
      <c r="I290" s="106"/>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row>
    <row r="291" spans="1:61" ht="15" customHeight="1">
      <c r="A291" s="106"/>
      <c r="B291" s="106"/>
      <c r="C291" s="106"/>
      <c r="D291" s="301"/>
      <c r="E291" s="301"/>
      <c r="F291" s="106"/>
      <c r="G291" s="106"/>
      <c r="H291" s="106"/>
      <c r="I291" s="106"/>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row>
    <row r="292" spans="1:61" ht="15" customHeight="1">
      <c r="A292" s="106"/>
      <c r="B292" s="106"/>
      <c r="C292" s="106"/>
      <c r="D292" s="301"/>
      <c r="E292" s="301"/>
      <c r="F292" s="106"/>
      <c r="G292" s="106"/>
      <c r="H292" s="106"/>
      <c r="I292" s="106"/>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row>
    <row r="293" spans="1:61" ht="15" customHeight="1">
      <c r="A293" s="106"/>
      <c r="B293" s="106"/>
      <c r="C293" s="106"/>
      <c r="D293" s="301"/>
      <c r="E293" s="301"/>
      <c r="F293" s="106"/>
      <c r="G293" s="106"/>
      <c r="H293" s="106"/>
      <c r="I293" s="106"/>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row>
    <row r="294" spans="1:61" ht="15" customHeight="1">
      <c r="A294" s="106"/>
      <c r="B294" s="106"/>
      <c r="C294" s="106"/>
      <c r="D294" s="301"/>
      <c r="E294" s="301"/>
      <c r="F294" s="106"/>
      <c r="G294" s="106"/>
      <c r="H294" s="106"/>
      <c r="I294" s="106"/>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row>
    <row r="295" spans="1:61" ht="15" customHeight="1">
      <c r="A295" s="106"/>
      <c r="B295" s="106"/>
      <c r="C295" s="106"/>
      <c r="D295" s="301"/>
      <c r="E295" s="301"/>
      <c r="F295" s="106"/>
      <c r="G295" s="106"/>
      <c r="H295" s="106"/>
      <c r="I295" s="106"/>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row>
    <row r="296" spans="1:61" ht="15" customHeight="1">
      <c r="A296" s="106"/>
      <c r="B296" s="106"/>
      <c r="C296" s="106"/>
      <c r="D296" s="301"/>
      <c r="E296" s="301"/>
      <c r="F296" s="106"/>
      <c r="G296" s="106"/>
      <c r="H296" s="106"/>
      <c r="I296" s="106"/>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row>
    <row r="297" spans="1:61" ht="15" customHeight="1">
      <c r="A297" s="106"/>
      <c r="B297" s="106"/>
      <c r="C297" s="106"/>
      <c r="D297" s="301"/>
      <c r="E297" s="301"/>
      <c r="F297" s="106"/>
      <c r="G297" s="106"/>
      <c r="H297" s="106"/>
      <c r="I297" s="106"/>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row>
    <row r="298" spans="1:61" ht="15" customHeight="1">
      <c r="A298" s="106"/>
      <c r="B298" s="106"/>
      <c r="C298" s="106"/>
      <c r="D298" s="301"/>
      <c r="E298" s="301"/>
      <c r="F298" s="106"/>
      <c r="G298" s="106"/>
      <c r="H298" s="106"/>
      <c r="I298" s="106"/>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row>
    <row r="299" spans="1:61" ht="15" customHeight="1">
      <c r="A299" s="106"/>
      <c r="B299" s="106"/>
      <c r="C299" s="106"/>
      <c r="D299" s="301"/>
      <c r="E299" s="301"/>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row>
    <row r="300" spans="1:61" ht="15" customHeight="1">
      <c r="A300" s="106"/>
      <c r="B300" s="106"/>
      <c r="C300" s="106"/>
      <c r="D300" s="301"/>
      <c r="E300" s="301"/>
      <c r="F300" s="106"/>
      <c r="G300" s="106"/>
      <c r="H300" s="106"/>
      <c r="I300" s="106"/>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row>
    <row r="301" spans="1:61" ht="15" customHeight="1">
      <c r="A301" s="106"/>
      <c r="B301" s="106"/>
      <c r="C301" s="106"/>
      <c r="D301" s="301"/>
      <c r="E301" s="301"/>
      <c r="F301" s="106"/>
      <c r="G301" s="106"/>
      <c r="H301" s="106"/>
      <c r="I301" s="106"/>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row>
    <row r="302" spans="1:61" ht="15" customHeight="1">
      <c r="A302" s="106"/>
      <c r="B302" s="106"/>
      <c r="C302" s="106"/>
      <c r="D302" s="301"/>
      <c r="E302" s="301"/>
      <c r="F302" s="106"/>
      <c r="G302" s="106"/>
      <c r="H302" s="106"/>
      <c r="I302" s="106"/>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row>
    <row r="303" spans="1:61" ht="15" customHeight="1">
      <c r="A303" s="106"/>
      <c r="B303" s="106"/>
      <c r="C303" s="106"/>
      <c r="D303" s="301"/>
      <c r="E303" s="301"/>
      <c r="F303" s="106"/>
      <c r="G303" s="106"/>
      <c r="H303" s="106"/>
      <c r="I303" s="106"/>
      <c r="J303" s="106"/>
      <c r="K303" s="106"/>
      <c r="L303" s="106"/>
      <c r="M303" s="106"/>
      <c r="N303" s="106"/>
      <c r="O303" s="106"/>
      <c r="P303" s="106"/>
      <c r="Q303" s="106"/>
      <c r="R303" s="106"/>
      <c r="S303" s="106"/>
      <c r="T303" s="106"/>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row>
    <row r="304" spans="1:61" ht="15" customHeight="1">
      <c r="A304" s="106"/>
      <c r="B304" s="106"/>
      <c r="C304" s="106"/>
      <c r="D304" s="301"/>
      <c r="E304" s="301"/>
      <c r="F304" s="106"/>
      <c r="G304" s="106"/>
      <c r="H304" s="106"/>
      <c r="I304" s="106"/>
      <c r="J304" s="106"/>
      <c r="K304" s="106"/>
      <c r="L304" s="106"/>
      <c r="M304" s="106"/>
      <c r="N304" s="106"/>
      <c r="O304" s="106"/>
      <c r="P304" s="106"/>
      <c r="Q304" s="106"/>
      <c r="R304" s="106"/>
      <c r="S304" s="106"/>
      <c r="T304" s="106"/>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row>
    <row r="305" spans="1:61" ht="15" customHeight="1">
      <c r="A305" s="106"/>
      <c r="B305" s="106"/>
      <c r="C305" s="106"/>
      <c r="D305" s="301"/>
      <c r="E305" s="301"/>
      <c r="F305" s="106"/>
      <c r="G305" s="106"/>
      <c r="H305" s="106"/>
      <c r="I305" s="106"/>
      <c r="J305" s="106"/>
      <c r="K305" s="106"/>
      <c r="L305" s="106"/>
      <c r="M305" s="106"/>
      <c r="N305" s="106"/>
      <c r="O305" s="106"/>
      <c r="P305" s="106"/>
      <c r="Q305" s="106"/>
      <c r="R305" s="106"/>
      <c r="S305" s="106"/>
      <c r="T305" s="106"/>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row>
    <row r="306" spans="1:61" ht="15" customHeight="1">
      <c r="A306" s="106"/>
      <c r="B306" s="106"/>
      <c r="C306" s="106"/>
      <c r="D306" s="301"/>
      <c r="E306" s="301"/>
      <c r="F306" s="106"/>
      <c r="G306" s="106"/>
      <c r="H306" s="106"/>
      <c r="I306" s="106"/>
      <c r="J306" s="106"/>
      <c r="K306" s="106"/>
      <c r="L306" s="106"/>
      <c r="M306" s="106"/>
      <c r="N306" s="106"/>
      <c r="O306" s="106"/>
      <c r="P306" s="106"/>
      <c r="Q306" s="106"/>
      <c r="R306" s="106"/>
      <c r="S306" s="106"/>
      <c r="T306" s="106"/>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row>
    <row r="307" spans="1:61" ht="15" customHeight="1">
      <c r="A307" s="106"/>
      <c r="B307" s="106"/>
      <c r="C307" s="106"/>
      <c r="D307" s="301"/>
      <c r="E307" s="301"/>
      <c r="F307" s="106"/>
      <c r="G307" s="106"/>
      <c r="H307" s="106"/>
      <c r="I307" s="106"/>
      <c r="J307" s="106"/>
      <c r="K307" s="106"/>
      <c r="L307" s="106"/>
      <c r="M307" s="106"/>
      <c r="N307" s="106"/>
      <c r="O307" s="106"/>
      <c r="P307" s="106"/>
      <c r="Q307" s="106"/>
      <c r="R307" s="106"/>
      <c r="S307" s="106"/>
      <c r="T307" s="106"/>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row>
    <row r="308" spans="1:61" ht="15" customHeight="1">
      <c r="A308" s="106"/>
      <c r="B308" s="106"/>
      <c r="C308" s="106"/>
      <c r="D308" s="301"/>
      <c r="E308" s="301"/>
      <c r="F308" s="106"/>
      <c r="G308" s="106"/>
      <c r="H308" s="106"/>
      <c r="I308" s="106"/>
      <c r="J308" s="106"/>
      <c r="K308" s="106"/>
      <c r="L308" s="106"/>
      <c r="M308" s="106"/>
      <c r="N308" s="106"/>
      <c r="O308" s="106"/>
      <c r="P308" s="106"/>
      <c r="Q308" s="106"/>
      <c r="R308" s="106"/>
      <c r="S308" s="106"/>
      <c r="T308" s="106"/>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row>
    <row r="309" spans="1:61" ht="15" customHeight="1">
      <c r="A309" s="106"/>
      <c r="B309" s="106"/>
      <c r="C309" s="106"/>
      <c r="D309" s="301"/>
      <c r="E309" s="301"/>
      <c r="F309" s="106"/>
      <c r="G309" s="106"/>
      <c r="H309" s="106"/>
      <c r="I309" s="106"/>
      <c r="J309" s="106"/>
      <c r="K309" s="106"/>
      <c r="L309" s="106"/>
      <c r="M309" s="106"/>
      <c r="N309" s="106"/>
      <c r="O309" s="106"/>
      <c r="P309" s="106"/>
      <c r="Q309" s="106"/>
      <c r="R309" s="106"/>
      <c r="S309" s="106"/>
      <c r="T309" s="106"/>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row>
    <row r="310" spans="1:61" ht="15" customHeight="1">
      <c r="A310" s="106"/>
      <c r="B310" s="106"/>
      <c r="C310" s="106"/>
      <c r="D310" s="301"/>
      <c r="E310" s="301"/>
      <c r="F310" s="106"/>
      <c r="G310" s="106"/>
      <c r="H310" s="106"/>
      <c r="I310" s="106"/>
      <c r="J310" s="106"/>
      <c r="K310" s="106"/>
      <c r="L310" s="106"/>
      <c r="M310" s="106"/>
      <c r="N310" s="106"/>
      <c r="O310" s="106"/>
      <c r="P310" s="106"/>
      <c r="Q310" s="106"/>
      <c r="R310" s="106"/>
      <c r="S310" s="106"/>
      <c r="T310" s="106"/>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row>
    <row r="311" spans="1:61" ht="15" customHeight="1">
      <c r="A311" s="106"/>
      <c r="B311" s="106"/>
      <c r="C311" s="106"/>
      <c r="D311" s="301"/>
      <c r="E311" s="301"/>
      <c r="F311" s="106"/>
      <c r="G311" s="106"/>
      <c r="H311" s="106"/>
      <c r="I311" s="106"/>
      <c r="J311" s="106"/>
      <c r="K311" s="106"/>
      <c r="L311" s="106"/>
      <c r="M311" s="106"/>
      <c r="N311" s="106"/>
      <c r="O311" s="106"/>
      <c r="P311" s="106"/>
      <c r="Q311" s="106"/>
      <c r="R311" s="106"/>
      <c r="S311" s="106"/>
      <c r="T311" s="106"/>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row>
    <row r="312" spans="1:61" ht="15" customHeight="1">
      <c r="A312" s="106"/>
      <c r="B312" s="106"/>
      <c r="C312" s="106"/>
      <c r="D312" s="301"/>
      <c r="E312" s="301"/>
      <c r="F312" s="106"/>
      <c r="G312" s="106"/>
      <c r="H312" s="106"/>
      <c r="I312" s="106"/>
      <c r="J312" s="106"/>
      <c r="K312" s="106"/>
      <c r="L312" s="106"/>
      <c r="M312" s="106"/>
      <c r="N312" s="106"/>
      <c r="O312" s="106"/>
      <c r="P312" s="106"/>
      <c r="Q312" s="106"/>
      <c r="R312" s="106"/>
      <c r="S312" s="106"/>
      <c r="T312" s="106"/>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row>
    <row r="313" spans="1:61" ht="15" customHeight="1">
      <c r="A313" s="106"/>
      <c r="B313" s="106"/>
      <c r="C313" s="106"/>
      <c r="D313" s="301"/>
      <c r="E313" s="301"/>
      <c r="F313" s="106"/>
      <c r="G313" s="106"/>
      <c r="H313" s="106"/>
      <c r="I313" s="106"/>
      <c r="J313" s="106"/>
      <c r="K313" s="106"/>
      <c r="L313" s="106"/>
      <c r="M313" s="106"/>
      <c r="N313" s="106"/>
      <c r="O313" s="106"/>
      <c r="P313" s="106"/>
      <c r="Q313" s="106"/>
      <c r="R313" s="106"/>
      <c r="S313" s="106"/>
      <c r="T313" s="106"/>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row>
    <row r="314" spans="1:61" ht="15" customHeight="1">
      <c r="A314" s="106"/>
      <c r="B314" s="106"/>
      <c r="C314" s="106"/>
      <c r="D314" s="301"/>
      <c r="E314" s="301"/>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row>
    <row r="315" spans="1:61" ht="15" customHeight="1">
      <c r="A315" s="106"/>
      <c r="B315" s="106"/>
      <c r="C315" s="106"/>
      <c r="D315" s="301"/>
      <c r="E315" s="301"/>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row>
    <row r="316" spans="1:61" ht="15" customHeight="1">
      <c r="A316" s="106"/>
      <c r="B316" s="106"/>
      <c r="C316" s="106"/>
      <c r="D316" s="301"/>
      <c r="E316" s="301"/>
      <c r="F316" s="106"/>
      <c r="G316" s="106"/>
      <c r="H316" s="106"/>
      <c r="I316" s="106"/>
      <c r="J316" s="106"/>
      <c r="K316" s="106"/>
      <c r="L316" s="106"/>
      <c r="M316" s="106"/>
      <c r="N316" s="106"/>
      <c r="O316" s="106"/>
      <c r="P316" s="106"/>
      <c r="Q316" s="106"/>
      <c r="R316" s="106"/>
      <c r="S316" s="106"/>
      <c r="T316" s="106"/>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row>
    <row r="317" spans="1:61" ht="15" customHeight="1">
      <c r="A317" s="106"/>
      <c r="B317" s="106"/>
      <c r="C317" s="106"/>
      <c r="D317" s="301"/>
      <c r="E317" s="301"/>
      <c r="F317" s="106"/>
      <c r="G317" s="106"/>
      <c r="H317" s="106"/>
      <c r="I317" s="106"/>
      <c r="J317" s="106"/>
      <c r="K317" s="106"/>
      <c r="L317" s="106"/>
      <c r="M317" s="106"/>
      <c r="N317" s="106"/>
      <c r="O317" s="106"/>
      <c r="P317" s="106"/>
      <c r="Q317" s="106"/>
      <c r="R317" s="106"/>
      <c r="S317" s="106"/>
      <c r="T317" s="106"/>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row>
    <row r="318" spans="1:61" ht="15" customHeight="1">
      <c r="A318" s="106"/>
      <c r="B318" s="106"/>
      <c r="C318" s="106"/>
      <c r="D318" s="301"/>
      <c r="E318" s="301"/>
      <c r="F318" s="106"/>
      <c r="G318" s="106"/>
      <c r="H318" s="106"/>
      <c r="I318" s="106"/>
      <c r="J318" s="106"/>
      <c r="K318" s="106"/>
      <c r="L318" s="106"/>
      <c r="M318" s="106"/>
      <c r="N318" s="106"/>
      <c r="O318" s="106"/>
      <c r="P318" s="106"/>
      <c r="Q318" s="106"/>
      <c r="R318" s="106"/>
      <c r="S318" s="106"/>
      <c r="T318" s="106"/>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row>
    <row r="319" spans="1:61" ht="15" customHeight="1">
      <c r="A319" s="106"/>
      <c r="B319" s="106"/>
      <c r="C319" s="106"/>
      <c r="D319" s="301"/>
      <c r="E319" s="301"/>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row>
    <row r="320" spans="1:61" ht="15" customHeight="1">
      <c r="A320" s="106"/>
      <c r="B320" s="106"/>
      <c r="C320" s="106"/>
      <c r="D320" s="301"/>
      <c r="E320" s="301"/>
      <c r="F320" s="106"/>
      <c r="G320" s="106"/>
      <c r="H320" s="106"/>
      <c r="I320" s="106"/>
      <c r="J320" s="106"/>
      <c r="K320" s="106"/>
      <c r="L320" s="106"/>
      <c r="M320" s="106"/>
      <c r="N320" s="106"/>
      <c r="O320" s="106"/>
      <c r="P320" s="106"/>
      <c r="Q320" s="106"/>
      <c r="R320" s="106"/>
      <c r="S320" s="106"/>
      <c r="T320" s="106"/>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row>
    <row r="321" spans="1:61" ht="15" customHeight="1">
      <c r="A321" s="106"/>
      <c r="B321" s="106"/>
      <c r="C321" s="106"/>
      <c r="D321" s="301"/>
      <c r="E321" s="301"/>
      <c r="F321" s="106"/>
      <c r="G321" s="106"/>
      <c r="H321" s="106"/>
      <c r="I321" s="106"/>
      <c r="J321" s="106"/>
      <c r="K321" s="106"/>
      <c r="L321" s="106"/>
      <c r="M321" s="106"/>
      <c r="N321" s="106"/>
      <c r="O321" s="106"/>
      <c r="P321" s="106"/>
      <c r="Q321" s="106"/>
      <c r="R321" s="106"/>
      <c r="S321" s="106"/>
      <c r="T321" s="106"/>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row>
    <row r="322" spans="1:61" ht="15" customHeight="1">
      <c r="A322" s="106"/>
      <c r="B322" s="106"/>
      <c r="C322" s="106"/>
      <c r="D322" s="301"/>
      <c r="E322" s="301"/>
      <c r="F322" s="106"/>
      <c r="G322" s="106"/>
      <c r="H322" s="106"/>
      <c r="I322" s="106"/>
      <c r="J322" s="106"/>
      <c r="K322" s="106"/>
      <c r="L322" s="106"/>
      <c r="M322" s="106"/>
      <c r="N322" s="106"/>
      <c r="O322" s="106"/>
      <c r="P322" s="106"/>
      <c r="Q322" s="106"/>
      <c r="R322" s="106"/>
      <c r="S322" s="106"/>
      <c r="T322" s="106"/>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row>
    <row r="323" spans="1:61" ht="15" customHeight="1">
      <c r="A323" s="106"/>
      <c r="B323" s="106"/>
      <c r="C323" s="106"/>
      <c r="D323" s="301"/>
      <c r="E323" s="301"/>
      <c r="F323" s="106"/>
      <c r="G323" s="106"/>
      <c r="H323" s="106"/>
      <c r="I323" s="106"/>
      <c r="J323" s="106"/>
      <c r="K323" s="106"/>
      <c r="L323" s="106"/>
      <c r="M323" s="106"/>
      <c r="N323" s="106"/>
      <c r="O323" s="106"/>
      <c r="P323" s="106"/>
      <c r="Q323" s="106"/>
      <c r="R323" s="106"/>
      <c r="S323" s="106"/>
      <c r="T323" s="106"/>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row>
    <row r="324" spans="1:61" ht="15" customHeight="1">
      <c r="A324" s="106"/>
      <c r="B324" s="106"/>
      <c r="C324" s="106"/>
      <c r="D324" s="301"/>
      <c r="E324" s="301"/>
      <c r="F324" s="106"/>
      <c r="G324" s="106"/>
      <c r="H324" s="106"/>
      <c r="I324" s="106"/>
      <c r="J324" s="106"/>
      <c r="K324" s="106"/>
      <c r="L324" s="106"/>
      <c r="M324" s="106"/>
      <c r="N324" s="106"/>
      <c r="O324" s="106"/>
      <c r="P324" s="106"/>
      <c r="Q324" s="106"/>
      <c r="R324" s="106"/>
      <c r="S324" s="106"/>
      <c r="T324" s="106"/>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row>
    <row r="325" spans="1:61" ht="15" customHeight="1">
      <c r="A325" s="106"/>
      <c r="B325" s="106"/>
      <c r="C325" s="106"/>
      <c r="D325" s="301"/>
      <c r="E325" s="301"/>
      <c r="F325" s="106"/>
      <c r="G325" s="106"/>
      <c r="H325" s="106"/>
      <c r="I325" s="106"/>
      <c r="J325" s="106"/>
      <c r="K325" s="106"/>
      <c r="L325" s="106"/>
      <c r="M325" s="106"/>
      <c r="N325" s="106"/>
      <c r="O325" s="106"/>
      <c r="P325" s="106"/>
      <c r="Q325" s="106"/>
      <c r="R325" s="106"/>
      <c r="S325" s="106"/>
      <c r="T325" s="106"/>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row>
    <row r="326" spans="1:61" ht="15" customHeight="1">
      <c r="A326" s="106"/>
      <c r="B326" s="106"/>
      <c r="C326" s="106"/>
      <c r="D326" s="301"/>
      <c r="E326" s="301"/>
      <c r="F326" s="106"/>
      <c r="G326" s="106"/>
      <c r="H326" s="106"/>
      <c r="I326" s="106"/>
      <c r="J326" s="106"/>
      <c r="K326" s="106"/>
      <c r="L326" s="106"/>
      <c r="M326" s="106"/>
      <c r="N326" s="106"/>
      <c r="O326" s="106"/>
      <c r="P326" s="106"/>
      <c r="Q326" s="106"/>
      <c r="R326" s="106"/>
      <c r="S326" s="106"/>
      <c r="T326" s="106"/>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row>
    <row r="327" spans="1:61" ht="15" customHeight="1">
      <c r="A327" s="106"/>
      <c r="B327" s="106"/>
      <c r="C327" s="106"/>
      <c r="D327" s="301"/>
      <c r="E327" s="301"/>
      <c r="F327" s="106"/>
      <c r="G327" s="106"/>
      <c r="H327" s="106"/>
      <c r="I327" s="106"/>
      <c r="J327" s="106"/>
      <c r="K327" s="106"/>
      <c r="L327" s="106"/>
      <c r="M327" s="106"/>
      <c r="N327" s="106"/>
      <c r="O327" s="106"/>
      <c r="P327" s="106"/>
      <c r="Q327" s="106"/>
      <c r="R327" s="106"/>
      <c r="S327" s="106"/>
      <c r="T327" s="106"/>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row>
    <row r="328" spans="1:61" ht="15" customHeight="1">
      <c r="A328" s="106"/>
      <c r="B328" s="106"/>
      <c r="C328" s="106"/>
      <c r="D328" s="301"/>
      <c r="E328" s="301"/>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row>
    <row r="329" spans="1:61" ht="15" customHeight="1">
      <c r="A329" s="106"/>
      <c r="B329" s="106"/>
      <c r="C329" s="106"/>
      <c r="D329" s="301"/>
      <c r="E329" s="301"/>
      <c r="F329" s="106"/>
      <c r="G329" s="106"/>
      <c r="H329" s="106"/>
      <c r="I329" s="106"/>
      <c r="J329" s="106"/>
      <c r="K329" s="106"/>
      <c r="L329" s="106"/>
      <c r="M329" s="106"/>
      <c r="N329" s="106"/>
      <c r="O329" s="106"/>
      <c r="P329" s="106"/>
      <c r="Q329" s="106"/>
      <c r="R329" s="106"/>
      <c r="S329" s="106"/>
      <c r="T329" s="106"/>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row>
    <row r="330" spans="1:61" ht="15" customHeight="1">
      <c r="A330" s="106"/>
      <c r="B330" s="106"/>
      <c r="C330" s="106"/>
      <c r="D330" s="301"/>
      <c r="E330" s="301"/>
      <c r="F330" s="106"/>
      <c r="G330" s="106"/>
      <c r="H330" s="106"/>
      <c r="I330" s="106"/>
      <c r="J330" s="106"/>
      <c r="K330" s="106"/>
      <c r="L330" s="106"/>
      <c r="M330" s="106"/>
      <c r="N330" s="106"/>
      <c r="O330" s="106"/>
      <c r="P330" s="106"/>
      <c r="Q330" s="106"/>
      <c r="R330" s="106"/>
      <c r="S330" s="106"/>
      <c r="T330" s="106"/>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row>
    <row r="331" spans="1:61" ht="15" customHeight="1">
      <c r="A331" s="106"/>
      <c r="B331" s="106"/>
      <c r="C331" s="106"/>
      <c r="D331" s="301"/>
      <c r="E331" s="301"/>
      <c r="F331" s="106"/>
      <c r="G331" s="106"/>
      <c r="H331" s="106"/>
      <c r="I331" s="106"/>
      <c r="J331" s="106"/>
      <c r="K331" s="106"/>
      <c r="L331" s="106"/>
      <c r="M331" s="106"/>
      <c r="N331" s="106"/>
      <c r="O331" s="106"/>
      <c r="P331" s="106"/>
      <c r="Q331" s="106"/>
      <c r="R331" s="106"/>
      <c r="S331" s="106"/>
      <c r="T331" s="106"/>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row>
    <row r="332" spans="1:61" ht="15" customHeight="1">
      <c r="A332" s="106"/>
      <c r="B332" s="106"/>
      <c r="C332" s="106"/>
      <c r="D332" s="301"/>
      <c r="E332" s="301"/>
      <c r="F332" s="106"/>
      <c r="G332" s="106"/>
      <c r="H332" s="106"/>
      <c r="I332" s="106"/>
      <c r="J332" s="106"/>
      <c r="K332" s="106"/>
      <c r="L332" s="106"/>
      <c r="M332" s="106"/>
      <c r="N332" s="106"/>
      <c r="O332" s="106"/>
      <c r="P332" s="106"/>
      <c r="Q332" s="106"/>
      <c r="R332" s="106"/>
      <c r="S332" s="106"/>
      <c r="T332" s="106"/>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row>
    <row r="333" spans="1:61" ht="15" customHeight="1">
      <c r="A333" s="106"/>
      <c r="B333" s="106"/>
      <c r="C333" s="106"/>
      <c r="D333" s="301"/>
      <c r="E333" s="301"/>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row>
    <row r="334" spans="1:61" ht="15" customHeight="1">
      <c r="A334" s="106"/>
      <c r="B334" s="106"/>
      <c r="C334" s="106"/>
      <c r="D334" s="301"/>
      <c r="E334" s="301"/>
      <c r="F334" s="106"/>
      <c r="G334" s="106"/>
      <c r="H334" s="106"/>
      <c r="I334" s="106"/>
      <c r="J334" s="106"/>
      <c r="K334" s="106"/>
      <c r="L334" s="106"/>
      <c r="M334" s="106"/>
      <c r="N334" s="106"/>
      <c r="O334" s="106"/>
      <c r="P334" s="106"/>
      <c r="Q334" s="106"/>
      <c r="R334" s="106"/>
      <c r="S334" s="106"/>
      <c r="T334" s="106"/>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row>
    <row r="335" spans="1:61" ht="15" customHeight="1">
      <c r="A335" s="106"/>
      <c r="B335" s="106"/>
      <c r="C335" s="106"/>
      <c r="D335" s="301"/>
      <c r="E335" s="301"/>
      <c r="F335" s="106"/>
      <c r="G335" s="106"/>
      <c r="H335" s="106"/>
      <c r="I335" s="106"/>
      <c r="J335" s="106"/>
      <c r="K335" s="106"/>
      <c r="L335" s="106"/>
      <c r="M335" s="106"/>
      <c r="N335" s="106"/>
      <c r="O335" s="106"/>
      <c r="P335" s="106"/>
      <c r="Q335" s="106"/>
      <c r="R335" s="106"/>
      <c r="S335" s="106"/>
      <c r="T335" s="106"/>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row>
    <row r="336" spans="1:61" ht="15" customHeight="1">
      <c r="A336" s="106"/>
      <c r="B336" s="106"/>
      <c r="C336" s="106"/>
      <c r="D336" s="301"/>
      <c r="E336" s="301"/>
      <c r="F336" s="106"/>
      <c r="G336" s="106"/>
      <c r="H336" s="106"/>
      <c r="I336" s="106"/>
      <c r="J336" s="106"/>
      <c r="K336" s="106"/>
      <c r="L336" s="106"/>
      <c r="M336" s="106"/>
      <c r="N336" s="106"/>
      <c r="O336" s="106"/>
      <c r="P336" s="106"/>
      <c r="Q336" s="106"/>
      <c r="R336" s="106"/>
      <c r="S336" s="106"/>
      <c r="T336" s="106"/>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row>
    <row r="337" spans="1:61" ht="15" customHeight="1">
      <c r="A337" s="106"/>
      <c r="B337" s="106"/>
      <c r="C337" s="106"/>
      <c r="D337" s="301"/>
      <c r="E337" s="301"/>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row>
    <row r="338" spans="1:61" ht="15" customHeight="1">
      <c r="A338" s="106"/>
      <c r="B338" s="106"/>
      <c r="C338" s="106"/>
      <c r="D338" s="301"/>
      <c r="E338" s="301"/>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row>
    <row r="339" spans="1:61" ht="15" customHeight="1">
      <c r="A339" s="106"/>
      <c r="B339" s="106"/>
      <c r="C339" s="106"/>
      <c r="D339" s="301"/>
      <c r="E339" s="301"/>
      <c r="F339" s="106"/>
      <c r="G339" s="106"/>
      <c r="H339" s="106"/>
      <c r="I339" s="106"/>
      <c r="J339" s="106"/>
      <c r="K339" s="106"/>
      <c r="L339" s="106"/>
      <c r="M339" s="106"/>
      <c r="N339" s="106"/>
      <c r="O339" s="106"/>
      <c r="P339" s="106"/>
      <c r="Q339" s="106"/>
      <c r="R339" s="106"/>
      <c r="S339" s="106"/>
      <c r="T339" s="106"/>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row>
    <row r="340" spans="1:61" ht="15" customHeight="1">
      <c r="A340" s="106"/>
      <c r="B340" s="106"/>
      <c r="C340" s="106"/>
      <c r="D340" s="301"/>
      <c r="E340" s="301"/>
      <c r="F340" s="106"/>
      <c r="G340" s="106"/>
      <c r="H340" s="106"/>
      <c r="I340" s="106"/>
      <c r="J340" s="106"/>
      <c r="K340" s="106"/>
      <c r="L340" s="106"/>
      <c r="M340" s="106"/>
      <c r="N340" s="106"/>
      <c r="O340" s="106"/>
      <c r="P340" s="106"/>
      <c r="Q340" s="106"/>
      <c r="R340" s="106"/>
      <c r="S340" s="106"/>
      <c r="T340" s="106"/>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row>
    <row r="341" spans="1:61" ht="15" customHeight="1">
      <c r="A341" s="106"/>
      <c r="B341" s="106"/>
      <c r="C341" s="106"/>
      <c r="D341" s="301"/>
      <c r="E341" s="301"/>
      <c r="F341" s="106"/>
      <c r="G341" s="106"/>
      <c r="H341" s="106"/>
      <c r="I341" s="106"/>
      <c r="J341" s="106"/>
      <c r="K341" s="106"/>
      <c r="L341" s="106"/>
      <c r="M341" s="106"/>
      <c r="N341" s="106"/>
      <c r="O341" s="106"/>
      <c r="P341" s="106"/>
      <c r="Q341" s="106"/>
      <c r="R341" s="106"/>
      <c r="S341" s="106"/>
      <c r="T341" s="106"/>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row>
    <row r="342" spans="1:61" ht="15" customHeight="1">
      <c r="A342" s="106"/>
      <c r="B342" s="106"/>
      <c r="C342" s="106"/>
      <c r="D342" s="301"/>
      <c r="E342" s="301"/>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row>
    <row r="343" spans="1:61" ht="15" customHeight="1">
      <c r="A343" s="106"/>
      <c r="B343" s="106"/>
      <c r="C343" s="106"/>
      <c r="D343" s="301"/>
      <c r="E343" s="301"/>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row>
    <row r="344" spans="1:61" ht="15" customHeight="1">
      <c r="A344" s="106"/>
      <c r="B344" s="106"/>
      <c r="C344" s="106"/>
      <c r="D344" s="301"/>
      <c r="E344" s="301"/>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row>
    <row r="345" spans="1:61" ht="15" customHeight="1">
      <c r="A345" s="106"/>
      <c r="B345" s="106"/>
      <c r="C345" s="106"/>
      <c r="D345" s="301"/>
      <c r="E345" s="301"/>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row>
    <row r="346" spans="1:61" ht="15" customHeight="1">
      <c r="A346" s="106"/>
      <c r="B346" s="106"/>
      <c r="C346" s="106"/>
      <c r="D346" s="301"/>
      <c r="E346" s="301"/>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row>
    <row r="347" spans="1:61" ht="15" customHeight="1">
      <c r="A347" s="106"/>
      <c r="B347" s="106"/>
      <c r="C347" s="106"/>
      <c r="D347" s="301"/>
      <c r="E347" s="301"/>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row>
    <row r="348" spans="1:61" ht="15" customHeight="1">
      <c r="A348" s="106"/>
      <c r="B348" s="106"/>
      <c r="C348" s="106"/>
      <c r="D348" s="301"/>
      <c r="E348" s="301"/>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row>
    <row r="349" spans="1:61" ht="15" customHeight="1">
      <c r="A349" s="106"/>
      <c r="B349" s="106"/>
      <c r="C349" s="106"/>
      <c r="D349" s="301"/>
      <c r="E349" s="301"/>
      <c r="F349" s="106"/>
      <c r="G349" s="106"/>
      <c r="H349" s="106"/>
      <c r="I349" s="106"/>
      <c r="J349" s="106"/>
      <c r="K349" s="106"/>
      <c r="L349" s="106"/>
      <c r="M349" s="106"/>
      <c r="N349" s="106"/>
      <c r="O349" s="106"/>
      <c r="P349" s="106"/>
      <c r="Q349" s="106"/>
      <c r="R349" s="106"/>
      <c r="S349" s="106"/>
      <c r="T349" s="106"/>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row>
    <row r="350" spans="1:61" ht="15" customHeight="1">
      <c r="A350" s="106"/>
      <c r="B350" s="106"/>
      <c r="C350" s="106"/>
      <c r="D350" s="301"/>
      <c r="E350" s="301"/>
      <c r="F350" s="106"/>
      <c r="G350" s="106"/>
      <c r="H350" s="106"/>
      <c r="I350" s="106"/>
      <c r="J350" s="106"/>
      <c r="K350" s="106"/>
      <c r="L350" s="106"/>
      <c r="M350" s="106"/>
      <c r="N350" s="106"/>
      <c r="O350" s="106"/>
      <c r="P350" s="106"/>
      <c r="Q350" s="106"/>
      <c r="R350" s="106"/>
      <c r="S350" s="106"/>
      <c r="T350" s="106"/>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row>
    <row r="351" spans="1:61" ht="15" customHeight="1">
      <c r="A351" s="106"/>
      <c r="B351" s="106"/>
      <c r="C351" s="106"/>
      <c r="D351" s="301"/>
      <c r="E351" s="301"/>
      <c r="F351" s="106"/>
      <c r="G351" s="106"/>
      <c r="H351" s="106"/>
      <c r="I351" s="106"/>
      <c r="J351" s="106"/>
      <c r="K351" s="106"/>
      <c r="L351" s="106"/>
      <c r="M351" s="106"/>
      <c r="N351" s="106"/>
      <c r="O351" s="106"/>
      <c r="P351" s="106"/>
      <c r="Q351" s="106"/>
      <c r="R351" s="106"/>
      <c r="S351" s="106"/>
      <c r="T351" s="106"/>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row>
    <row r="352" spans="1:61" ht="15" customHeight="1">
      <c r="A352" s="106"/>
      <c r="B352" s="106"/>
      <c r="C352" s="106"/>
      <c r="D352" s="301"/>
      <c r="E352" s="301"/>
      <c r="F352" s="106"/>
      <c r="G352" s="106"/>
      <c r="H352" s="106"/>
      <c r="I352" s="106"/>
      <c r="J352" s="106"/>
      <c r="K352" s="106"/>
      <c r="L352" s="106"/>
      <c r="M352" s="106"/>
      <c r="N352" s="106"/>
      <c r="O352" s="106"/>
      <c r="P352" s="106"/>
      <c r="Q352" s="106"/>
      <c r="R352" s="106"/>
      <c r="S352" s="106"/>
      <c r="T352" s="106"/>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row>
    <row r="353" spans="1:61" ht="15" customHeight="1">
      <c r="A353" s="106"/>
      <c r="B353" s="106"/>
      <c r="C353" s="106"/>
      <c r="D353" s="301"/>
      <c r="E353" s="301"/>
      <c r="F353" s="106"/>
      <c r="G353" s="106"/>
      <c r="H353" s="106"/>
      <c r="I353" s="106"/>
      <c r="J353" s="106"/>
      <c r="K353" s="106"/>
      <c r="L353" s="106"/>
      <c r="M353" s="106"/>
      <c r="N353" s="106"/>
      <c r="O353" s="106"/>
      <c r="P353" s="106"/>
      <c r="Q353" s="106"/>
      <c r="R353" s="106"/>
      <c r="S353" s="106"/>
      <c r="T353" s="106"/>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row>
    <row r="354" spans="1:61" ht="15" customHeight="1">
      <c r="A354" s="106"/>
      <c r="B354" s="106"/>
      <c r="C354" s="106"/>
      <c r="D354" s="301"/>
      <c r="E354" s="301"/>
      <c r="F354" s="106"/>
      <c r="G354" s="106"/>
      <c r="H354" s="106"/>
      <c r="I354" s="106"/>
      <c r="J354" s="106"/>
      <c r="K354" s="106"/>
      <c r="L354" s="106"/>
      <c r="M354" s="106"/>
      <c r="N354" s="106"/>
      <c r="O354" s="106"/>
      <c r="P354" s="106"/>
      <c r="Q354" s="106"/>
      <c r="R354" s="106"/>
      <c r="S354" s="106"/>
      <c r="T354" s="106"/>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row>
    <row r="355" spans="1:61" ht="15" customHeight="1">
      <c r="A355" s="106"/>
      <c r="B355" s="106"/>
      <c r="C355" s="106"/>
      <c r="D355" s="301"/>
      <c r="E355" s="301"/>
      <c r="F355" s="106"/>
      <c r="G355" s="106"/>
      <c r="H355" s="106"/>
      <c r="I355" s="106"/>
      <c r="J355" s="106"/>
      <c r="K355" s="106"/>
      <c r="L355" s="106"/>
      <c r="M355" s="106"/>
      <c r="N355" s="106"/>
      <c r="O355" s="106"/>
      <c r="P355" s="106"/>
      <c r="Q355" s="106"/>
      <c r="R355" s="106"/>
      <c r="S355" s="106"/>
      <c r="T355" s="106"/>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row>
    <row r="356" spans="1:61" ht="15" customHeight="1">
      <c r="A356" s="106"/>
      <c r="B356" s="106"/>
      <c r="C356" s="106"/>
      <c r="D356" s="301"/>
      <c r="E356" s="301"/>
      <c r="F356" s="106"/>
      <c r="G356" s="106"/>
      <c r="H356" s="106"/>
      <c r="I356" s="106"/>
      <c r="J356" s="106"/>
      <c r="K356" s="106"/>
      <c r="L356" s="106"/>
      <c r="M356" s="106"/>
      <c r="N356" s="106"/>
      <c r="O356" s="106"/>
      <c r="P356" s="106"/>
      <c r="Q356" s="106"/>
      <c r="R356" s="106"/>
      <c r="S356" s="106"/>
      <c r="T356" s="106"/>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row>
    <row r="357" spans="1:61" ht="15" customHeight="1">
      <c r="A357" s="106"/>
      <c r="B357" s="106"/>
      <c r="C357" s="106"/>
      <c r="D357" s="301"/>
      <c r="E357" s="301"/>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row>
    <row r="358" spans="1:61" ht="15" customHeight="1">
      <c r="A358" s="106"/>
      <c r="B358" s="106"/>
      <c r="C358" s="106"/>
      <c r="D358" s="301"/>
      <c r="E358" s="301"/>
      <c r="F358" s="106"/>
      <c r="G358" s="106"/>
      <c r="H358" s="106"/>
      <c r="I358" s="106"/>
      <c r="J358" s="106"/>
      <c r="K358" s="106"/>
      <c r="L358" s="106"/>
      <c r="M358" s="106"/>
      <c r="N358" s="106"/>
      <c r="O358" s="106"/>
      <c r="P358" s="106"/>
      <c r="Q358" s="106"/>
      <c r="R358" s="106"/>
      <c r="S358" s="106"/>
      <c r="T358" s="106"/>
      <c r="U358" s="106"/>
      <c r="V358" s="106"/>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row>
    <row r="359" spans="1:61" ht="15" customHeight="1">
      <c r="A359" s="106"/>
      <c r="B359" s="106"/>
      <c r="C359" s="106"/>
      <c r="D359" s="301"/>
      <c r="E359" s="301"/>
      <c r="F359" s="106"/>
      <c r="G359" s="106"/>
      <c r="H359" s="106"/>
      <c r="I359" s="106"/>
      <c r="J359" s="106"/>
      <c r="K359" s="106"/>
      <c r="L359" s="106"/>
      <c r="M359" s="106"/>
      <c r="N359" s="106"/>
      <c r="O359" s="106"/>
      <c r="P359" s="106"/>
      <c r="Q359" s="106"/>
      <c r="R359" s="106"/>
      <c r="S359" s="106"/>
      <c r="T359" s="106"/>
      <c r="U359" s="106"/>
      <c r="V359" s="106"/>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row>
    <row r="360" spans="1:61" ht="15" customHeight="1">
      <c r="A360" s="106"/>
      <c r="B360" s="106"/>
      <c r="C360" s="106"/>
      <c r="D360" s="301"/>
      <c r="E360" s="301"/>
      <c r="F360" s="106"/>
      <c r="G360" s="106"/>
      <c r="H360" s="106"/>
      <c r="I360" s="106"/>
      <c r="J360" s="106"/>
      <c r="K360" s="106"/>
      <c r="L360" s="106"/>
      <c r="M360" s="106"/>
      <c r="N360" s="106"/>
      <c r="O360" s="106"/>
      <c r="P360" s="106"/>
      <c r="Q360" s="106"/>
      <c r="R360" s="106"/>
      <c r="S360" s="106"/>
      <c r="T360" s="106"/>
      <c r="U360" s="106"/>
      <c r="V360" s="106"/>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row>
    <row r="361" spans="1:61" ht="15" customHeight="1">
      <c r="A361" s="106"/>
      <c r="B361" s="106"/>
      <c r="C361" s="106"/>
      <c r="D361" s="301"/>
      <c r="E361" s="301"/>
      <c r="F361" s="106"/>
      <c r="G361" s="106"/>
      <c r="H361" s="106"/>
      <c r="I361" s="106"/>
      <c r="J361" s="106"/>
      <c r="K361" s="106"/>
      <c r="L361" s="106"/>
      <c r="M361" s="106"/>
      <c r="N361" s="106"/>
      <c r="O361" s="106"/>
      <c r="P361" s="106"/>
      <c r="Q361" s="106"/>
      <c r="R361" s="106"/>
      <c r="S361" s="106"/>
      <c r="T361" s="106"/>
      <c r="U361" s="106"/>
      <c r="V361" s="106"/>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row>
    <row r="362" spans="1:61" ht="15" customHeight="1">
      <c r="A362" s="106"/>
      <c r="B362" s="106"/>
      <c r="C362" s="106"/>
      <c r="D362" s="301"/>
      <c r="E362" s="301"/>
      <c r="F362" s="106"/>
      <c r="G362" s="106"/>
      <c r="H362" s="106"/>
      <c r="I362" s="106"/>
      <c r="J362" s="106"/>
      <c r="K362" s="106"/>
      <c r="L362" s="106"/>
      <c r="M362" s="106"/>
      <c r="N362" s="106"/>
      <c r="O362" s="106"/>
      <c r="P362" s="106"/>
      <c r="Q362" s="106"/>
      <c r="R362" s="106"/>
      <c r="S362" s="106"/>
      <c r="T362" s="106"/>
      <c r="U362" s="106"/>
      <c r="V362" s="106"/>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row>
    <row r="363" spans="1:61" ht="15" customHeight="1">
      <c r="A363" s="106"/>
      <c r="B363" s="106"/>
      <c r="C363" s="106"/>
      <c r="D363" s="301"/>
      <c r="E363" s="301"/>
      <c r="F363" s="106"/>
      <c r="G363" s="106"/>
      <c r="H363" s="106"/>
      <c r="I363" s="106"/>
      <c r="J363" s="106"/>
      <c r="K363" s="106"/>
      <c r="L363" s="106"/>
      <c r="M363" s="106"/>
      <c r="N363" s="106"/>
      <c r="O363" s="106"/>
      <c r="P363" s="106"/>
      <c r="Q363" s="106"/>
      <c r="R363" s="106"/>
      <c r="S363" s="106"/>
      <c r="T363" s="106"/>
      <c r="U363" s="106"/>
      <c r="V363" s="106"/>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row>
    <row r="364" spans="1:61" ht="15" customHeight="1">
      <c r="A364" s="106"/>
      <c r="B364" s="106"/>
      <c r="C364" s="106"/>
      <c r="D364" s="301"/>
      <c r="E364" s="301"/>
      <c r="F364" s="106"/>
      <c r="G364" s="106"/>
      <c r="H364" s="106"/>
      <c r="I364" s="106"/>
      <c r="J364" s="106"/>
      <c r="K364" s="106"/>
      <c r="L364" s="106"/>
      <c r="M364" s="106"/>
      <c r="N364" s="106"/>
      <c r="O364" s="106"/>
      <c r="P364" s="106"/>
      <c r="Q364" s="106"/>
      <c r="R364" s="106"/>
      <c r="S364" s="106"/>
      <c r="T364" s="106"/>
      <c r="U364" s="106"/>
      <c r="V364" s="106"/>
      <c r="W364" s="106"/>
      <c r="X364" s="106"/>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c r="AZ364" s="106"/>
      <c r="BA364" s="106"/>
      <c r="BB364" s="106"/>
      <c r="BC364" s="106"/>
      <c r="BD364" s="106"/>
      <c r="BE364" s="106"/>
      <c r="BF364" s="106"/>
      <c r="BG364" s="106"/>
      <c r="BH364" s="106"/>
      <c r="BI364" s="106"/>
    </row>
    <row r="365" spans="1:61" ht="15" customHeight="1">
      <c r="A365" s="106"/>
      <c r="B365" s="106"/>
      <c r="C365" s="106"/>
      <c r="D365" s="301"/>
      <c r="E365" s="301"/>
      <c r="F365" s="106"/>
      <c r="G365" s="106"/>
      <c r="H365" s="106"/>
      <c r="I365" s="106"/>
      <c r="J365" s="106"/>
      <c r="K365" s="106"/>
      <c r="L365" s="106"/>
      <c r="M365" s="106"/>
      <c r="N365" s="106"/>
      <c r="O365" s="106"/>
      <c r="P365" s="106"/>
      <c r="Q365" s="106"/>
      <c r="R365" s="106"/>
      <c r="S365" s="106"/>
      <c r="T365" s="106"/>
      <c r="U365" s="106"/>
      <c r="V365" s="106"/>
      <c r="W365" s="106"/>
      <c r="X365" s="106"/>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c r="AZ365" s="106"/>
      <c r="BA365" s="106"/>
      <c r="BB365" s="106"/>
      <c r="BC365" s="106"/>
      <c r="BD365" s="106"/>
      <c r="BE365" s="106"/>
      <c r="BF365" s="106"/>
      <c r="BG365" s="106"/>
      <c r="BH365" s="106"/>
      <c r="BI365" s="106"/>
    </row>
    <row r="366" spans="1:61" ht="15" customHeight="1">
      <c r="A366" s="106"/>
      <c r="B366" s="106"/>
      <c r="C366" s="106"/>
      <c r="D366" s="301"/>
      <c r="E366" s="301"/>
      <c r="F366" s="106"/>
      <c r="G366" s="106"/>
      <c r="H366" s="106"/>
      <c r="I366" s="106"/>
      <c r="J366" s="106"/>
      <c r="K366" s="106"/>
      <c r="L366" s="106"/>
      <c r="M366" s="106"/>
      <c r="N366" s="106"/>
      <c r="O366" s="106"/>
      <c r="P366" s="106"/>
      <c r="Q366" s="106"/>
      <c r="R366" s="106"/>
      <c r="S366" s="106"/>
      <c r="T366" s="106"/>
      <c r="U366" s="106"/>
      <c r="V366" s="106"/>
      <c r="W366" s="106"/>
      <c r="X366" s="106"/>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c r="AY366" s="106"/>
      <c r="AZ366" s="106"/>
      <c r="BA366" s="106"/>
      <c r="BB366" s="106"/>
      <c r="BC366" s="106"/>
      <c r="BD366" s="106"/>
      <c r="BE366" s="106"/>
      <c r="BF366" s="106"/>
      <c r="BG366" s="106"/>
      <c r="BH366" s="106"/>
      <c r="BI366" s="106"/>
    </row>
    <row r="367" spans="1:61" ht="15" customHeight="1">
      <c r="A367" s="106"/>
      <c r="B367" s="106"/>
      <c r="C367" s="106"/>
      <c r="D367" s="301"/>
      <c r="E367" s="301"/>
      <c r="F367" s="106"/>
      <c r="G367" s="106"/>
      <c r="H367" s="106"/>
      <c r="I367" s="106"/>
      <c r="J367" s="106"/>
      <c r="K367" s="106"/>
      <c r="L367" s="106"/>
      <c r="M367" s="106"/>
      <c r="N367" s="106"/>
      <c r="O367" s="106"/>
      <c r="P367" s="106"/>
      <c r="Q367" s="106"/>
      <c r="R367" s="106"/>
      <c r="S367" s="106"/>
      <c r="T367" s="106"/>
      <c r="U367" s="106"/>
      <c r="V367" s="106"/>
      <c r="W367" s="106"/>
      <c r="X367" s="106"/>
      <c r="Y367" s="106"/>
      <c r="Z367" s="106"/>
      <c r="AA367" s="106"/>
      <c r="AB367" s="106"/>
      <c r="AC367" s="106"/>
      <c r="AD367" s="106"/>
      <c r="AE367" s="106"/>
      <c r="AF367" s="106"/>
      <c r="AG367" s="106"/>
      <c r="AH367" s="106"/>
      <c r="AI367" s="106"/>
      <c r="AJ367" s="106"/>
      <c r="AK367" s="106"/>
      <c r="AL367" s="106"/>
      <c r="AM367" s="106"/>
      <c r="AN367" s="106"/>
      <c r="AO367" s="106"/>
      <c r="AP367" s="106"/>
      <c r="AQ367" s="106"/>
      <c r="AR367" s="106"/>
      <c r="AS367" s="106"/>
      <c r="AT367" s="106"/>
      <c r="AU367" s="106"/>
      <c r="AV367" s="106"/>
      <c r="AW367" s="106"/>
      <c r="AX367" s="106"/>
      <c r="AY367" s="106"/>
      <c r="AZ367" s="106"/>
      <c r="BA367" s="106"/>
      <c r="BB367" s="106"/>
      <c r="BC367" s="106"/>
      <c r="BD367" s="106"/>
      <c r="BE367" s="106"/>
      <c r="BF367" s="106"/>
      <c r="BG367" s="106"/>
      <c r="BH367" s="106"/>
      <c r="BI367" s="106"/>
    </row>
    <row r="368" spans="1:61" ht="15" customHeight="1">
      <c r="A368" s="106"/>
      <c r="B368" s="106"/>
      <c r="C368" s="106"/>
      <c r="D368" s="301"/>
      <c r="E368" s="301"/>
      <c r="F368" s="106"/>
      <c r="G368" s="106"/>
      <c r="H368" s="106"/>
      <c r="I368" s="106"/>
      <c r="J368" s="106"/>
      <c r="K368" s="106"/>
      <c r="L368" s="106"/>
      <c r="M368" s="106"/>
      <c r="N368" s="106"/>
      <c r="O368" s="106"/>
      <c r="P368" s="106"/>
      <c r="Q368" s="106"/>
      <c r="R368" s="106"/>
      <c r="S368" s="106"/>
      <c r="T368" s="106"/>
      <c r="U368" s="106"/>
      <c r="V368" s="106"/>
      <c r="W368" s="106"/>
      <c r="X368" s="106"/>
      <c r="Y368" s="106"/>
      <c r="Z368" s="106"/>
      <c r="AA368" s="106"/>
      <c r="AB368" s="106"/>
      <c r="AC368" s="106"/>
      <c r="AD368" s="106"/>
      <c r="AE368" s="106"/>
      <c r="AF368" s="106"/>
      <c r="AG368" s="106"/>
      <c r="AH368" s="106"/>
      <c r="AI368" s="106"/>
      <c r="AJ368" s="106"/>
      <c r="AK368" s="106"/>
      <c r="AL368" s="106"/>
      <c r="AM368" s="106"/>
      <c r="AN368" s="106"/>
      <c r="AO368" s="106"/>
      <c r="AP368" s="106"/>
      <c r="AQ368" s="106"/>
      <c r="AR368" s="106"/>
      <c r="AS368" s="106"/>
      <c r="AT368" s="106"/>
      <c r="AU368" s="106"/>
      <c r="AV368" s="106"/>
      <c r="AW368" s="106"/>
      <c r="AX368" s="106"/>
      <c r="AY368" s="106"/>
      <c r="AZ368" s="106"/>
      <c r="BA368" s="106"/>
      <c r="BB368" s="106"/>
      <c r="BC368" s="106"/>
      <c r="BD368" s="106"/>
      <c r="BE368" s="106"/>
      <c r="BF368" s="106"/>
      <c r="BG368" s="106"/>
      <c r="BH368" s="106"/>
      <c r="BI368" s="106"/>
    </row>
    <row r="369" spans="1:61" ht="15" customHeight="1">
      <c r="A369" s="106"/>
      <c r="B369" s="106"/>
      <c r="C369" s="106"/>
      <c r="D369" s="301"/>
      <c r="E369" s="301"/>
      <c r="F369" s="106"/>
      <c r="G369" s="106"/>
      <c r="H369" s="106"/>
      <c r="I369" s="106"/>
      <c r="J369" s="106"/>
      <c r="K369" s="106"/>
      <c r="L369" s="106"/>
      <c r="M369" s="106"/>
      <c r="N369" s="106"/>
      <c r="O369" s="106"/>
      <c r="P369" s="106"/>
      <c r="Q369" s="106"/>
      <c r="R369" s="106"/>
      <c r="S369" s="106"/>
      <c r="T369" s="106"/>
      <c r="U369" s="106"/>
      <c r="V369" s="106"/>
      <c r="W369" s="106"/>
      <c r="X369" s="106"/>
      <c r="Y369" s="106"/>
      <c r="Z369" s="106"/>
      <c r="AA369" s="106"/>
      <c r="AB369" s="106"/>
      <c r="AC369" s="106"/>
      <c r="AD369" s="106"/>
      <c r="AE369" s="106"/>
      <c r="AF369" s="106"/>
      <c r="AG369" s="106"/>
      <c r="AH369" s="106"/>
      <c r="AI369" s="106"/>
      <c r="AJ369" s="106"/>
      <c r="AK369" s="106"/>
      <c r="AL369" s="106"/>
      <c r="AM369" s="106"/>
      <c r="AN369" s="106"/>
      <c r="AO369" s="106"/>
      <c r="AP369" s="106"/>
      <c r="AQ369" s="106"/>
      <c r="AR369" s="106"/>
      <c r="AS369" s="106"/>
      <c r="AT369" s="106"/>
      <c r="AU369" s="106"/>
      <c r="AV369" s="106"/>
      <c r="AW369" s="106"/>
      <c r="AX369" s="106"/>
      <c r="AY369" s="106"/>
      <c r="AZ369" s="106"/>
      <c r="BA369" s="106"/>
      <c r="BB369" s="106"/>
      <c r="BC369" s="106"/>
      <c r="BD369" s="106"/>
      <c r="BE369" s="106"/>
      <c r="BF369" s="106"/>
      <c r="BG369" s="106"/>
      <c r="BH369" s="106"/>
      <c r="BI369" s="106"/>
    </row>
    <row r="370" spans="1:61" ht="15" customHeight="1">
      <c r="A370" s="106"/>
      <c r="B370" s="106"/>
      <c r="C370" s="106"/>
      <c r="D370" s="301"/>
      <c r="E370" s="301"/>
      <c r="F370" s="106"/>
      <c r="G370" s="106"/>
      <c r="H370" s="106"/>
      <c r="I370" s="106"/>
      <c r="J370" s="106"/>
      <c r="K370" s="106"/>
      <c r="L370" s="106"/>
      <c r="M370" s="106"/>
      <c r="N370" s="106"/>
      <c r="O370" s="106"/>
      <c r="P370" s="106"/>
      <c r="Q370" s="106"/>
      <c r="R370" s="106"/>
      <c r="S370" s="106"/>
      <c r="T370" s="106"/>
      <c r="U370" s="106"/>
      <c r="V370" s="106"/>
      <c r="W370" s="106"/>
      <c r="X370" s="106"/>
      <c r="Y370" s="106"/>
      <c r="Z370" s="106"/>
      <c r="AA370" s="106"/>
      <c r="AB370" s="106"/>
      <c r="AC370" s="106"/>
      <c r="AD370" s="106"/>
      <c r="AE370" s="106"/>
      <c r="AF370" s="106"/>
      <c r="AG370" s="106"/>
      <c r="AH370" s="106"/>
      <c r="AI370" s="106"/>
      <c r="AJ370" s="106"/>
      <c r="AK370" s="106"/>
      <c r="AL370" s="106"/>
      <c r="AM370" s="106"/>
      <c r="AN370" s="106"/>
      <c r="AO370" s="106"/>
      <c r="AP370" s="106"/>
      <c r="AQ370" s="106"/>
      <c r="AR370" s="106"/>
      <c r="AS370" s="106"/>
      <c r="AT370" s="106"/>
      <c r="AU370" s="106"/>
      <c r="AV370" s="106"/>
      <c r="AW370" s="106"/>
      <c r="AX370" s="106"/>
      <c r="AY370" s="106"/>
      <c r="AZ370" s="106"/>
      <c r="BA370" s="106"/>
      <c r="BB370" s="106"/>
      <c r="BC370" s="106"/>
      <c r="BD370" s="106"/>
      <c r="BE370" s="106"/>
      <c r="BF370" s="106"/>
      <c r="BG370" s="106"/>
      <c r="BH370" s="106"/>
      <c r="BI370" s="106"/>
    </row>
    <row r="371" spans="1:61" ht="15" customHeight="1">
      <c r="A371" s="106"/>
      <c r="B371" s="106"/>
      <c r="C371" s="106"/>
      <c r="D371" s="301"/>
      <c r="E371" s="301"/>
      <c r="F371" s="106"/>
      <c r="G371" s="106"/>
      <c r="H371" s="106"/>
      <c r="I371" s="106"/>
      <c r="J371" s="106"/>
      <c r="K371" s="106"/>
      <c r="L371" s="106"/>
      <c r="M371" s="106"/>
      <c r="N371" s="106"/>
      <c r="O371" s="106"/>
      <c r="P371" s="106"/>
      <c r="Q371" s="106"/>
      <c r="R371" s="106"/>
      <c r="S371" s="106"/>
      <c r="T371" s="106"/>
      <c r="U371" s="106"/>
      <c r="V371" s="106"/>
      <c r="W371" s="106"/>
      <c r="X371" s="106"/>
      <c r="Y371" s="106"/>
      <c r="Z371" s="106"/>
      <c r="AA371" s="106"/>
      <c r="AB371" s="106"/>
      <c r="AC371" s="106"/>
      <c r="AD371" s="106"/>
      <c r="AE371" s="106"/>
      <c r="AF371" s="106"/>
      <c r="AG371" s="106"/>
      <c r="AH371" s="106"/>
      <c r="AI371" s="106"/>
      <c r="AJ371" s="106"/>
      <c r="AK371" s="106"/>
      <c r="AL371" s="106"/>
      <c r="AM371" s="106"/>
      <c r="AN371" s="106"/>
      <c r="AO371" s="106"/>
      <c r="AP371" s="106"/>
      <c r="AQ371" s="106"/>
      <c r="AR371" s="106"/>
      <c r="AS371" s="106"/>
      <c r="AT371" s="106"/>
      <c r="AU371" s="106"/>
      <c r="AV371" s="106"/>
      <c r="AW371" s="106"/>
      <c r="AX371" s="106"/>
      <c r="AY371" s="106"/>
      <c r="AZ371" s="106"/>
      <c r="BA371" s="106"/>
      <c r="BB371" s="106"/>
      <c r="BC371" s="106"/>
      <c r="BD371" s="106"/>
      <c r="BE371" s="106"/>
      <c r="BF371" s="106"/>
      <c r="BG371" s="106"/>
      <c r="BH371" s="106"/>
      <c r="BI371" s="106"/>
    </row>
    <row r="372" spans="1:61" ht="15" customHeight="1">
      <c r="A372" s="106"/>
      <c r="B372" s="106"/>
      <c r="C372" s="106"/>
      <c r="D372" s="301"/>
      <c r="E372" s="301"/>
      <c r="F372" s="106"/>
      <c r="G372" s="106"/>
      <c r="H372" s="106"/>
      <c r="I372" s="106"/>
      <c r="J372" s="106"/>
      <c r="K372" s="106"/>
      <c r="L372" s="106"/>
      <c r="M372" s="106"/>
      <c r="N372" s="106"/>
      <c r="O372" s="106"/>
      <c r="P372" s="106"/>
      <c r="Q372" s="106"/>
      <c r="R372" s="106"/>
      <c r="S372" s="106"/>
      <c r="T372" s="106"/>
      <c r="U372" s="106"/>
      <c r="V372" s="106"/>
      <c r="W372" s="106"/>
      <c r="X372" s="106"/>
      <c r="Y372" s="106"/>
      <c r="Z372" s="106"/>
      <c r="AA372" s="106"/>
      <c r="AB372" s="106"/>
      <c r="AC372" s="106"/>
      <c r="AD372" s="106"/>
      <c r="AE372" s="106"/>
      <c r="AF372" s="106"/>
      <c r="AG372" s="106"/>
      <c r="AH372" s="106"/>
      <c r="AI372" s="106"/>
      <c r="AJ372" s="106"/>
      <c r="AK372" s="106"/>
      <c r="AL372" s="106"/>
      <c r="AM372" s="106"/>
      <c r="AN372" s="106"/>
      <c r="AO372" s="106"/>
      <c r="AP372" s="106"/>
      <c r="AQ372" s="106"/>
      <c r="AR372" s="106"/>
      <c r="AS372" s="106"/>
      <c r="AT372" s="106"/>
      <c r="AU372" s="106"/>
      <c r="AV372" s="106"/>
      <c r="AW372" s="106"/>
      <c r="AX372" s="106"/>
      <c r="AY372" s="106"/>
      <c r="AZ372" s="106"/>
      <c r="BA372" s="106"/>
      <c r="BB372" s="106"/>
      <c r="BC372" s="106"/>
      <c r="BD372" s="106"/>
      <c r="BE372" s="106"/>
      <c r="BF372" s="106"/>
      <c r="BG372" s="106"/>
      <c r="BH372" s="106"/>
      <c r="BI372" s="106"/>
    </row>
    <row r="373" spans="1:61" ht="15" customHeight="1">
      <c r="A373" s="106"/>
      <c r="B373" s="106"/>
      <c r="C373" s="106"/>
      <c r="D373" s="301"/>
      <c r="E373" s="301"/>
      <c r="F373" s="106"/>
      <c r="G373" s="106"/>
      <c r="H373" s="106"/>
      <c r="I373" s="106"/>
      <c r="J373" s="106"/>
      <c r="K373" s="106"/>
      <c r="L373" s="106"/>
      <c r="M373" s="106"/>
      <c r="N373" s="106"/>
      <c r="O373" s="106"/>
      <c r="P373" s="106"/>
      <c r="Q373" s="106"/>
      <c r="R373" s="106"/>
      <c r="S373" s="106"/>
      <c r="T373" s="106"/>
      <c r="U373" s="106"/>
      <c r="V373" s="106"/>
      <c r="W373" s="106"/>
      <c r="X373" s="106"/>
      <c r="Y373" s="106"/>
      <c r="Z373" s="106"/>
      <c r="AA373" s="106"/>
      <c r="AB373" s="106"/>
      <c r="AC373" s="106"/>
      <c r="AD373" s="106"/>
      <c r="AE373" s="106"/>
      <c r="AF373" s="106"/>
      <c r="AG373" s="106"/>
      <c r="AH373" s="106"/>
      <c r="AI373" s="106"/>
      <c r="AJ373" s="106"/>
      <c r="AK373" s="106"/>
      <c r="AL373" s="106"/>
      <c r="AM373" s="106"/>
      <c r="AN373" s="106"/>
      <c r="AO373" s="106"/>
      <c r="AP373" s="106"/>
      <c r="AQ373" s="106"/>
      <c r="AR373" s="106"/>
      <c r="AS373" s="106"/>
      <c r="AT373" s="106"/>
      <c r="AU373" s="106"/>
      <c r="AV373" s="106"/>
      <c r="AW373" s="106"/>
      <c r="AX373" s="106"/>
      <c r="AY373" s="106"/>
      <c r="AZ373" s="106"/>
      <c r="BA373" s="106"/>
      <c r="BB373" s="106"/>
      <c r="BC373" s="106"/>
      <c r="BD373" s="106"/>
      <c r="BE373" s="106"/>
      <c r="BF373" s="106"/>
      <c r="BG373" s="106"/>
      <c r="BH373" s="106"/>
      <c r="BI373" s="106"/>
    </row>
    <row r="374" spans="1:61" ht="15" customHeight="1">
      <c r="A374" s="106"/>
      <c r="B374" s="106"/>
      <c r="C374" s="106"/>
      <c r="D374" s="301"/>
      <c r="E374" s="301"/>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c r="AD374" s="106"/>
      <c r="AE374" s="106"/>
      <c r="AF374" s="106"/>
      <c r="AG374" s="106"/>
      <c r="AH374" s="106"/>
      <c r="AI374" s="106"/>
      <c r="AJ374" s="106"/>
      <c r="AK374" s="106"/>
      <c r="AL374" s="106"/>
      <c r="AM374" s="106"/>
      <c r="AN374" s="106"/>
      <c r="AO374" s="106"/>
      <c r="AP374" s="106"/>
      <c r="AQ374" s="106"/>
      <c r="AR374" s="106"/>
      <c r="AS374" s="106"/>
      <c r="AT374" s="106"/>
      <c r="AU374" s="106"/>
      <c r="AV374" s="106"/>
      <c r="AW374" s="106"/>
      <c r="AX374" s="106"/>
      <c r="AY374" s="106"/>
      <c r="AZ374" s="106"/>
      <c r="BA374" s="106"/>
      <c r="BB374" s="106"/>
      <c r="BC374" s="106"/>
      <c r="BD374" s="106"/>
      <c r="BE374" s="106"/>
      <c r="BF374" s="106"/>
      <c r="BG374" s="106"/>
      <c r="BH374" s="106"/>
      <c r="BI374" s="106"/>
    </row>
    <row r="375" spans="1:61" ht="15" customHeight="1">
      <c r="A375" s="106"/>
      <c r="B375" s="106"/>
      <c r="C375" s="106"/>
      <c r="D375" s="301"/>
      <c r="E375" s="301"/>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c r="AE375" s="106"/>
      <c r="AF375" s="106"/>
      <c r="AG375" s="106"/>
      <c r="AH375" s="106"/>
      <c r="AI375" s="106"/>
      <c r="AJ375" s="106"/>
      <c r="AK375" s="106"/>
      <c r="AL375" s="106"/>
      <c r="AM375" s="106"/>
      <c r="AN375" s="106"/>
      <c r="AO375" s="106"/>
      <c r="AP375" s="106"/>
      <c r="AQ375" s="106"/>
      <c r="AR375" s="106"/>
      <c r="AS375" s="106"/>
      <c r="AT375" s="106"/>
      <c r="AU375" s="106"/>
      <c r="AV375" s="106"/>
      <c r="AW375" s="106"/>
      <c r="AX375" s="106"/>
      <c r="AY375" s="106"/>
      <c r="AZ375" s="106"/>
      <c r="BA375" s="106"/>
      <c r="BB375" s="106"/>
      <c r="BC375" s="106"/>
      <c r="BD375" s="106"/>
      <c r="BE375" s="106"/>
      <c r="BF375" s="106"/>
      <c r="BG375" s="106"/>
      <c r="BH375" s="106"/>
      <c r="BI375" s="106"/>
    </row>
    <row r="376" spans="1:61" ht="15" customHeight="1">
      <c r="A376" s="106"/>
      <c r="B376" s="106"/>
      <c r="C376" s="106"/>
      <c r="D376" s="301"/>
      <c r="E376" s="301"/>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106"/>
      <c r="AH376" s="106"/>
      <c r="AI376" s="106"/>
      <c r="AJ376" s="106"/>
      <c r="AK376" s="106"/>
      <c r="AL376" s="106"/>
      <c r="AM376" s="106"/>
      <c r="AN376" s="106"/>
      <c r="AO376" s="106"/>
      <c r="AP376" s="106"/>
      <c r="AQ376" s="106"/>
      <c r="AR376" s="106"/>
      <c r="AS376" s="106"/>
      <c r="AT376" s="106"/>
      <c r="AU376" s="106"/>
      <c r="AV376" s="106"/>
      <c r="AW376" s="106"/>
      <c r="AX376" s="106"/>
      <c r="AY376" s="106"/>
      <c r="AZ376" s="106"/>
      <c r="BA376" s="106"/>
      <c r="BB376" s="106"/>
      <c r="BC376" s="106"/>
      <c r="BD376" s="106"/>
      <c r="BE376" s="106"/>
      <c r="BF376" s="106"/>
      <c r="BG376" s="106"/>
      <c r="BH376" s="106"/>
      <c r="BI376" s="106"/>
    </row>
    <row r="377" spans="1:61" ht="15" customHeight="1">
      <c r="A377" s="106"/>
      <c r="B377" s="106"/>
      <c r="C377" s="106"/>
      <c r="D377" s="301"/>
      <c r="E377" s="301"/>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c r="AD377" s="106"/>
      <c r="AE377" s="106"/>
      <c r="AF377" s="106"/>
      <c r="AG377" s="106"/>
      <c r="AH377" s="106"/>
      <c r="AI377" s="106"/>
      <c r="AJ377" s="106"/>
      <c r="AK377" s="106"/>
      <c r="AL377" s="106"/>
      <c r="AM377" s="106"/>
      <c r="AN377" s="106"/>
      <c r="AO377" s="106"/>
      <c r="AP377" s="106"/>
      <c r="AQ377" s="106"/>
      <c r="AR377" s="106"/>
      <c r="AS377" s="106"/>
      <c r="AT377" s="106"/>
      <c r="AU377" s="106"/>
      <c r="AV377" s="106"/>
      <c r="AW377" s="106"/>
      <c r="AX377" s="106"/>
      <c r="AY377" s="106"/>
      <c r="AZ377" s="106"/>
      <c r="BA377" s="106"/>
      <c r="BB377" s="106"/>
      <c r="BC377" s="106"/>
      <c r="BD377" s="106"/>
      <c r="BE377" s="106"/>
      <c r="BF377" s="106"/>
      <c r="BG377" s="106"/>
      <c r="BH377" s="106"/>
      <c r="BI377" s="106"/>
    </row>
    <row r="378" spans="1:61" ht="15" customHeight="1">
      <c r="A378" s="106"/>
      <c r="B378" s="106"/>
      <c r="C378" s="106"/>
      <c r="D378" s="301"/>
      <c r="E378" s="301"/>
      <c r="F378" s="106"/>
      <c r="G378" s="106"/>
      <c r="H378" s="106"/>
      <c r="I378" s="106"/>
      <c r="J378" s="106"/>
      <c r="K378" s="106"/>
      <c r="L378" s="106"/>
      <c r="M378" s="106"/>
      <c r="N378" s="106"/>
      <c r="O378" s="106"/>
      <c r="P378" s="106"/>
      <c r="Q378" s="106"/>
      <c r="R378" s="106"/>
      <c r="S378" s="106"/>
      <c r="T378" s="106"/>
      <c r="U378" s="106"/>
      <c r="V378" s="106"/>
      <c r="W378" s="106"/>
      <c r="X378" s="106"/>
      <c r="Y378" s="106"/>
      <c r="Z378" s="106"/>
      <c r="AA378" s="106"/>
      <c r="AB378" s="106"/>
      <c r="AC378" s="106"/>
      <c r="AD378" s="106"/>
      <c r="AE378" s="106"/>
      <c r="AF378" s="106"/>
      <c r="AG378" s="106"/>
      <c r="AH378" s="106"/>
      <c r="AI378" s="106"/>
      <c r="AJ378" s="106"/>
      <c r="AK378" s="106"/>
      <c r="AL378" s="106"/>
      <c r="AM378" s="106"/>
      <c r="AN378" s="106"/>
      <c r="AO378" s="106"/>
      <c r="AP378" s="106"/>
      <c r="AQ378" s="106"/>
      <c r="AR378" s="106"/>
      <c r="AS378" s="106"/>
      <c r="AT378" s="106"/>
      <c r="AU378" s="106"/>
      <c r="AV378" s="106"/>
      <c r="AW378" s="106"/>
      <c r="AX378" s="106"/>
      <c r="AY378" s="106"/>
      <c r="AZ378" s="106"/>
      <c r="BA378" s="106"/>
      <c r="BB378" s="106"/>
      <c r="BC378" s="106"/>
      <c r="BD378" s="106"/>
      <c r="BE378" s="106"/>
      <c r="BF378" s="106"/>
      <c r="BG378" s="106"/>
      <c r="BH378" s="106"/>
      <c r="BI378" s="106"/>
    </row>
    <row r="379" spans="1:61" ht="15" customHeight="1">
      <c r="A379" s="106"/>
      <c r="B379" s="106"/>
      <c r="C379" s="106"/>
      <c r="D379" s="301"/>
      <c r="E379" s="301"/>
      <c r="F379" s="106"/>
      <c r="G379" s="106"/>
      <c r="H379" s="106"/>
      <c r="I379" s="106"/>
      <c r="J379" s="106"/>
      <c r="K379" s="106"/>
      <c r="L379" s="106"/>
      <c r="M379" s="106"/>
      <c r="N379" s="106"/>
      <c r="O379" s="106"/>
      <c r="P379" s="106"/>
      <c r="Q379" s="106"/>
      <c r="R379" s="106"/>
      <c r="S379" s="106"/>
      <c r="T379" s="106"/>
      <c r="U379" s="106"/>
      <c r="V379" s="106"/>
      <c r="W379" s="106"/>
      <c r="X379" s="106"/>
      <c r="Y379" s="106"/>
      <c r="Z379" s="106"/>
      <c r="AA379" s="106"/>
      <c r="AB379" s="106"/>
      <c r="AC379" s="106"/>
      <c r="AD379" s="106"/>
      <c r="AE379" s="106"/>
      <c r="AF379" s="106"/>
      <c r="AG379" s="106"/>
      <c r="AH379" s="106"/>
      <c r="AI379" s="106"/>
      <c r="AJ379" s="106"/>
      <c r="AK379" s="106"/>
      <c r="AL379" s="106"/>
      <c r="AM379" s="106"/>
      <c r="AN379" s="106"/>
      <c r="AO379" s="106"/>
      <c r="AP379" s="106"/>
      <c r="AQ379" s="106"/>
      <c r="AR379" s="106"/>
      <c r="AS379" s="106"/>
      <c r="AT379" s="106"/>
      <c r="AU379" s="106"/>
      <c r="AV379" s="106"/>
      <c r="AW379" s="106"/>
      <c r="AX379" s="106"/>
      <c r="AY379" s="106"/>
      <c r="AZ379" s="106"/>
      <c r="BA379" s="106"/>
      <c r="BB379" s="106"/>
      <c r="BC379" s="106"/>
      <c r="BD379" s="106"/>
      <c r="BE379" s="106"/>
      <c r="BF379" s="106"/>
      <c r="BG379" s="106"/>
      <c r="BH379" s="106"/>
      <c r="BI379" s="106"/>
    </row>
    <row r="380" spans="1:61" ht="15" customHeight="1">
      <c r="A380" s="106"/>
      <c r="B380" s="106"/>
      <c r="C380" s="106"/>
      <c r="D380" s="301"/>
      <c r="E380" s="301"/>
      <c r="F380" s="106"/>
      <c r="G380" s="106"/>
      <c r="H380" s="106"/>
      <c r="I380" s="106"/>
      <c r="J380" s="106"/>
      <c r="K380" s="106"/>
      <c r="L380" s="106"/>
      <c r="M380" s="106"/>
      <c r="N380" s="106"/>
      <c r="O380" s="106"/>
      <c r="P380" s="106"/>
      <c r="Q380" s="106"/>
      <c r="R380" s="106"/>
      <c r="S380" s="106"/>
      <c r="T380" s="106"/>
      <c r="U380" s="106"/>
      <c r="V380" s="106"/>
      <c r="W380" s="106"/>
      <c r="X380" s="106"/>
      <c r="Y380" s="106"/>
      <c r="Z380" s="106"/>
      <c r="AA380" s="106"/>
      <c r="AB380" s="106"/>
      <c r="AC380" s="106"/>
      <c r="AD380" s="106"/>
      <c r="AE380" s="106"/>
      <c r="AF380" s="106"/>
      <c r="AG380" s="106"/>
      <c r="AH380" s="106"/>
      <c r="AI380" s="106"/>
      <c r="AJ380" s="106"/>
      <c r="AK380" s="106"/>
      <c r="AL380" s="106"/>
      <c r="AM380" s="106"/>
      <c r="AN380" s="106"/>
      <c r="AO380" s="106"/>
      <c r="AP380" s="106"/>
      <c r="AQ380" s="106"/>
      <c r="AR380" s="106"/>
      <c r="AS380" s="106"/>
      <c r="AT380" s="106"/>
      <c r="AU380" s="106"/>
      <c r="AV380" s="106"/>
      <c r="AW380" s="106"/>
      <c r="AX380" s="106"/>
      <c r="AY380" s="106"/>
      <c r="AZ380" s="106"/>
      <c r="BA380" s="106"/>
      <c r="BB380" s="106"/>
      <c r="BC380" s="106"/>
      <c r="BD380" s="106"/>
      <c r="BE380" s="106"/>
      <c r="BF380" s="106"/>
      <c r="BG380" s="106"/>
      <c r="BH380" s="106"/>
      <c r="BI380" s="106"/>
    </row>
    <row r="381" spans="1:61" ht="15" customHeight="1">
      <c r="A381" s="106"/>
      <c r="B381" s="106"/>
      <c r="C381" s="106"/>
      <c r="D381" s="301"/>
      <c r="E381" s="301"/>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c r="AG381" s="106"/>
      <c r="AH381" s="106"/>
      <c r="AI381" s="106"/>
      <c r="AJ381" s="106"/>
      <c r="AK381" s="106"/>
      <c r="AL381" s="106"/>
      <c r="AM381" s="106"/>
      <c r="AN381" s="106"/>
      <c r="AO381" s="106"/>
      <c r="AP381" s="106"/>
      <c r="AQ381" s="106"/>
      <c r="AR381" s="106"/>
      <c r="AS381" s="106"/>
      <c r="AT381" s="106"/>
      <c r="AU381" s="106"/>
      <c r="AV381" s="106"/>
      <c r="AW381" s="106"/>
      <c r="AX381" s="106"/>
      <c r="AY381" s="106"/>
      <c r="AZ381" s="106"/>
      <c r="BA381" s="106"/>
      <c r="BB381" s="106"/>
      <c r="BC381" s="106"/>
      <c r="BD381" s="106"/>
      <c r="BE381" s="106"/>
      <c r="BF381" s="106"/>
      <c r="BG381" s="106"/>
      <c r="BH381" s="106"/>
      <c r="BI381" s="106"/>
    </row>
    <row r="382" spans="1:61" ht="15" customHeight="1">
      <c r="A382" s="106"/>
      <c r="B382" s="106"/>
      <c r="C382" s="106"/>
      <c r="D382" s="301"/>
      <c r="E382" s="301"/>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c r="AG382" s="106"/>
      <c r="AH382" s="106"/>
      <c r="AI382" s="106"/>
      <c r="AJ382" s="106"/>
      <c r="AK382" s="106"/>
      <c r="AL382" s="106"/>
      <c r="AM382" s="106"/>
      <c r="AN382" s="106"/>
      <c r="AO382" s="106"/>
      <c r="AP382" s="106"/>
      <c r="AQ382" s="106"/>
      <c r="AR382" s="106"/>
      <c r="AS382" s="106"/>
      <c r="AT382" s="106"/>
      <c r="AU382" s="106"/>
      <c r="AV382" s="106"/>
      <c r="AW382" s="106"/>
      <c r="AX382" s="106"/>
      <c r="AY382" s="106"/>
      <c r="AZ382" s="106"/>
      <c r="BA382" s="106"/>
      <c r="BB382" s="106"/>
      <c r="BC382" s="106"/>
      <c r="BD382" s="106"/>
      <c r="BE382" s="106"/>
      <c r="BF382" s="106"/>
      <c r="BG382" s="106"/>
      <c r="BH382" s="106"/>
      <c r="BI382" s="106"/>
    </row>
    <row r="383" spans="1:61" ht="15" customHeight="1">
      <c r="A383" s="106"/>
      <c r="B383" s="106"/>
      <c r="C383" s="106"/>
      <c r="D383" s="301"/>
      <c r="E383" s="301"/>
      <c r="F383" s="106"/>
      <c r="G383" s="106"/>
      <c r="H383" s="106"/>
      <c r="I383" s="106"/>
      <c r="J383" s="106"/>
      <c r="K383" s="106"/>
      <c r="L383" s="106"/>
      <c r="M383" s="106"/>
      <c r="N383" s="106"/>
      <c r="O383" s="106"/>
      <c r="P383" s="106"/>
      <c r="Q383" s="106"/>
      <c r="R383" s="106"/>
      <c r="S383" s="106"/>
      <c r="T383" s="106"/>
      <c r="U383" s="106"/>
      <c r="V383" s="106"/>
      <c r="W383" s="106"/>
      <c r="X383" s="106"/>
      <c r="Y383" s="106"/>
      <c r="Z383" s="106"/>
      <c r="AA383" s="106"/>
      <c r="AB383" s="106"/>
      <c r="AC383" s="106"/>
      <c r="AD383" s="106"/>
      <c r="AE383" s="106"/>
      <c r="AF383" s="106"/>
      <c r="AG383" s="106"/>
      <c r="AH383" s="106"/>
      <c r="AI383" s="106"/>
      <c r="AJ383" s="106"/>
      <c r="AK383" s="106"/>
      <c r="AL383" s="106"/>
      <c r="AM383" s="106"/>
      <c r="AN383" s="106"/>
      <c r="AO383" s="106"/>
      <c r="AP383" s="106"/>
      <c r="AQ383" s="106"/>
      <c r="AR383" s="106"/>
      <c r="AS383" s="106"/>
      <c r="AT383" s="106"/>
      <c r="AU383" s="106"/>
      <c r="AV383" s="106"/>
      <c r="AW383" s="106"/>
      <c r="AX383" s="106"/>
      <c r="AY383" s="106"/>
      <c r="AZ383" s="106"/>
      <c r="BA383" s="106"/>
      <c r="BB383" s="106"/>
      <c r="BC383" s="106"/>
      <c r="BD383" s="106"/>
      <c r="BE383" s="106"/>
      <c r="BF383" s="106"/>
      <c r="BG383" s="106"/>
      <c r="BH383" s="106"/>
      <c r="BI383" s="106"/>
    </row>
    <row r="384" spans="1:61" ht="15" customHeight="1">
      <c r="A384" s="106"/>
      <c r="B384" s="106"/>
      <c r="C384" s="106"/>
      <c r="D384" s="301"/>
      <c r="E384" s="301"/>
      <c r="F384" s="106"/>
      <c r="G384" s="106"/>
      <c r="H384" s="106"/>
      <c r="I384" s="106"/>
      <c r="J384" s="106"/>
      <c r="K384" s="106"/>
      <c r="L384" s="106"/>
      <c r="M384" s="106"/>
      <c r="N384" s="106"/>
      <c r="O384" s="106"/>
      <c r="P384" s="106"/>
      <c r="Q384" s="106"/>
      <c r="R384" s="106"/>
      <c r="S384" s="106"/>
      <c r="T384" s="106"/>
      <c r="U384" s="106"/>
      <c r="V384" s="106"/>
      <c r="W384" s="106"/>
      <c r="X384" s="106"/>
      <c r="Y384" s="106"/>
      <c r="Z384" s="106"/>
      <c r="AA384" s="106"/>
      <c r="AB384" s="106"/>
      <c r="AC384" s="106"/>
      <c r="AD384" s="106"/>
      <c r="AE384" s="106"/>
      <c r="AF384" s="106"/>
      <c r="AG384" s="106"/>
      <c r="AH384" s="106"/>
      <c r="AI384" s="106"/>
      <c r="AJ384" s="106"/>
      <c r="AK384" s="106"/>
      <c r="AL384" s="106"/>
      <c r="AM384" s="106"/>
      <c r="AN384" s="106"/>
      <c r="AO384" s="106"/>
      <c r="AP384" s="106"/>
      <c r="AQ384" s="106"/>
      <c r="AR384" s="106"/>
      <c r="AS384" s="106"/>
      <c r="AT384" s="106"/>
      <c r="AU384" s="106"/>
      <c r="AV384" s="106"/>
      <c r="AW384" s="106"/>
      <c r="AX384" s="106"/>
      <c r="AY384" s="106"/>
      <c r="AZ384" s="106"/>
      <c r="BA384" s="106"/>
      <c r="BB384" s="106"/>
      <c r="BC384" s="106"/>
      <c r="BD384" s="106"/>
      <c r="BE384" s="106"/>
      <c r="BF384" s="106"/>
      <c r="BG384" s="106"/>
      <c r="BH384" s="106"/>
      <c r="BI384" s="106"/>
    </row>
    <row r="385" spans="1:61" ht="15" customHeight="1">
      <c r="A385" s="106"/>
      <c r="B385" s="106"/>
      <c r="C385" s="106"/>
      <c r="D385" s="301"/>
      <c r="E385" s="301"/>
      <c r="F385" s="106"/>
      <c r="G385" s="106"/>
      <c r="H385" s="106"/>
      <c r="I385" s="106"/>
      <c r="J385" s="106"/>
      <c r="K385" s="106"/>
      <c r="L385" s="106"/>
      <c r="M385" s="106"/>
      <c r="N385" s="106"/>
      <c r="O385" s="106"/>
      <c r="P385" s="106"/>
      <c r="Q385" s="106"/>
      <c r="R385" s="106"/>
      <c r="S385" s="106"/>
      <c r="T385" s="106"/>
      <c r="U385" s="106"/>
      <c r="V385" s="106"/>
      <c r="W385" s="106"/>
      <c r="X385" s="106"/>
      <c r="Y385" s="106"/>
      <c r="Z385" s="106"/>
      <c r="AA385" s="106"/>
      <c r="AB385" s="106"/>
      <c r="AC385" s="106"/>
      <c r="AD385" s="106"/>
      <c r="AE385" s="106"/>
      <c r="AF385" s="106"/>
      <c r="AG385" s="106"/>
      <c r="AH385" s="106"/>
      <c r="AI385" s="106"/>
      <c r="AJ385" s="106"/>
      <c r="AK385" s="106"/>
      <c r="AL385" s="106"/>
      <c r="AM385" s="106"/>
      <c r="AN385" s="106"/>
      <c r="AO385" s="106"/>
      <c r="AP385" s="106"/>
      <c r="AQ385" s="106"/>
      <c r="AR385" s="106"/>
      <c r="AS385" s="106"/>
      <c r="AT385" s="106"/>
      <c r="AU385" s="106"/>
      <c r="AV385" s="106"/>
      <c r="AW385" s="106"/>
      <c r="AX385" s="106"/>
      <c r="AY385" s="106"/>
      <c r="AZ385" s="106"/>
      <c r="BA385" s="106"/>
      <c r="BB385" s="106"/>
      <c r="BC385" s="106"/>
      <c r="BD385" s="106"/>
      <c r="BE385" s="106"/>
      <c r="BF385" s="106"/>
      <c r="BG385" s="106"/>
      <c r="BH385" s="106"/>
      <c r="BI385" s="106"/>
    </row>
    <row r="386" spans="1:61" ht="15" customHeight="1">
      <c r="A386" s="106"/>
      <c r="B386" s="106"/>
      <c r="C386" s="106"/>
      <c r="D386" s="301"/>
      <c r="E386" s="301"/>
      <c r="F386" s="106"/>
      <c r="G386" s="106"/>
      <c r="H386" s="106"/>
      <c r="I386" s="106"/>
      <c r="J386" s="106"/>
      <c r="K386" s="106"/>
      <c r="L386" s="106"/>
      <c r="M386" s="106"/>
      <c r="N386" s="106"/>
      <c r="O386" s="106"/>
      <c r="P386" s="106"/>
      <c r="Q386" s="106"/>
      <c r="R386" s="106"/>
      <c r="S386" s="106"/>
      <c r="T386" s="106"/>
      <c r="U386" s="106"/>
      <c r="V386" s="106"/>
      <c r="W386" s="106"/>
      <c r="X386" s="106"/>
      <c r="Y386" s="106"/>
      <c r="Z386" s="106"/>
      <c r="AA386" s="106"/>
      <c r="AB386" s="106"/>
      <c r="AC386" s="106"/>
      <c r="AD386" s="106"/>
      <c r="AE386" s="106"/>
      <c r="AF386" s="106"/>
      <c r="AG386" s="106"/>
      <c r="AH386" s="106"/>
      <c r="AI386" s="106"/>
      <c r="AJ386" s="106"/>
      <c r="AK386" s="106"/>
      <c r="AL386" s="106"/>
      <c r="AM386" s="106"/>
      <c r="AN386" s="106"/>
      <c r="AO386" s="106"/>
      <c r="AP386" s="106"/>
      <c r="AQ386" s="106"/>
      <c r="AR386" s="106"/>
      <c r="AS386" s="106"/>
      <c r="AT386" s="106"/>
      <c r="AU386" s="106"/>
      <c r="AV386" s="106"/>
      <c r="AW386" s="106"/>
      <c r="AX386" s="106"/>
      <c r="AY386" s="106"/>
      <c r="AZ386" s="106"/>
      <c r="BA386" s="106"/>
      <c r="BB386" s="106"/>
      <c r="BC386" s="106"/>
      <c r="BD386" s="106"/>
      <c r="BE386" s="106"/>
      <c r="BF386" s="106"/>
      <c r="BG386" s="106"/>
      <c r="BH386" s="106"/>
      <c r="BI386" s="106"/>
    </row>
    <row r="387" spans="1:61" ht="15" customHeight="1">
      <c r="A387" s="106"/>
      <c r="B387" s="106"/>
      <c r="C387" s="106"/>
      <c r="D387" s="301"/>
      <c r="E387" s="301"/>
      <c r="F387" s="106"/>
      <c r="G387" s="106"/>
      <c r="H387" s="106"/>
      <c r="I387" s="106"/>
      <c r="J387" s="106"/>
      <c r="K387" s="106"/>
      <c r="L387" s="106"/>
      <c r="M387" s="106"/>
      <c r="N387" s="106"/>
      <c r="O387" s="106"/>
      <c r="P387" s="106"/>
      <c r="Q387" s="106"/>
      <c r="R387" s="106"/>
      <c r="S387" s="106"/>
      <c r="T387" s="106"/>
      <c r="U387" s="106"/>
      <c r="V387" s="106"/>
      <c r="W387" s="106"/>
      <c r="X387" s="106"/>
      <c r="Y387" s="106"/>
      <c r="Z387" s="106"/>
      <c r="AA387" s="106"/>
      <c r="AB387" s="106"/>
      <c r="AC387" s="106"/>
      <c r="AD387" s="106"/>
      <c r="AE387" s="106"/>
      <c r="AF387" s="106"/>
      <c r="AG387" s="106"/>
      <c r="AH387" s="106"/>
      <c r="AI387" s="106"/>
      <c r="AJ387" s="106"/>
      <c r="AK387" s="106"/>
      <c r="AL387" s="106"/>
      <c r="AM387" s="106"/>
      <c r="AN387" s="106"/>
      <c r="AO387" s="106"/>
      <c r="AP387" s="106"/>
      <c r="AQ387" s="106"/>
      <c r="AR387" s="106"/>
      <c r="AS387" s="106"/>
      <c r="AT387" s="106"/>
      <c r="AU387" s="106"/>
      <c r="AV387" s="106"/>
      <c r="AW387" s="106"/>
      <c r="AX387" s="106"/>
      <c r="AY387" s="106"/>
      <c r="AZ387" s="106"/>
      <c r="BA387" s="106"/>
      <c r="BB387" s="106"/>
      <c r="BC387" s="106"/>
      <c r="BD387" s="106"/>
      <c r="BE387" s="106"/>
      <c r="BF387" s="106"/>
      <c r="BG387" s="106"/>
      <c r="BH387" s="106"/>
      <c r="BI387" s="106"/>
    </row>
    <row r="388" spans="1:61" ht="15" customHeight="1">
      <c r="A388" s="106"/>
      <c r="B388" s="106"/>
      <c r="C388" s="106"/>
      <c r="D388" s="301"/>
      <c r="E388" s="301"/>
      <c r="F388" s="106"/>
      <c r="G388" s="106"/>
      <c r="H388" s="106"/>
      <c r="I388" s="106"/>
      <c r="J388" s="106"/>
      <c r="K388" s="106"/>
      <c r="L388" s="106"/>
      <c r="M388" s="106"/>
      <c r="N388" s="106"/>
      <c r="O388" s="106"/>
      <c r="P388" s="106"/>
      <c r="Q388" s="106"/>
      <c r="R388" s="106"/>
      <c r="S388" s="106"/>
      <c r="T388" s="106"/>
      <c r="U388" s="106"/>
      <c r="V388" s="106"/>
      <c r="W388" s="106"/>
      <c r="X388" s="106"/>
      <c r="Y388" s="106"/>
      <c r="Z388" s="106"/>
      <c r="AA388" s="106"/>
      <c r="AB388" s="106"/>
      <c r="AC388" s="106"/>
      <c r="AD388" s="106"/>
      <c r="AE388" s="106"/>
      <c r="AF388" s="106"/>
      <c r="AG388" s="106"/>
      <c r="AH388" s="106"/>
      <c r="AI388" s="106"/>
      <c r="AJ388" s="106"/>
      <c r="AK388" s="106"/>
      <c r="AL388" s="106"/>
      <c r="AM388" s="106"/>
      <c r="AN388" s="106"/>
      <c r="AO388" s="106"/>
      <c r="AP388" s="106"/>
      <c r="AQ388" s="106"/>
      <c r="AR388" s="106"/>
      <c r="AS388" s="106"/>
      <c r="AT388" s="106"/>
      <c r="AU388" s="106"/>
      <c r="AV388" s="106"/>
      <c r="AW388" s="106"/>
      <c r="AX388" s="106"/>
      <c r="AY388" s="106"/>
      <c r="AZ388" s="106"/>
      <c r="BA388" s="106"/>
      <c r="BB388" s="106"/>
      <c r="BC388" s="106"/>
      <c r="BD388" s="106"/>
      <c r="BE388" s="106"/>
      <c r="BF388" s="106"/>
      <c r="BG388" s="106"/>
      <c r="BH388" s="106"/>
      <c r="BI388" s="106"/>
    </row>
    <row r="389" spans="1:61" ht="15" customHeight="1">
      <c r="A389" s="106"/>
      <c r="B389" s="106"/>
      <c r="C389" s="106"/>
      <c r="D389" s="301"/>
      <c r="E389" s="301"/>
      <c r="F389" s="106"/>
      <c r="G389" s="106"/>
      <c r="H389" s="106"/>
      <c r="I389" s="106"/>
      <c r="J389" s="106"/>
      <c r="K389" s="106"/>
      <c r="L389" s="106"/>
      <c r="M389" s="106"/>
      <c r="N389" s="106"/>
      <c r="O389" s="106"/>
      <c r="P389" s="106"/>
      <c r="Q389" s="106"/>
      <c r="R389" s="106"/>
      <c r="S389" s="106"/>
      <c r="T389" s="106"/>
      <c r="U389" s="106"/>
      <c r="V389" s="106"/>
      <c r="W389" s="106"/>
      <c r="X389" s="106"/>
      <c r="Y389" s="106"/>
      <c r="Z389" s="106"/>
      <c r="AA389" s="106"/>
      <c r="AB389" s="106"/>
      <c r="AC389" s="106"/>
      <c r="AD389" s="106"/>
      <c r="AE389" s="106"/>
      <c r="AF389" s="106"/>
      <c r="AG389" s="106"/>
      <c r="AH389" s="106"/>
      <c r="AI389" s="106"/>
      <c r="AJ389" s="106"/>
      <c r="AK389" s="106"/>
      <c r="AL389" s="106"/>
      <c r="AM389" s="106"/>
      <c r="AN389" s="106"/>
      <c r="AO389" s="106"/>
      <c r="AP389" s="106"/>
      <c r="AQ389" s="106"/>
      <c r="AR389" s="106"/>
      <c r="AS389" s="106"/>
      <c r="AT389" s="106"/>
      <c r="AU389" s="106"/>
      <c r="AV389" s="106"/>
      <c r="AW389" s="106"/>
      <c r="AX389" s="106"/>
      <c r="AY389" s="106"/>
      <c r="AZ389" s="106"/>
      <c r="BA389" s="106"/>
      <c r="BB389" s="106"/>
      <c r="BC389" s="106"/>
      <c r="BD389" s="106"/>
      <c r="BE389" s="106"/>
      <c r="BF389" s="106"/>
      <c r="BG389" s="106"/>
      <c r="BH389" s="106"/>
      <c r="BI389" s="106"/>
    </row>
    <row r="390" spans="1:61" ht="15" customHeight="1">
      <c r="A390" s="106"/>
      <c r="B390" s="106"/>
      <c r="C390" s="106"/>
      <c r="D390" s="301"/>
      <c r="E390" s="301"/>
      <c r="F390" s="106"/>
      <c r="G390" s="106"/>
      <c r="H390" s="106"/>
      <c r="I390" s="106"/>
      <c r="J390" s="106"/>
      <c r="K390" s="106"/>
      <c r="L390" s="106"/>
      <c r="M390" s="106"/>
      <c r="N390" s="106"/>
      <c r="O390" s="106"/>
      <c r="P390" s="106"/>
      <c r="Q390" s="106"/>
      <c r="R390" s="106"/>
      <c r="S390" s="106"/>
      <c r="T390" s="106"/>
      <c r="U390" s="106"/>
      <c r="V390" s="106"/>
      <c r="W390" s="106"/>
      <c r="X390" s="106"/>
      <c r="Y390" s="106"/>
      <c r="Z390" s="106"/>
      <c r="AA390" s="106"/>
      <c r="AB390" s="106"/>
      <c r="AC390" s="106"/>
      <c r="AD390" s="106"/>
      <c r="AE390" s="106"/>
      <c r="AF390" s="106"/>
      <c r="AG390" s="106"/>
      <c r="AH390" s="106"/>
      <c r="AI390" s="106"/>
      <c r="AJ390" s="106"/>
      <c r="AK390" s="106"/>
      <c r="AL390" s="106"/>
      <c r="AM390" s="106"/>
      <c r="AN390" s="106"/>
      <c r="AO390" s="106"/>
      <c r="AP390" s="106"/>
      <c r="AQ390" s="106"/>
      <c r="AR390" s="106"/>
      <c r="AS390" s="106"/>
      <c r="AT390" s="106"/>
      <c r="AU390" s="106"/>
      <c r="AV390" s="106"/>
      <c r="AW390" s="106"/>
      <c r="AX390" s="106"/>
      <c r="AY390" s="106"/>
      <c r="AZ390" s="106"/>
      <c r="BA390" s="106"/>
      <c r="BB390" s="106"/>
      <c r="BC390" s="106"/>
      <c r="BD390" s="106"/>
      <c r="BE390" s="106"/>
      <c r="BF390" s="106"/>
      <c r="BG390" s="106"/>
      <c r="BH390" s="106"/>
      <c r="BI390" s="106"/>
    </row>
    <row r="391" spans="1:61" ht="15" customHeight="1">
      <c r="A391" s="106"/>
      <c r="B391" s="106"/>
      <c r="C391" s="106"/>
      <c r="D391" s="301"/>
      <c r="E391" s="301"/>
      <c r="F391" s="106"/>
      <c r="G391" s="106"/>
      <c r="H391" s="106"/>
      <c r="I391" s="106"/>
      <c r="J391" s="106"/>
      <c r="K391" s="106"/>
      <c r="L391" s="106"/>
      <c r="M391" s="106"/>
      <c r="N391" s="106"/>
      <c r="O391" s="106"/>
      <c r="P391" s="106"/>
      <c r="Q391" s="106"/>
      <c r="R391" s="106"/>
      <c r="S391" s="106"/>
      <c r="T391" s="106"/>
      <c r="U391" s="106"/>
      <c r="V391" s="106"/>
      <c r="W391" s="106"/>
      <c r="X391" s="106"/>
      <c r="Y391" s="106"/>
      <c r="Z391" s="106"/>
      <c r="AA391" s="106"/>
      <c r="AB391" s="106"/>
      <c r="AC391" s="106"/>
      <c r="AD391" s="106"/>
      <c r="AE391" s="106"/>
      <c r="AF391" s="106"/>
      <c r="AG391" s="106"/>
      <c r="AH391" s="106"/>
      <c r="AI391" s="106"/>
      <c r="AJ391" s="106"/>
      <c r="AK391" s="106"/>
      <c r="AL391" s="106"/>
      <c r="AM391" s="106"/>
      <c r="AN391" s="106"/>
      <c r="AO391" s="106"/>
      <c r="AP391" s="106"/>
      <c r="AQ391" s="106"/>
      <c r="AR391" s="106"/>
      <c r="AS391" s="106"/>
      <c r="AT391" s="106"/>
      <c r="AU391" s="106"/>
      <c r="AV391" s="106"/>
      <c r="AW391" s="106"/>
      <c r="AX391" s="106"/>
      <c r="AY391" s="106"/>
      <c r="AZ391" s="106"/>
      <c r="BA391" s="106"/>
      <c r="BB391" s="106"/>
      <c r="BC391" s="106"/>
      <c r="BD391" s="106"/>
      <c r="BE391" s="106"/>
      <c r="BF391" s="106"/>
      <c r="BG391" s="106"/>
      <c r="BH391" s="106"/>
      <c r="BI391" s="106"/>
    </row>
    <row r="392" spans="1:61" ht="15" customHeight="1">
      <c r="A392" s="106"/>
      <c r="B392" s="106"/>
      <c r="C392" s="106"/>
      <c r="D392" s="301"/>
      <c r="E392" s="301"/>
      <c r="F392" s="106"/>
      <c r="G392" s="106"/>
      <c r="H392" s="106"/>
      <c r="I392" s="106"/>
      <c r="J392" s="106"/>
      <c r="K392" s="106"/>
      <c r="L392" s="106"/>
      <c r="M392" s="106"/>
      <c r="N392" s="106"/>
      <c r="O392" s="106"/>
      <c r="P392" s="106"/>
      <c r="Q392" s="106"/>
      <c r="R392" s="106"/>
      <c r="S392" s="106"/>
      <c r="T392" s="106"/>
      <c r="U392" s="106"/>
      <c r="V392" s="106"/>
      <c r="W392" s="106"/>
      <c r="X392" s="106"/>
      <c r="Y392" s="106"/>
      <c r="Z392" s="106"/>
      <c r="AA392" s="106"/>
      <c r="AB392" s="106"/>
      <c r="AC392" s="106"/>
      <c r="AD392" s="106"/>
      <c r="AE392" s="106"/>
      <c r="AF392" s="106"/>
      <c r="AG392" s="106"/>
      <c r="AH392" s="106"/>
      <c r="AI392" s="106"/>
      <c r="AJ392" s="106"/>
      <c r="AK392" s="106"/>
      <c r="AL392" s="106"/>
      <c r="AM392" s="106"/>
      <c r="AN392" s="106"/>
      <c r="AO392" s="106"/>
      <c r="AP392" s="106"/>
      <c r="AQ392" s="106"/>
      <c r="AR392" s="106"/>
      <c r="AS392" s="106"/>
      <c r="AT392" s="106"/>
      <c r="AU392" s="106"/>
      <c r="AV392" s="106"/>
      <c r="AW392" s="106"/>
      <c r="AX392" s="106"/>
      <c r="AY392" s="106"/>
      <c r="AZ392" s="106"/>
      <c r="BA392" s="106"/>
      <c r="BB392" s="106"/>
      <c r="BC392" s="106"/>
      <c r="BD392" s="106"/>
      <c r="BE392" s="106"/>
      <c r="BF392" s="106"/>
      <c r="BG392" s="106"/>
      <c r="BH392" s="106"/>
      <c r="BI392" s="106"/>
    </row>
    <row r="393" spans="1:61" ht="15" customHeight="1">
      <c r="A393" s="106"/>
      <c r="B393" s="106"/>
      <c r="C393" s="106"/>
      <c r="D393" s="301"/>
      <c r="E393" s="301"/>
      <c r="F393" s="106"/>
      <c r="G393" s="106"/>
      <c r="H393" s="106"/>
      <c r="I393" s="106"/>
      <c r="J393" s="106"/>
      <c r="K393" s="106"/>
      <c r="L393" s="106"/>
      <c r="M393" s="106"/>
      <c r="N393" s="106"/>
      <c r="O393" s="106"/>
      <c r="P393" s="106"/>
      <c r="Q393" s="106"/>
      <c r="R393" s="106"/>
      <c r="S393" s="106"/>
      <c r="T393" s="106"/>
      <c r="U393" s="106"/>
      <c r="V393" s="106"/>
      <c r="W393" s="106"/>
      <c r="X393" s="106"/>
      <c r="Y393" s="106"/>
      <c r="Z393" s="106"/>
      <c r="AA393" s="106"/>
      <c r="AB393" s="106"/>
      <c r="AC393" s="106"/>
      <c r="AD393" s="106"/>
      <c r="AE393" s="106"/>
      <c r="AF393" s="106"/>
      <c r="AG393" s="106"/>
      <c r="AH393" s="106"/>
      <c r="AI393" s="106"/>
      <c r="AJ393" s="106"/>
      <c r="AK393" s="106"/>
      <c r="AL393" s="106"/>
      <c r="AM393" s="106"/>
      <c r="AN393" s="106"/>
      <c r="AO393" s="106"/>
      <c r="AP393" s="106"/>
      <c r="AQ393" s="106"/>
      <c r="AR393" s="106"/>
      <c r="AS393" s="106"/>
      <c r="AT393" s="106"/>
      <c r="AU393" s="106"/>
      <c r="AV393" s="106"/>
      <c r="AW393" s="106"/>
      <c r="AX393" s="106"/>
      <c r="AY393" s="106"/>
      <c r="AZ393" s="106"/>
      <c r="BA393" s="106"/>
      <c r="BB393" s="106"/>
      <c r="BC393" s="106"/>
      <c r="BD393" s="106"/>
      <c r="BE393" s="106"/>
      <c r="BF393" s="106"/>
      <c r="BG393" s="106"/>
      <c r="BH393" s="106"/>
      <c r="BI393" s="106"/>
    </row>
    <row r="394" spans="1:61" ht="15" customHeight="1">
      <c r="A394" s="106"/>
      <c r="B394" s="106"/>
      <c r="C394" s="106"/>
      <c r="D394" s="301"/>
      <c r="E394" s="301"/>
      <c r="F394" s="106"/>
      <c r="G394" s="106"/>
      <c r="H394" s="106"/>
      <c r="I394" s="106"/>
      <c r="J394" s="106"/>
      <c r="K394" s="106"/>
      <c r="L394" s="106"/>
      <c r="M394" s="106"/>
      <c r="N394" s="106"/>
      <c r="O394" s="106"/>
      <c r="P394" s="106"/>
      <c r="Q394" s="106"/>
      <c r="R394" s="106"/>
      <c r="S394" s="106"/>
      <c r="T394" s="106"/>
      <c r="U394" s="106"/>
      <c r="V394" s="106"/>
      <c r="W394" s="106"/>
      <c r="X394" s="106"/>
      <c r="Y394" s="106"/>
      <c r="Z394" s="106"/>
      <c r="AA394" s="106"/>
      <c r="AB394" s="106"/>
      <c r="AC394" s="106"/>
      <c r="AD394" s="106"/>
      <c r="AE394" s="106"/>
      <c r="AF394" s="106"/>
      <c r="AG394" s="106"/>
      <c r="AH394" s="106"/>
      <c r="AI394" s="106"/>
      <c r="AJ394" s="106"/>
      <c r="AK394" s="106"/>
      <c r="AL394" s="106"/>
      <c r="AM394" s="106"/>
      <c r="AN394" s="106"/>
      <c r="AO394" s="106"/>
      <c r="AP394" s="106"/>
      <c r="AQ394" s="106"/>
      <c r="AR394" s="106"/>
      <c r="AS394" s="106"/>
      <c r="AT394" s="106"/>
      <c r="AU394" s="106"/>
      <c r="AV394" s="106"/>
      <c r="AW394" s="106"/>
      <c r="AX394" s="106"/>
      <c r="AY394" s="106"/>
      <c r="AZ394" s="106"/>
      <c r="BA394" s="106"/>
      <c r="BB394" s="106"/>
      <c r="BC394" s="106"/>
      <c r="BD394" s="106"/>
      <c r="BE394" s="106"/>
      <c r="BF394" s="106"/>
      <c r="BG394" s="106"/>
      <c r="BH394" s="106"/>
      <c r="BI394" s="106"/>
    </row>
    <row r="395" spans="1:61" ht="15" customHeight="1">
      <c r="A395" s="106"/>
      <c r="B395" s="106"/>
      <c r="C395" s="106"/>
      <c r="D395" s="301"/>
      <c r="E395" s="301"/>
      <c r="F395" s="106"/>
      <c r="G395" s="106"/>
      <c r="H395" s="106"/>
      <c r="I395" s="106"/>
      <c r="J395" s="106"/>
      <c r="K395" s="106"/>
      <c r="L395" s="106"/>
      <c r="M395" s="106"/>
      <c r="N395" s="106"/>
      <c r="O395" s="106"/>
      <c r="P395" s="106"/>
      <c r="Q395" s="106"/>
      <c r="R395" s="106"/>
      <c r="S395" s="106"/>
      <c r="T395" s="106"/>
      <c r="U395" s="106"/>
      <c r="V395" s="106"/>
      <c r="W395" s="106"/>
      <c r="X395" s="106"/>
      <c r="Y395" s="106"/>
      <c r="Z395" s="106"/>
      <c r="AA395" s="106"/>
      <c r="AB395" s="106"/>
      <c r="AC395" s="106"/>
      <c r="AD395" s="106"/>
      <c r="AE395" s="106"/>
      <c r="AF395" s="106"/>
      <c r="AG395" s="106"/>
      <c r="AH395" s="106"/>
      <c r="AI395" s="106"/>
      <c r="AJ395" s="106"/>
      <c r="AK395" s="106"/>
      <c r="AL395" s="106"/>
      <c r="AM395" s="106"/>
      <c r="AN395" s="106"/>
      <c r="AO395" s="106"/>
      <c r="AP395" s="106"/>
      <c r="AQ395" s="106"/>
      <c r="AR395" s="106"/>
      <c r="AS395" s="106"/>
      <c r="AT395" s="106"/>
      <c r="AU395" s="106"/>
      <c r="AV395" s="106"/>
      <c r="AW395" s="106"/>
      <c r="AX395" s="106"/>
      <c r="AY395" s="106"/>
      <c r="AZ395" s="106"/>
      <c r="BA395" s="106"/>
      <c r="BB395" s="106"/>
      <c r="BC395" s="106"/>
      <c r="BD395" s="106"/>
      <c r="BE395" s="106"/>
      <c r="BF395" s="106"/>
      <c r="BG395" s="106"/>
      <c r="BH395" s="106"/>
      <c r="BI395" s="106"/>
    </row>
    <row r="396" spans="1:61" ht="15" customHeight="1">
      <c r="A396" s="106"/>
      <c r="B396" s="106"/>
      <c r="C396" s="106"/>
      <c r="D396" s="301"/>
      <c r="E396" s="301"/>
      <c r="F396" s="106"/>
      <c r="G396" s="106"/>
      <c r="H396" s="106"/>
      <c r="I396" s="106"/>
      <c r="J396" s="106"/>
      <c r="K396" s="106"/>
      <c r="L396" s="106"/>
      <c r="M396" s="106"/>
      <c r="N396" s="106"/>
      <c r="O396" s="106"/>
      <c r="P396" s="106"/>
      <c r="Q396" s="106"/>
      <c r="R396" s="106"/>
      <c r="S396" s="106"/>
      <c r="T396" s="106"/>
      <c r="U396" s="106"/>
      <c r="V396" s="106"/>
      <c r="W396" s="106"/>
      <c r="X396" s="106"/>
      <c r="Y396" s="106"/>
      <c r="Z396" s="106"/>
      <c r="AA396" s="106"/>
      <c r="AB396" s="106"/>
      <c r="AC396" s="106"/>
      <c r="AD396" s="106"/>
      <c r="AE396" s="106"/>
      <c r="AF396" s="106"/>
      <c r="AG396" s="106"/>
      <c r="AH396" s="106"/>
      <c r="AI396" s="106"/>
      <c r="AJ396" s="106"/>
      <c r="AK396" s="106"/>
      <c r="AL396" s="106"/>
      <c r="AM396" s="106"/>
      <c r="AN396" s="106"/>
      <c r="AO396" s="106"/>
      <c r="AP396" s="106"/>
      <c r="AQ396" s="106"/>
      <c r="AR396" s="106"/>
      <c r="AS396" s="106"/>
      <c r="AT396" s="106"/>
      <c r="AU396" s="106"/>
      <c r="AV396" s="106"/>
      <c r="AW396" s="106"/>
      <c r="AX396" s="106"/>
      <c r="AY396" s="106"/>
      <c r="AZ396" s="106"/>
      <c r="BA396" s="106"/>
      <c r="BB396" s="106"/>
      <c r="BC396" s="106"/>
      <c r="BD396" s="106"/>
      <c r="BE396" s="106"/>
      <c r="BF396" s="106"/>
      <c r="BG396" s="106"/>
      <c r="BH396" s="106"/>
      <c r="BI396" s="106"/>
    </row>
    <row r="397" spans="1:61" ht="15" customHeight="1">
      <c r="A397" s="106"/>
      <c r="B397" s="106"/>
      <c r="C397" s="106"/>
      <c r="D397" s="301"/>
      <c r="E397" s="301"/>
      <c r="F397" s="106"/>
      <c r="G397" s="106"/>
      <c r="H397" s="106"/>
      <c r="I397" s="106"/>
      <c r="J397" s="106"/>
      <c r="K397" s="106"/>
      <c r="L397" s="106"/>
      <c r="M397" s="106"/>
      <c r="N397" s="106"/>
      <c r="O397" s="106"/>
      <c r="P397" s="106"/>
      <c r="Q397" s="106"/>
      <c r="R397" s="106"/>
      <c r="S397" s="106"/>
      <c r="T397" s="106"/>
      <c r="U397" s="106"/>
      <c r="V397" s="106"/>
      <c r="W397" s="106"/>
      <c r="X397" s="106"/>
      <c r="Y397" s="106"/>
      <c r="Z397" s="106"/>
      <c r="AA397" s="106"/>
      <c r="AB397" s="106"/>
      <c r="AC397" s="106"/>
      <c r="AD397" s="106"/>
      <c r="AE397" s="106"/>
      <c r="AF397" s="106"/>
      <c r="AG397" s="106"/>
      <c r="AH397" s="106"/>
      <c r="AI397" s="106"/>
      <c r="AJ397" s="106"/>
      <c r="AK397" s="106"/>
      <c r="AL397" s="106"/>
      <c r="AM397" s="106"/>
      <c r="AN397" s="106"/>
      <c r="AO397" s="106"/>
      <c r="AP397" s="106"/>
      <c r="AQ397" s="106"/>
      <c r="AR397" s="106"/>
      <c r="AS397" s="106"/>
      <c r="AT397" s="106"/>
      <c r="AU397" s="106"/>
      <c r="AV397" s="106"/>
      <c r="AW397" s="106"/>
      <c r="AX397" s="106"/>
      <c r="AY397" s="106"/>
      <c r="AZ397" s="106"/>
      <c r="BA397" s="106"/>
      <c r="BB397" s="106"/>
      <c r="BC397" s="106"/>
      <c r="BD397" s="106"/>
      <c r="BE397" s="106"/>
      <c r="BF397" s="106"/>
      <c r="BG397" s="106"/>
      <c r="BH397" s="106"/>
      <c r="BI397" s="106"/>
    </row>
    <row r="398" spans="1:61" ht="15" customHeight="1">
      <c r="A398" s="106"/>
      <c r="B398" s="106"/>
      <c r="C398" s="106"/>
      <c r="D398" s="301"/>
      <c r="E398" s="301"/>
      <c r="F398" s="106"/>
      <c r="G398" s="106"/>
      <c r="H398" s="106"/>
      <c r="I398" s="106"/>
      <c r="J398" s="106"/>
      <c r="K398" s="106"/>
      <c r="L398" s="106"/>
      <c r="M398" s="106"/>
      <c r="N398" s="106"/>
      <c r="O398" s="106"/>
      <c r="P398" s="106"/>
      <c r="Q398" s="106"/>
      <c r="R398" s="106"/>
      <c r="S398" s="106"/>
      <c r="T398" s="106"/>
      <c r="U398" s="106"/>
      <c r="V398" s="106"/>
      <c r="W398" s="106"/>
      <c r="X398" s="106"/>
      <c r="Y398" s="106"/>
      <c r="Z398" s="106"/>
      <c r="AA398" s="106"/>
      <c r="AB398" s="106"/>
      <c r="AC398" s="106"/>
      <c r="AD398" s="106"/>
      <c r="AE398" s="106"/>
      <c r="AF398" s="106"/>
      <c r="AG398" s="106"/>
      <c r="AH398" s="106"/>
      <c r="AI398" s="106"/>
      <c r="AJ398" s="106"/>
      <c r="AK398" s="106"/>
      <c r="AL398" s="106"/>
      <c r="AM398" s="106"/>
      <c r="AN398" s="106"/>
      <c r="AO398" s="106"/>
      <c r="AP398" s="106"/>
      <c r="AQ398" s="106"/>
      <c r="AR398" s="106"/>
      <c r="AS398" s="106"/>
      <c r="AT398" s="106"/>
      <c r="AU398" s="106"/>
      <c r="AV398" s="106"/>
      <c r="AW398" s="106"/>
      <c r="AX398" s="106"/>
      <c r="AY398" s="106"/>
      <c r="AZ398" s="106"/>
      <c r="BA398" s="106"/>
      <c r="BB398" s="106"/>
      <c r="BC398" s="106"/>
      <c r="BD398" s="106"/>
      <c r="BE398" s="106"/>
      <c r="BF398" s="106"/>
      <c r="BG398" s="106"/>
      <c r="BH398" s="106"/>
      <c r="BI398" s="106"/>
    </row>
    <row r="399" spans="1:61" ht="15" customHeight="1">
      <c r="A399" s="106"/>
      <c r="B399" s="106"/>
      <c r="C399" s="106"/>
      <c r="D399" s="301"/>
      <c r="E399" s="301"/>
      <c r="F399" s="106"/>
      <c r="G399" s="106"/>
      <c r="H399" s="106"/>
      <c r="I399" s="106"/>
      <c r="J399" s="106"/>
      <c r="K399" s="106"/>
      <c r="L399" s="106"/>
      <c r="M399" s="106"/>
      <c r="N399" s="106"/>
      <c r="O399" s="106"/>
      <c r="P399" s="106"/>
      <c r="Q399" s="106"/>
      <c r="R399" s="106"/>
      <c r="S399" s="106"/>
      <c r="T399" s="106"/>
      <c r="U399" s="106"/>
      <c r="V399" s="106"/>
      <c r="W399" s="106"/>
      <c r="X399" s="106"/>
      <c r="Y399" s="106"/>
      <c r="Z399" s="106"/>
      <c r="AA399" s="106"/>
      <c r="AB399" s="106"/>
      <c r="AC399" s="106"/>
      <c r="AD399" s="106"/>
      <c r="AE399" s="106"/>
      <c r="AF399" s="106"/>
      <c r="AG399" s="106"/>
      <c r="AH399" s="106"/>
      <c r="AI399" s="106"/>
      <c r="AJ399" s="106"/>
      <c r="AK399" s="106"/>
      <c r="AL399" s="106"/>
      <c r="AM399" s="106"/>
      <c r="AN399" s="106"/>
      <c r="AO399" s="106"/>
      <c r="AP399" s="106"/>
      <c r="AQ399" s="106"/>
      <c r="AR399" s="106"/>
      <c r="AS399" s="106"/>
      <c r="AT399" s="106"/>
      <c r="AU399" s="106"/>
      <c r="AV399" s="106"/>
      <c r="AW399" s="106"/>
      <c r="AX399" s="106"/>
      <c r="AY399" s="106"/>
      <c r="AZ399" s="106"/>
      <c r="BA399" s="106"/>
      <c r="BB399" s="106"/>
      <c r="BC399" s="106"/>
      <c r="BD399" s="106"/>
      <c r="BE399" s="106"/>
      <c r="BF399" s="106"/>
      <c r="BG399" s="106"/>
      <c r="BH399" s="106"/>
      <c r="BI399" s="106"/>
    </row>
    <row r="400" spans="1:61" ht="15" customHeight="1">
      <c r="A400" s="106"/>
      <c r="B400" s="106"/>
      <c r="C400" s="106"/>
      <c r="D400" s="301"/>
      <c r="E400" s="301"/>
      <c r="F400" s="106"/>
      <c r="G400" s="106"/>
      <c r="H400" s="106"/>
      <c r="I400" s="106"/>
      <c r="J400" s="106"/>
      <c r="K400" s="106"/>
      <c r="L400" s="106"/>
      <c r="M400" s="106"/>
      <c r="N400" s="106"/>
      <c r="O400" s="106"/>
      <c r="P400" s="106"/>
      <c r="Q400" s="106"/>
      <c r="R400" s="106"/>
      <c r="S400" s="106"/>
      <c r="T400" s="106"/>
      <c r="U400" s="106"/>
      <c r="V400" s="106"/>
      <c r="W400" s="106"/>
      <c r="X400" s="106"/>
      <c r="Y400" s="106"/>
      <c r="Z400" s="106"/>
      <c r="AA400" s="106"/>
      <c r="AB400" s="106"/>
      <c r="AC400" s="106"/>
      <c r="AD400" s="106"/>
      <c r="AE400" s="106"/>
      <c r="AF400" s="106"/>
      <c r="AG400" s="106"/>
      <c r="AH400" s="106"/>
      <c r="AI400" s="106"/>
      <c r="AJ400" s="106"/>
      <c r="AK400" s="106"/>
      <c r="AL400" s="106"/>
      <c r="AM400" s="106"/>
      <c r="AN400" s="106"/>
      <c r="AO400" s="106"/>
      <c r="AP400" s="106"/>
      <c r="AQ400" s="106"/>
      <c r="AR400" s="106"/>
      <c r="AS400" s="106"/>
      <c r="AT400" s="106"/>
      <c r="AU400" s="106"/>
      <c r="AV400" s="106"/>
      <c r="AW400" s="106"/>
      <c r="AX400" s="106"/>
      <c r="AY400" s="106"/>
      <c r="AZ400" s="106"/>
      <c r="BA400" s="106"/>
      <c r="BB400" s="106"/>
      <c r="BC400" s="106"/>
      <c r="BD400" s="106"/>
      <c r="BE400" s="106"/>
      <c r="BF400" s="106"/>
      <c r="BG400" s="106"/>
      <c r="BH400" s="106"/>
      <c r="BI400" s="106"/>
    </row>
    <row r="401" spans="1:61" ht="15" customHeight="1">
      <c r="A401" s="106"/>
      <c r="B401" s="106"/>
      <c r="C401" s="106"/>
      <c r="D401" s="301"/>
      <c r="E401" s="301"/>
      <c r="F401" s="106"/>
      <c r="G401" s="106"/>
      <c r="H401" s="106"/>
      <c r="I401" s="106"/>
      <c r="J401" s="106"/>
      <c r="K401" s="106"/>
      <c r="L401" s="106"/>
      <c r="M401" s="106"/>
      <c r="N401" s="106"/>
      <c r="O401" s="106"/>
      <c r="P401" s="106"/>
      <c r="Q401" s="106"/>
      <c r="R401" s="106"/>
      <c r="S401" s="106"/>
      <c r="T401" s="106"/>
      <c r="U401" s="106"/>
      <c r="V401" s="106"/>
      <c r="W401" s="106"/>
      <c r="X401" s="106"/>
      <c r="Y401" s="106"/>
      <c r="Z401" s="106"/>
      <c r="AA401" s="106"/>
      <c r="AB401" s="106"/>
      <c r="AC401" s="106"/>
      <c r="AD401" s="106"/>
      <c r="AE401" s="106"/>
      <c r="AF401" s="106"/>
      <c r="AG401" s="106"/>
      <c r="AH401" s="106"/>
      <c r="AI401" s="106"/>
      <c r="AJ401" s="106"/>
      <c r="AK401" s="106"/>
      <c r="AL401" s="106"/>
      <c r="AM401" s="106"/>
      <c r="AN401" s="106"/>
      <c r="AO401" s="106"/>
      <c r="AP401" s="106"/>
      <c r="AQ401" s="106"/>
      <c r="AR401" s="106"/>
      <c r="AS401" s="106"/>
      <c r="AT401" s="106"/>
      <c r="AU401" s="106"/>
      <c r="AV401" s="106"/>
      <c r="AW401" s="106"/>
      <c r="AX401" s="106"/>
      <c r="AY401" s="106"/>
      <c r="AZ401" s="106"/>
      <c r="BA401" s="106"/>
      <c r="BB401" s="106"/>
      <c r="BC401" s="106"/>
      <c r="BD401" s="106"/>
      <c r="BE401" s="106"/>
      <c r="BF401" s="106"/>
      <c r="BG401" s="106"/>
      <c r="BH401" s="106"/>
      <c r="BI401" s="106"/>
    </row>
    <row r="402" spans="1:61" ht="15" customHeight="1">
      <c r="A402" s="106"/>
      <c r="B402" s="106"/>
      <c r="C402" s="106"/>
      <c r="D402" s="301"/>
      <c r="E402" s="301"/>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c r="AD402" s="106"/>
      <c r="AE402" s="106"/>
      <c r="AF402" s="106"/>
      <c r="AG402" s="106"/>
      <c r="AH402" s="106"/>
      <c r="AI402" s="106"/>
      <c r="AJ402" s="106"/>
      <c r="AK402" s="106"/>
      <c r="AL402" s="106"/>
      <c r="AM402" s="106"/>
      <c r="AN402" s="106"/>
      <c r="AO402" s="106"/>
      <c r="AP402" s="106"/>
      <c r="AQ402" s="106"/>
      <c r="AR402" s="106"/>
      <c r="AS402" s="106"/>
      <c r="AT402" s="106"/>
      <c r="AU402" s="106"/>
      <c r="AV402" s="106"/>
      <c r="AW402" s="106"/>
      <c r="AX402" s="106"/>
      <c r="AY402" s="106"/>
      <c r="AZ402" s="106"/>
      <c r="BA402" s="106"/>
      <c r="BB402" s="106"/>
      <c r="BC402" s="106"/>
      <c r="BD402" s="106"/>
      <c r="BE402" s="106"/>
      <c r="BF402" s="106"/>
      <c r="BG402" s="106"/>
      <c r="BH402" s="106"/>
      <c r="BI402" s="106"/>
    </row>
    <row r="403" spans="1:61" ht="15" customHeight="1">
      <c r="A403" s="106"/>
      <c r="B403" s="106"/>
      <c r="C403" s="106"/>
      <c r="D403" s="301"/>
      <c r="E403" s="301"/>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c r="AD403" s="106"/>
      <c r="AE403" s="106"/>
      <c r="AF403" s="106"/>
      <c r="AG403" s="106"/>
      <c r="AH403" s="106"/>
      <c r="AI403" s="106"/>
      <c r="AJ403" s="106"/>
      <c r="AK403" s="106"/>
      <c r="AL403" s="106"/>
      <c r="AM403" s="106"/>
      <c r="AN403" s="106"/>
      <c r="AO403" s="106"/>
      <c r="AP403" s="106"/>
      <c r="AQ403" s="106"/>
      <c r="AR403" s="106"/>
      <c r="AS403" s="106"/>
      <c r="AT403" s="106"/>
      <c r="AU403" s="106"/>
      <c r="AV403" s="106"/>
      <c r="AW403" s="106"/>
      <c r="AX403" s="106"/>
      <c r="AY403" s="106"/>
      <c r="AZ403" s="106"/>
      <c r="BA403" s="106"/>
      <c r="BB403" s="106"/>
      <c r="BC403" s="106"/>
      <c r="BD403" s="106"/>
      <c r="BE403" s="106"/>
      <c r="BF403" s="106"/>
      <c r="BG403" s="106"/>
      <c r="BH403" s="106"/>
      <c r="BI403" s="106"/>
    </row>
    <row r="404" spans="1:61" ht="15" customHeight="1">
      <c r="A404" s="106"/>
      <c r="B404" s="106"/>
      <c r="C404" s="106"/>
      <c r="D404" s="301"/>
      <c r="E404" s="301"/>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106"/>
      <c r="AH404" s="106"/>
      <c r="AI404" s="106"/>
      <c r="AJ404" s="106"/>
      <c r="AK404" s="106"/>
      <c r="AL404" s="106"/>
      <c r="AM404" s="106"/>
      <c r="AN404" s="106"/>
      <c r="AO404" s="106"/>
      <c r="AP404" s="106"/>
      <c r="AQ404" s="106"/>
      <c r="AR404" s="106"/>
      <c r="AS404" s="106"/>
      <c r="AT404" s="106"/>
      <c r="AU404" s="106"/>
      <c r="AV404" s="106"/>
      <c r="AW404" s="106"/>
      <c r="AX404" s="106"/>
      <c r="AY404" s="106"/>
      <c r="AZ404" s="106"/>
      <c r="BA404" s="106"/>
      <c r="BB404" s="106"/>
      <c r="BC404" s="106"/>
      <c r="BD404" s="106"/>
      <c r="BE404" s="106"/>
      <c r="BF404" s="106"/>
      <c r="BG404" s="106"/>
      <c r="BH404" s="106"/>
      <c r="BI404" s="106"/>
    </row>
    <row r="405" spans="1:61" ht="15" customHeight="1">
      <c r="A405" s="106"/>
      <c r="B405" s="106"/>
      <c r="C405" s="106"/>
      <c r="D405" s="301"/>
      <c r="E405" s="301"/>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106"/>
      <c r="AH405" s="106"/>
      <c r="AI405" s="106"/>
      <c r="AJ405" s="106"/>
      <c r="AK405" s="106"/>
      <c r="AL405" s="106"/>
      <c r="AM405" s="106"/>
      <c r="AN405" s="106"/>
      <c r="AO405" s="106"/>
      <c r="AP405" s="106"/>
      <c r="AQ405" s="106"/>
      <c r="AR405" s="106"/>
      <c r="AS405" s="106"/>
      <c r="AT405" s="106"/>
      <c r="AU405" s="106"/>
      <c r="AV405" s="106"/>
      <c r="AW405" s="106"/>
      <c r="AX405" s="106"/>
      <c r="AY405" s="106"/>
      <c r="AZ405" s="106"/>
      <c r="BA405" s="106"/>
      <c r="BB405" s="106"/>
      <c r="BC405" s="106"/>
      <c r="BD405" s="106"/>
      <c r="BE405" s="106"/>
      <c r="BF405" s="106"/>
      <c r="BG405" s="106"/>
      <c r="BH405" s="106"/>
      <c r="BI405" s="106"/>
    </row>
    <row r="406" spans="1:61" ht="15" customHeight="1">
      <c r="A406" s="106"/>
      <c r="B406" s="106"/>
      <c r="C406" s="106"/>
      <c r="D406" s="301"/>
      <c r="E406" s="301"/>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106"/>
      <c r="AH406" s="106"/>
      <c r="AI406" s="106"/>
      <c r="AJ406" s="106"/>
      <c r="AK406" s="106"/>
      <c r="AL406" s="106"/>
      <c r="AM406" s="106"/>
      <c r="AN406" s="106"/>
      <c r="AO406" s="106"/>
      <c r="AP406" s="106"/>
      <c r="AQ406" s="106"/>
      <c r="AR406" s="106"/>
      <c r="AS406" s="106"/>
      <c r="AT406" s="106"/>
      <c r="AU406" s="106"/>
      <c r="AV406" s="106"/>
      <c r="AW406" s="106"/>
      <c r="AX406" s="106"/>
      <c r="AY406" s="106"/>
      <c r="AZ406" s="106"/>
      <c r="BA406" s="106"/>
      <c r="BB406" s="106"/>
      <c r="BC406" s="106"/>
      <c r="BD406" s="106"/>
      <c r="BE406" s="106"/>
      <c r="BF406" s="106"/>
      <c r="BG406" s="106"/>
      <c r="BH406" s="106"/>
      <c r="BI406" s="106"/>
    </row>
    <row r="407" spans="1:61" ht="15" customHeight="1">
      <c r="A407" s="106"/>
      <c r="B407" s="106"/>
      <c r="C407" s="106"/>
      <c r="D407" s="301"/>
      <c r="E407" s="301"/>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106"/>
      <c r="AH407" s="106"/>
      <c r="AI407" s="106"/>
      <c r="AJ407" s="106"/>
      <c r="AK407" s="106"/>
      <c r="AL407" s="106"/>
      <c r="AM407" s="106"/>
      <c r="AN407" s="106"/>
      <c r="AO407" s="106"/>
      <c r="AP407" s="106"/>
      <c r="AQ407" s="106"/>
      <c r="AR407" s="106"/>
      <c r="AS407" s="106"/>
      <c r="AT407" s="106"/>
      <c r="AU407" s="106"/>
      <c r="AV407" s="106"/>
      <c r="AW407" s="106"/>
      <c r="AX407" s="106"/>
      <c r="AY407" s="106"/>
      <c r="AZ407" s="106"/>
      <c r="BA407" s="106"/>
      <c r="BB407" s="106"/>
      <c r="BC407" s="106"/>
      <c r="BD407" s="106"/>
      <c r="BE407" s="106"/>
      <c r="BF407" s="106"/>
      <c r="BG407" s="106"/>
      <c r="BH407" s="106"/>
      <c r="BI407" s="106"/>
    </row>
    <row r="408" spans="1:61" ht="15" customHeight="1">
      <c r="A408" s="106"/>
      <c r="B408" s="106"/>
      <c r="C408" s="106"/>
      <c r="D408" s="301"/>
      <c r="E408" s="301"/>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106"/>
      <c r="AH408" s="106"/>
      <c r="AI408" s="106"/>
      <c r="AJ408" s="106"/>
      <c r="AK408" s="106"/>
      <c r="AL408" s="106"/>
      <c r="AM408" s="106"/>
      <c r="AN408" s="106"/>
      <c r="AO408" s="106"/>
      <c r="AP408" s="106"/>
      <c r="AQ408" s="106"/>
      <c r="AR408" s="106"/>
      <c r="AS408" s="106"/>
      <c r="AT408" s="106"/>
      <c r="AU408" s="106"/>
      <c r="AV408" s="106"/>
      <c r="AW408" s="106"/>
      <c r="AX408" s="106"/>
      <c r="AY408" s="106"/>
      <c r="AZ408" s="106"/>
      <c r="BA408" s="106"/>
      <c r="BB408" s="106"/>
      <c r="BC408" s="106"/>
      <c r="BD408" s="106"/>
      <c r="BE408" s="106"/>
      <c r="BF408" s="106"/>
      <c r="BG408" s="106"/>
      <c r="BH408" s="106"/>
      <c r="BI408" s="106"/>
    </row>
    <row r="409" spans="1:61" ht="15" customHeight="1">
      <c r="A409" s="106"/>
      <c r="B409" s="106"/>
      <c r="C409" s="106"/>
      <c r="D409" s="301"/>
      <c r="E409" s="301"/>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106"/>
      <c r="AH409" s="106"/>
      <c r="AI409" s="106"/>
      <c r="AJ409" s="106"/>
      <c r="AK409" s="106"/>
      <c r="AL409" s="106"/>
      <c r="AM409" s="106"/>
      <c r="AN409" s="106"/>
      <c r="AO409" s="106"/>
      <c r="AP409" s="106"/>
      <c r="AQ409" s="106"/>
      <c r="AR409" s="106"/>
      <c r="AS409" s="106"/>
      <c r="AT409" s="106"/>
      <c r="AU409" s="106"/>
      <c r="AV409" s="106"/>
      <c r="AW409" s="106"/>
      <c r="AX409" s="106"/>
      <c r="AY409" s="106"/>
      <c r="AZ409" s="106"/>
      <c r="BA409" s="106"/>
      <c r="BB409" s="106"/>
      <c r="BC409" s="106"/>
      <c r="BD409" s="106"/>
      <c r="BE409" s="106"/>
      <c r="BF409" s="106"/>
      <c r="BG409" s="106"/>
      <c r="BH409" s="106"/>
      <c r="BI409" s="106"/>
    </row>
    <row r="410" spans="1:61" ht="15" customHeight="1">
      <c r="A410" s="106"/>
      <c r="B410" s="106"/>
      <c r="C410" s="106"/>
      <c r="D410" s="301"/>
      <c r="E410" s="301"/>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106"/>
      <c r="AH410" s="106"/>
      <c r="AI410" s="106"/>
      <c r="AJ410" s="106"/>
      <c r="AK410" s="106"/>
      <c r="AL410" s="106"/>
      <c r="AM410" s="106"/>
      <c r="AN410" s="106"/>
      <c r="AO410" s="106"/>
      <c r="AP410" s="106"/>
      <c r="AQ410" s="106"/>
      <c r="AR410" s="106"/>
      <c r="AS410" s="106"/>
      <c r="AT410" s="106"/>
      <c r="AU410" s="106"/>
      <c r="AV410" s="106"/>
      <c r="AW410" s="106"/>
      <c r="AX410" s="106"/>
      <c r="AY410" s="106"/>
      <c r="AZ410" s="106"/>
      <c r="BA410" s="106"/>
      <c r="BB410" s="106"/>
      <c r="BC410" s="106"/>
      <c r="BD410" s="106"/>
      <c r="BE410" s="106"/>
      <c r="BF410" s="106"/>
      <c r="BG410" s="106"/>
      <c r="BH410" s="106"/>
      <c r="BI410" s="106"/>
    </row>
    <row r="411" spans="1:61" ht="15" customHeight="1">
      <c r="A411" s="106"/>
      <c r="B411" s="106"/>
      <c r="C411" s="106"/>
      <c r="D411" s="301"/>
      <c r="E411" s="301"/>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c r="AG411" s="106"/>
      <c r="AH411" s="106"/>
      <c r="AI411" s="106"/>
      <c r="AJ411" s="106"/>
      <c r="AK411" s="106"/>
      <c r="AL411" s="106"/>
      <c r="AM411" s="106"/>
      <c r="AN411" s="106"/>
      <c r="AO411" s="106"/>
      <c r="AP411" s="106"/>
      <c r="AQ411" s="106"/>
      <c r="AR411" s="106"/>
      <c r="AS411" s="106"/>
      <c r="AT411" s="106"/>
      <c r="AU411" s="106"/>
      <c r="AV411" s="106"/>
      <c r="AW411" s="106"/>
      <c r="AX411" s="106"/>
      <c r="AY411" s="106"/>
      <c r="AZ411" s="106"/>
      <c r="BA411" s="106"/>
      <c r="BB411" s="106"/>
      <c r="BC411" s="106"/>
      <c r="BD411" s="106"/>
      <c r="BE411" s="106"/>
      <c r="BF411" s="106"/>
      <c r="BG411" s="106"/>
      <c r="BH411" s="106"/>
      <c r="BI411" s="106"/>
    </row>
    <row r="412" spans="1:61" ht="15" customHeight="1">
      <c r="A412" s="106"/>
      <c r="B412" s="106"/>
      <c r="C412" s="106"/>
      <c r="D412" s="301"/>
      <c r="E412" s="301"/>
      <c r="F412" s="106"/>
      <c r="G412" s="106"/>
      <c r="H412" s="106"/>
      <c r="I412" s="106"/>
      <c r="J412" s="106"/>
      <c r="K412" s="106"/>
      <c r="L412" s="106"/>
      <c r="M412" s="106"/>
      <c r="N412" s="106"/>
      <c r="O412" s="106"/>
      <c r="P412" s="106"/>
      <c r="Q412" s="106"/>
      <c r="R412" s="106"/>
      <c r="S412" s="106"/>
      <c r="T412" s="106"/>
      <c r="U412" s="106"/>
      <c r="V412" s="106"/>
      <c r="W412" s="106"/>
      <c r="X412" s="106"/>
      <c r="Y412" s="106"/>
      <c r="Z412" s="106"/>
      <c r="AA412" s="106"/>
      <c r="AB412" s="106"/>
      <c r="AC412" s="106"/>
      <c r="AD412" s="106"/>
      <c r="AE412" s="106"/>
      <c r="AF412" s="106"/>
      <c r="AG412" s="106"/>
      <c r="AH412" s="106"/>
      <c r="AI412" s="106"/>
      <c r="AJ412" s="106"/>
      <c r="AK412" s="106"/>
      <c r="AL412" s="106"/>
      <c r="AM412" s="106"/>
      <c r="AN412" s="106"/>
      <c r="AO412" s="106"/>
      <c r="AP412" s="106"/>
      <c r="AQ412" s="106"/>
      <c r="AR412" s="106"/>
      <c r="AS412" s="106"/>
      <c r="AT412" s="106"/>
      <c r="AU412" s="106"/>
      <c r="AV412" s="106"/>
      <c r="AW412" s="106"/>
      <c r="AX412" s="106"/>
      <c r="AY412" s="106"/>
      <c r="AZ412" s="106"/>
      <c r="BA412" s="106"/>
      <c r="BB412" s="106"/>
      <c r="BC412" s="106"/>
      <c r="BD412" s="106"/>
      <c r="BE412" s="106"/>
      <c r="BF412" s="106"/>
      <c r="BG412" s="106"/>
      <c r="BH412" s="106"/>
      <c r="BI412" s="106"/>
    </row>
    <row r="413" spans="1:61" ht="15" customHeight="1">
      <c r="A413" s="106"/>
      <c r="B413" s="106"/>
      <c r="C413" s="106"/>
      <c r="D413" s="301"/>
      <c r="E413" s="301"/>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c r="AD413" s="106"/>
      <c r="AE413" s="106"/>
      <c r="AF413" s="106"/>
      <c r="AG413" s="106"/>
      <c r="AH413" s="106"/>
      <c r="AI413" s="106"/>
      <c r="AJ413" s="106"/>
      <c r="AK413" s="106"/>
      <c r="AL413" s="106"/>
      <c r="AM413" s="106"/>
      <c r="AN413" s="106"/>
      <c r="AO413" s="106"/>
      <c r="AP413" s="106"/>
      <c r="AQ413" s="106"/>
      <c r="AR413" s="106"/>
      <c r="AS413" s="106"/>
      <c r="AT413" s="106"/>
      <c r="AU413" s="106"/>
      <c r="AV413" s="106"/>
      <c r="AW413" s="106"/>
      <c r="AX413" s="106"/>
      <c r="AY413" s="106"/>
      <c r="AZ413" s="106"/>
      <c r="BA413" s="106"/>
      <c r="BB413" s="106"/>
      <c r="BC413" s="106"/>
      <c r="BD413" s="106"/>
      <c r="BE413" s="106"/>
      <c r="BF413" s="106"/>
      <c r="BG413" s="106"/>
      <c r="BH413" s="106"/>
      <c r="BI413" s="106"/>
    </row>
    <row r="414" spans="1:61" ht="15" customHeight="1">
      <c r="A414" s="106"/>
      <c r="B414" s="106"/>
      <c r="C414" s="106"/>
      <c r="D414" s="301"/>
      <c r="E414" s="301"/>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c r="AD414" s="106"/>
      <c r="AE414" s="106"/>
      <c r="AF414" s="106"/>
      <c r="AG414" s="106"/>
      <c r="AH414" s="106"/>
      <c r="AI414" s="106"/>
      <c r="AJ414" s="106"/>
      <c r="AK414" s="106"/>
      <c r="AL414" s="106"/>
      <c r="AM414" s="106"/>
      <c r="AN414" s="106"/>
      <c r="AO414" s="106"/>
      <c r="AP414" s="106"/>
      <c r="AQ414" s="106"/>
      <c r="AR414" s="106"/>
      <c r="AS414" s="106"/>
      <c r="AT414" s="106"/>
      <c r="AU414" s="106"/>
      <c r="AV414" s="106"/>
      <c r="AW414" s="106"/>
      <c r="AX414" s="106"/>
      <c r="AY414" s="106"/>
      <c r="AZ414" s="106"/>
      <c r="BA414" s="106"/>
      <c r="BB414" s="106"/>
      <c r="BC414" s="106"/>
      <c r="BD414" s="106"/>
      <c r="BE414" s="106"/>
      <c r="BF414" s="106"/>
      <c r="BG414" s="106"/>
      <c r="BH414" s="106"/>
      <c r="BI414" s="106"/>
    </row>
    <row r="415" spans="1:61" ht="15" customHeight="1">
      <c r="A415" s="106"/>
      <c r="B415" s="106"/>
      <c r="C415" s="106"/>
      <c r="D415" s="301"/>
      <c r="E415" s="301"/>
      <c r="F415" s="106"/>
      <c r="G415" s="106"/>
      <c r="H415" s="106"/>
      <c r="I415" s="106"/>
      <c r="J415" s="106"/>
      <c r="K415" s="106"/>
      <c r="L415" s="106"/>
      <c r="M415" s="106"/>
      <c r="N415" s="106"/>
      <c r="O415" s="106"/>
      <c r="P415" s="106"/>
      <c r="Q415" s="106"/>
      <c r="R415" s="106"/>
      <c r="S415" s="106"/>
      <c r="T415" s="106"/>
      <c r="U415" s="106"/>
      <c r="V415" s="106"/>
      <c r="W415" s="106"/>
      <c r="X415" s="106"/>
      <c r="Y415" s="106"/>
      <c r="Z415" s="106"/>
      <c r="AA415" s="106"/>
      <c r="AB415" s="106"/>
      <c r="AC415" s="106"/>
      <c r="AD415" s="106"/>
      <c r="AE415" s="106"/>
      <c r="AF415" s="106"/>
      <c r="AG415" s="106"/>
      <c r="AH415" s="106"/>
      <c r="AI415" s="106"/>
      <c r="AJ415" s="106"/>
      <c r="AK415" s="106"/>
      <c r="AL415" s="106"/>
      <c r="AM415" s="106"/>
      <c r="AN415" s="106"/>
      <c r="AO415" s="106"/>
      <c r="AP415" s="106"/>
      <c r="AQ415" s="106"/>
      <c r="AR415" s="106"/>
      <c r="AS415" s="106"/>
      <c r="AT415" s="106"/>
      <c r="AU415" s="106"/>
      <c r="AV415" s="106"/>
      <c r="AW415" s="106"/>
      <c r="AX415" s="106"/>
      <c r="AY415" s="106"/>
      <c r="AZ415" s="106"/>
      <c r="BA415" s="106"/>
      <c r="BB415" s="106"/>
      <c r="BC415" s="106"/>
      <c r="BD415" s="106"/>
      <c r="BE415" s="106"/>
      <c r="BF415" s="106"/>
      <c r="BG415" s="106"/>
      <c r="BH415" s="106"/>
      <c r="BI415" s="106"/>
    </row>
    <row r="416" spans="1:61" ht="15" customHeight="1">
      <c r="A416" s="106"/>
      <c r="B416" s="106"/>
      <c r="C416" s="106"/>
      <c r="D416" s="301"/>
      <c r="E416" s="301"/>
      <c r="F416" s="106"/>
      <c r="G416" s="106"/>
      <c r="H416" s="106"/>
      <c r="I416" s="106"/>
      <c r="J416" s="106"/>
      <c r="K416" s="106"/>
      <c r="L416" s="106"/>
      <c r="M416" s="106"/>
      <c r="N416" s="106"/>
      <c r="O416" s="106"/>
      <c r="P416" s="106"/>
      <c r="Q416" s="106"/>
      <c r="R416" s="106"/>
      <c r="S416" s="106"/>
      <c r="T416" s="106"/>
      <c r="U416" s="106"/>
      <c r="V416" s="106"/>
      <c r="W416" s="106"/>
      <c r="X416" s="106"/>
      <c r="Y416" s="106"/>
      <c r="Z416" s="106"/>
      <c r="AA416" s="106"/>
      <c r="AB416" s="106"/>
      <c r="AC416" s="106"/>
      <c r="AD416" s="106"/>
      <c r="AE416" s="106"/>
      <c r="AF416" s="106"/>
      <c r="AG416" s="106"/>
      <c r="AH416" s="106"/>
      <c r="AI416" s="106"/>
      <c r="AJ416" s="106"/>
      <c r="AK416" s="106"/>
      <c r="AL416" s="106"/>
      <c r="AM416" s="106"/>
      <c r="AN416" s="106"/>
      <c r="AO416" s="106"/>
      <c r="AP416" s="106"/>
      <c r="AQ416" s="106"/>
      <c r="AR416" s="106"/>
      <c r="AS416" s="106"/>
      <c r="AT416" s="106"/>
      <c r="AU416" s="106"/>
      <c r="AV416" s="106"/>
      <c r="AW416" s="106"/>
      <c r="AX416" s="106"/>
      <c r="AY416" s="106"/>
      <c r="AZ416" s="106"/>
      <c r="BA416" s="106"/>
      <c r="BB416" s="106"/>
      <c r="BC416" s="106"/>
      <c r="BD416" s="106"/>
      <c r="BE416" s="106"/>
      <c r="BF416" s="106"/>
      <c r="BG416" s="106"/>
      <c r="BH416" s="106"/>
      <c r="BI416" s="106"/>
    </row>
    <row r="417" spans="1:61" ht="15" customHeight="1">
      <c r="A417" s="106"/>
      <c r="B417" s="106"/>
      <c r="C417" s="106"/>
      <c r="D417" s="301"/>
      <c r="E417" s="301"/>
      <c r="F417" s="106"/>
      <c r="G417" s="106"/>
      <c r="H417" s="106"/>
      <c r="I417" s="106"/>
      <c r="J417" s="106"/>
      <c r="K417" s="106"/>
      <c r="L417" s="106"/>
      <c r="M417" s="106"/>
      <c r="N417" s="106"/>
      <c r="O417" s="106"/>
      <c r="P417" s="106"/>
      <c r="Q417" s="106"/>
      <c r="R417" s="106"/>
      <c r="S417" s="106"/>
      <c r="T417" s="106"/>
      <c r="U417" s="106"/>
      <c r="V417" s="106"/>
      <c r="W417" s="106"/>
      <c r="X417" s="106"/>
      <c r="Y417" s="106"/>
      <c r="Z417" s="106"/>
      <c r="AA417" s="106"/>
      <c r="AB417" s="106"/>
      <c r="AC417" s="106"/>
      <c r="AD417" s="106"/>
      <c r="AE417" s="106"/>
      <c r="AF417" s="106"/>
      <c r="AG417" s="106"/>
      <c r="AH417" s="106"/>
      <c r="AI417" s="106"/>
      <c r="AJ417" s="106"/>
      <c r="AK417" s="106"/>
      <c r="AL417" s="106"/>
      <c r="AM417" s="106"/>
      <c r="AN417" s="106"/>
      <c r="AO417" s="106"/>
      <c r="AP417" s="106"/>
      <c r="AQ417" s="106"/>
      <c r="AR417" s="106"/>
      <c r="AS417" s="106"/>
      <c r="AT417" s="106"/>
      <c r="AU417" s="106"/>
      <c r="AV417" s="106"/>
      <c r="AW417" s="106"/>
      <c r="AX417" s="106"/>
      <c r="AY417" s="106"/>
      <c r="AZ417" s="106"/>
      <c r="BA417" s="106"/>
      <c r="BB417" s="106"/>
      <c r="BC417" s="106"/>
      <c r="BD417" s="106"/>
      <c r="BE417" s="106"/>
      <c r="BF417" s="106"/>
      <c r="BG417" s="106"/>
      <c r="BH417" s="106"/>
      <c r="BI417" s="106"/>
    </row>
    <row r="418" spans="1:61" ht="15" customHeight="1">
      <c r="A418" s="106"/>
      <c r="B418" s="106"/>
      <c r="C418" s="106"/>
      <c r="D418" s="301"/>
      <c r="E418" s="301"/>
      <c r="F418" s="106"/>
      <c r="G418" s="106"/>
      <c r="H418" s="106"/>
      <c r="I418" s="106"/>
      <c r="J418" s="106"/>
      <c r="K418" s="106"/>
      <c r="L418" s="106"/>
      <c r="M418" s="106"/>
      <c r="N418" s="106"/>
      <c r="O418" s="106"/>
      <c r="P418" s="106"/>
      <c r="Q418" s="106"/>
      <c r="R418" s="106"/>
      <c r="S418" s="106"/>
      <c r="T418" s="106"/>
      <c r="U418" s="106"/>
      <c r="V418" s="106"/>
      <c r="W418" s="106"/>
      <c r="X418" s="106"/>
      <c r="Y418" s="106"/>
      <c r="Z418" s="106"/>
      <c r="AA418" s="106"/>
      <c r="AB418" s="106"/>
      <c r="AC418" s="106"/>
      <c r="AD418" s="106"/>
      <c r="AE418" s="106"/>
      <c r="AF418" s="106"/>
      <c r="AG418" s="106"/>
      <c r="AH418" s="106"/>
      <c r="AI418" s="106"/>
      <c r="AJ418" s="106"/>
      <c r="AK418" s="106"/>
      <c r="AL418" s="106"/>
      <c r="AM418" s="106"/>
      <c r="AN418" s="106"/>
      <c r="AO418" s="106"/>
      <c r="AP418" s="106"/>
      <c r="AQ418" s="106"/>
      <c r="AR418" s="106"/>
      <c r="AS418" s="106"/>
      <c r="AT418" s="106"/>
      <c r="AU418" s="106"/>
      <c r="AV418" s="106"/>
      <c r="AW418" s="106"/>
      <c r="AX418" s="106"/>
      <c r="AY418" s="106"/>
      <c r="AZ418" s="106"/>
      <c r="BA418" s="106"/>
      <c r="BB418" s="106"/>
      <c r="BC418" s="106"/>
      <c r="BD418" s="106"/>
      <c r="BE418" s="106"/>
      <c r="BF418" s="106"/>
      <c r="BG418" s="106"/>
      <c r="BH418" s="106"/>
      <c r="BI418" s="106"/>
    </row>
    <row r="419" spans="1:61" ht="15" customHeight="1">
      <c r="A419" s="106"/>
      <c r="B419" s="106"/>
      <c r="C419" s="106"/>
      <c r="D419" s="301"/>
      <c r="E419" s="301"/>
      <c r="F419" s="106"/>
      <c r="G419" s="106"/>
      <c r="H419" s="106"/>
      <c r="I419" s="106"/>
      <c r="J419" s="106"/>
      <c r="K419" s="106"/>
      <c r="L419" s="106"/>
      <c r="M419" s="106"/>
      <c r="N419" s="106"/>
      <c r="O419" s="106"/>
      <c r="P419" s="106"/>
      <c r="Q419" s="106"/>
      <c r="R419" s="106"/>
      <c r="S419" s="106"/>
      <c r="T419" s="106"/>
      <c r="U419" s="106"/>
      <c r="V419" s="106"/>
      <c r="W419" s="106"/>
      <c r="X419" s="106"/>
      <c r="Y419" s="106"/>
      <c r="Z419" s="106"/>
      <c r="AA419" s="106"/>
      <c r="AB419" s="106"/>
      <c r="AC419" s="106"/>
      <c r="AD419" s="106"/>
      <c r="AE419" s="106"/>
      <c r="AF419" s="106"/>
      <c r="AG419" s="106"/>
      <c r="AH419" s="106"/>
      <c r="AI419" s="106"/>
      <c r="AJ419" s="106"/>
      <c r="AK419" s="106"/>
      <c r="AL419" s="106"/>
      <c r="AM419" s="106"/>
      <c r="AN419" s="106"/>
      <c r="AO419" s="106"/>
      <c r="AP419" s="106"/>
      <c r="AQ419" s="106"/>
      <c r="AR419" s="106"/>
      <c r="AS419" s="106"/>
      <c r="AT419" s="106"/>
      <c r="AU419" s="106"/>
      <c r="AV419" s="106"/>
      <c r="AW419" s="106"/>
      <c r="AX419" s="106"/>
      <c r="AY419" s="106"/>
      <c r="AZ419" s="106"/>
      <c r="BA419" s="106"/>
      <c r="BB419" s="106"/>
      <c r="BC419" s="106"/>
      <c r="BD419" s="106"/>
      <c r="BE419" s="106"/>
      <c r="BF419" s="106"/>
      <c r="BG419" s="106"/>
      <c r="BH419" s="106"/>
      <c r="BI419" s="106"/>
    </row>
    <row r="420" spans="1:61" ht="15" customHeight="1">
      <c r="A420" s="106"/>
      <c r="B420" s="106"/>
      <c r="C420" s="106"/>
      <c r="D420" s="301"/>
      <c r="E420" s="301"/>
      <c r="F420" s="106"/>
      <c r="G420" s="106"/>
      <c r="H420" s="106"/>
      <c r="I420" s="106"/>
      <c r="J420" s="106"/>
      <c r="K420" s="106"/>
      <c r="L420" s="106"/>
      <c r="M420" s="106"/>
      <c r="N420" s="106"/>
      <c r="O420" s="106"/>
      <c r="P420" s="106"/>
      <c r="Q420" s="106"/>
      <c r="R420" s="106"/>
      <c r="S420" s="106"/>
      <c r="T420" s="106"/>
      <c r="U420" s="106"/>
      <c r="V420" s="106"/>
      <c r="W420" s="106"/>
      <c r="X420" s="106"/>
      <c r="Y420" s="106"/>
      <c r="Z420" s="106"/>
      <c r="AA420" s="106"/>
      <c r="AB420" s="106"/>
      <c r="AC420" s="106"/>
      <c r="AD420" s="106"/>
      <c r="AE420" s="106"/>
      <c r="AF420" s="106"/>
      <c r="AG420" s="106"/>
      <c r="AH420" s="106"/>
      <c r="AI420" s="106"/>
      <c r="AJ420" s="106"/>
      <c r="AK420" s="106"/>
      <c r="AL420" s="106"/>
      <c r="AM420" s="106"/>
      <c r="AN420" s="106"/>
      <c r="AO420" s="106"/>
      <c r="AP420" s="106"/>
      <c r="AQ420" s="106"/>
      <c r="AR420" s="106"/>
      <c r="AS420" s="106"/>
      <c r="AT420" s="106"/>
      <c r="AU420" s="106"/>
      <c r="AV420" s="106"/>
      <c r="AW420" s="106"/>
      <c r="AX420" s="106"/>
      <c r="AY420" s="106"/>
      <c r="AZ420" s="106"/>
      <c r="BA420" s="106"/>
      <c r="BB420" s="106"/>
      <c r="BC420" s="106"/>
      <c r="BD420" s="106"/>
      <c r="BE420" s="106"/>
      <c r="BF420" s="106"/>
      <c r="BG420" s="106"/>
      <c r="BH420" s="106"/>
      <c r="BI420" s="106"/>
    </row>
    <row r="421" spans="1:61" ht="15" customHeight="1">
      <c r="A421" s="106"/>
      <c r="B421" s="106"/>
      <c r="C421" s="106"/>
      <c r="D421" s="301"/>
      <c r="E421" s="301"/>
      <c r="F421" s="106"/>
      <c r="G421" s="106"/>
      <c r="H421" s="106"/>
      <c r="I421" s="106"/>
      <c r="J421" s="106"/>
      <c r="K421" s="106"/>
      <c r="L421" s="106"/>
      <c r="M421" s="106"/>
      <c r="N421" s="106"/>
      <c r="O421" s="106"/>
      <c r="P421" s="106"/>
      <c r="Q421" s="106"/>
      <c r="R421" s="106"/>
      <c r="S421" s="106"/>
      <c r="T421" s="106"/>
      <c r="U421" s="106"/>
      <c r="V421" s="106"/>
      <c r="W421" s="106"/>
      <c r="X421" s="106"/>
      <c r="Y421" s="106"/>
      <c r="Z421" s="106"/>
      <c r="AA421" s="106"/>
      <c r="AB421" s="106"/>
      <c r="AC421" s="106"/>
      <c r="AD421" s="106"/>
      <c r="AE421" s="106"/>
      <c r="AF421" s="106"/>
      <c r="AG421" s="106"/>
      <c r="AH421" s="106"/>
      <c r="AI421" s="106"/>
      <c r="AJ421" s="106"/>
      <c r="AK421" s="106"/>
      <c r="AL421" s="106"/>
      <c r="AM421" s="106"/>
      <c r="AN421" s="106"/>
      <c r="AO421" s="106"/>
      <c r="AP421" s="106"/>
      <c r="AQ421" s="106"/>
      <c r="AR421" s="106"/>
      <c r="AS421" s="106"/>
      <c r="AT421" s="106"/>
      <c r="AU421" s="106"/>
      <c r="AV421" s="106"/>
      <c r="AW421" s="106"/>
      <c r="AX421" s="106"/>
      <c r="AY421" s="106"/>
      <c r="AZ421" s="106"/>
      <c r="BA421" s="106"/>
      <c r="BB421" s="106"/>
      <c r="BC421" s="106"/>
      <c r="BD421" s="106"/>
      <c r="BE421" s="106"/>
      <c r="BF421" s="106"/>
      <c r="BG421" s="106"/>
      <c r="BH421" s="106"/>
      <c r="BI421" s="106"/>
    </row>
    <row r="422" spans="1:61" ht="15" customHeight="1">
      <c r="A422" s="106"/>
      <c r="B422" s="106"/>
      <c r="C422" s="106"/>
      <c r="D422" s="301"/>
      <c r="E422" s="301"/>
      <c r="F422" s="106"/>
      <c r="G422" s="106"/>
      <c r="H422" s="106"/>
      <c r="I422" s="106"/>
      <c r="J422" s="106"/>
      <c r="K422" s="106"/>
      <c r="L422" s="106"/>
      <c r="M422" s="106"/>
      <c r="N422" s="106"/>
      <c r="O422" s="106"/>
      <c r="P422" s="106"/>
      <c r="Q422" s="106"/>
      <c r="R422" s="106"/>
      <c r="S422" s="106"/>
      <c r="T422" s="106"/>
      <c r="U422" s="106"/>
      <c r="V422" s="106"/>
      <c r="W422" s="106"/>
      <c r="X422" s="106"/>
      <c r="Y422" s="106"/>
      <c r="Z422" s="106"/>
      <c r="AA422" s="106"/>
      <c r="AB422" s="106"/>
      <c r="AC422" s="106"/>
      <c r="AD422" s="106"/>
      <c r="AE422" s="106"/>
      <c r="AF422" s="106"/>
      <c r="AG422" s="106"/>
      <c r="AH422" s="106"/>
      <c r="AI422" s="106"/>
      <c r="AJ422" s="106"/>
      <c r="AK422" s="106"/>
      <c r="AL422" s="106"/>
      <c r="AM422" s="106"/>
      <c r="AN422" s="106"/>
      <c r="AO422" s="106"/>
      <c r="AP422" s="106"/>
      <c r="AQ422" s="106"/>
      <c r="AR422" s="106"/>
      <c r="AS422" s="106"/>
      <c r="AT422" s="106"/>
      <c r="AU422" s="106"/>
      <c r="AV422" s="106"/>
      <c r="AW422" s="106"/>
      <c r="AX422" s="106"/>
      <c r="AY422" s="106"/>
      <c r="AZ422" s="106"/>
      <c r="BA422" s="106"/>
      <c r="BB422" s="106"/>
      <c r="BC422" s="106"/>
      <c r="BD422" s="106"/>
      <c r="BE422" s="106"/>
      <c r="BF422" s="106"/>
      <c r="BG422" s="106"/>
      <c r="BH422" s="106"/>
      <c r="BI422" s="106"/>
    </row>
    <row r="423" spans="1:61" ht="15" customHeight="1">
      <c r="A423" s="106"/>
      <c r="B423" s="106"/>
      <c r="C423" s="106"/>
      <c r="D423" s="301"/>
      <c r="E423" s="301"/>
      <c r="F423" s="106"/>
      <c r="G423" s="106"/>
      <c r="H423" s="106"/>
      <c r="I423" s="106"/>
      <c r="J423" s="106"/>
      <c r="K423" s="106"/>
      <c r="L423" s="106"/>
      <c r="M423" s="106"/>
      <c r="N423" s="106"/>
      <c r="O423" s="106"/>
      <c r="P423" s="106"/>
      <c r="Q423" s="106"/>
      <c r="R423" s="106"/>
      <c r="S423" s="106"/>
      <c r="T423" s="106"/>
      <c r="U423" s="106"/>
      <c r="V423" s="106"/>
      <c r="W423" s="106"/>
      <c r="X423" s="106"/>
      <c r="Y423" s="106"/>
      <c r="Z423" s="106"/>
      <c r="AA423" s="106"/>
      <c r="AB423" s="106"/>
      <c r="AC423" s="106"/>
      <c r="AD423" s="106"/>
      <c r="AE423" s="106"/>
      <c r="AF423" s="106"/>
      <c r="AG423" s="106"/>
      <c r="AH423" s="106"/>
      <c r="AI423" s="106"/>
      <c r="AJ423" s="106"/>
      <c r="AK423" s="106"/>
      <c r="AL423" s="106"/>
      <c r="AM423" s="106"/>
      <c r="AN423" s="106"/>
      <c r="AO423" s="106"/>
      <c r="AP423" s="106"/>
      <c r="AQ423" s="106"/>
      <c r="AR423" s="106"/>
      <c r="AS423" s="106"/>
      <c r="AT423" s="106"/>
      <c r="AU423" s="106"/>
      <c r="AV423" s="106"/>
      <c r="AW423" s="106"/>
      <c r="AX423" s="106"/>
      <c r="AY423" s="106"/>
      <c r="AZ423" s="106"/>
      <c r="BA423" s="106"/>
      <c r="BB423" s="106"/>
      <c r="BC423" s="106"/>
      <c r="BD423" s="106"/>
      <c r="BE423" s="106"/>
      <c r="BF423" s="106"/>
      <c r="BG423" s="106"/>
      <c r="BH423" s="106"/>
      <c r="BI423" s="106"/>
    </row>
    <row r="424" spans="1:61" ht="15" customHeight="1">
      <c r="A424" s="106"/>
      <c r="B424" s="106"/>
      <c r="C424" s="106"/>
      <c r="D424" s="301"/>
      <c r="E424" s="301"/>
      <c r="F424" s="106"/>
      <c r="G424" s="106"/>
      <c r="H424" s="106"/>
      <c r="I424" s="106"/>
      <c r="J424" s="106"/>
      <c r="K424" s="106"/>
      <c r="L424" s="106"/>
      <c r="M424" s="106"/>
      <c r="N424" s="106"/>
      <c r="O424" s="106"/>
      <c r="P424" s="106"/>
      <c r="Q424" s="106"/>
      <c r="R424" s="106"/>
      <c r="S424" s="106"/>
      <c r="T424" s="106"/>
      <c r="U424" s="106"/>
      <c r="V424" s="106"/>
      <c r="W424" s="106"/>
      <c r="X424" s="106"/>
      <c r="Y424" s="106"/>
      <c r="Z424" s="106"/>
      <c r="AA424" s="106"/>
      <c r="AB424" s="106"/>
      <c r="AC424" s="106"/>
      <c r="AD424" s="106"/>
      <c r="AE424" s="106"/>
      <c r="AF424" s="106"/>
      <c r="AG424" s="106"/>
      <c r="AH424" s="106"/>
      <c r="AI424" s="106"/>
      <c r="AJ424" s="106"/>
      <c r="AK424" s="106"/>
      <c r="AL424" s="106"/>
      <c r="AM424" s="106"/>
      <c r="AN424" s="106"/>
      <c r="AO424" s="106"/>
      <c r="AP424" s="106"/>
      <c r="AQ424" s="106"/>
      <c r="AR424" s="106"/>
      <c r="AS424" s="106"/>
      <c r="AT424" s="106"/>
      <c r="AU424" s="106"/>
      <c r="AV424" s="106"/>
      <c r="AW424" s="106"/>
      <c r="AX424" s="106"/>
      <c r="AY424" s="106"/>
      <c r="AZ424" s="106"/>
      <c r="BA424" s="106"/>
      <c r="BB424" s="106"/>
      <c r="BC424" s="106"/>
      <c r="BD424" s="106"/>
      <c r="BE424" s="106"/>
      <c r="BF424" s="106"/>
      <c r="BG424" s="106"/>
      <c r="BH424" s="106"/>
      <c r="BI424" s="106"/>
    </row>
    <row r="425" spans="1:61" ht="15" customHeight="1">
      <c r="A425" s="106"/>
      <c r="B425" s="106"/>
      <c r="C425" s="106"/>
      <c r="D425" s="301"/>
      <c r="E425" s="301"/>
      <c r="F425" s="106"/>
      <c r="G425" s="106"/>
      <c r="H425" s="106"/>
      <c r="I425" s="106"/>
      <c r="J425" s="106"/>
      <c r="K425" s="106"/>
      <c r="L425" s="106"/>
      <c r="M425" s="106"/>
      <c r="N425" s="106"/>
      <c r="O425" s="106"/>
      <c r="P425" s="106"/>
      <c r="Q425" s="106"/>
      <c r="R425" s="106"/>
      <c r="S425" s="106"/>
      <c r="T425" s="106"/>
      <c r="U425" s="106"/>
      <c r="V425" s="106"/>
      <c r="W425" s="106"/>
      <c r="X425" s="106"/>
      <c r="Y425" s="106"/>
      <c r="Z425" s="106"/>
      <c r="AA425" s="106"/>
      <c r="AB425" s="106"/>
      <c r="AC425" s="106"/>
      <c r="AD425" s="106"/>
      <c r="AE425" s="106"/>
      <c r="AF425" s="106"/>
      <c r="AG425" s="106"/>
      <c r="AH425" s="106"/>
      <c r="AI425" s="106"/>
      <c r="AJ425" s="106"/>
      <c r="AK425" s="106"/>
      <c r="AL425" s="106"/>
      <c r="AM425" s="106"/>
      <c r="AN425" s="106"/>
      <c r="AO425" s="106"/>
      <c r="AP425" s="106"/>
      <c r="AQ425" s="106"/>
      <c r="AR425" s="106"/>
      <c r="AS425" s="106"/>
      <c r="AT425" s="106"/>
      <c r="AU425" s="106"/>
      <c r="AV425" s="106"/>
      <c r="AW425" s="106"/>
      <c r="AX425" s="106"/>
      <c r="AY425" s="106"/>
      <c r="AZ425" s="106"/>
      <c r="BA425" s="106"/>
      <c r="BB425" s="106"/>
      <c r="BC425" s="106"/>
      <c r="BD425" s="106"/>
      <c r="BE425" s="106"/>
      <c r="BF425" s="106"/>
      <c r="BG425" s="106"/>
      <c r="BH425" s="106"/>
      <c r="BI425" s="106"/>
    </row>
    <row r="426" spans="1:61" ht="15" customHeight="1">
      <c r="A426" s="106"/>
      <c r="B426" s="106"/>
      <c r="C426" s="106"/>
      <c r="D426" s="301"/>
      <c r="E426" s="301"/>
      <c r="F426" s="106"/>
      <c r="G426" s="106"/>
      <c r="H426" s="106"/>
      <c r="I426" s="106"/>
      <c r="J426" s="106"/>
      <c r="K426" s="106"/>
      <c r="L426" s="106"/>
      <c r="M426" s="106"/>
      <c r="N426" s="106"/>
      <c r="O426" s="106"/>
      <c r="P426" s="106"/>
      <c r="Q426" s="106"/>
      <c r="R426" s="106"/>
      <c r="S426" s="106"/>
      <c r="T426" s="106"/>
      <c r="U426" s="106"/>
      <c r="V426" s="106"/>
      <c r="W426" s="106"/>
      <c r="X426" s="106"/>
      <c r="Y426" s="106"/>
      <c r="Z426" s="106"/>
      <c r="AA426" s="106"/>
      <c r="AB426" s="106"/>
      <c r="AC426" s="106"/>
      <c r="AD426" s="106"/>
      <c r="AE426" s="106"/>
      <c r="AF426" s="106"/>
      <c r="AG426" s="106"/>
      <c r="AH426" s="106"/>
      <c r="AI426" s="106"/>
      <c r="AJ426" s="106"/>
      <c r="AK426" s="106"/>
      <c r="AL426" s="106"/>
      <c r="AM426" s="106"/>
      <c r="AN426" s="106"/>
      <c r="AO426" s="106"/>
      <c r="AP426" s="106"/>
      <c r="AQ426" s="106"/>
      <c r="AR426" s="106"/>
      <c r="AS426" s="106"/>
      <c r="AT426" s="106"/>
      <c r="AU426" s="106"/>
      <c r="AV426" s="106"/>
      <c r="AW426" s="106"/>
      <c r="AX426" s="106"/>
      <c r="AY426" s="106"/>
      <c r="AZ426" s="106"/>
      <c r="BA426" s="106"/>
      <c r="BB426" s="106"/>
      <c r="BC426" s="106"/>
      <c r="BD426" s="106"/>
      <c r="BE426" s="106"/>
      <c r="BF426" s="106"/>
      <c r="BG426" s="106"/>
      <c r="BH426" s="106"/>
      <c r="BI426" s="106"/>
    </row>
    <row r="427" spans="1:61" ht="15" customHeight="1">
      <c r="A427" s="106"/>
      <c r="B427" s="106"/>
      <c r="C427" s="106"/>
      <c r="D427" s="301"/>
      <c r="E427" s="301"/>
      <c r="F427" s="106"/>
      <c r="G427" s="106"/>
      <c r="H427" s="106"/>
      <c r="I427" s="106"/>
      <c r="J427" s="106"/>
      <c r="K427" s="106"/>
      <c r="L427" s="106"/>
      <c r="M427" s="106"/>
      <c r="N427" s="106"/>
      <c r="O427" s="106"/>
      <c r="P427" s="106"/>
      <c r="Q427" s="106"/>
      <c r="R427" s="106"/>
      <c r="S427" s="106"/>
      <c r="T427" s="106"/>
      <c r="U427" s="106"/>
      <c r="V427" s="106"/>
      <c r="W427" s="106"/>
      <c r="X427" s="106"/>
      <c r="Y427" s="106"/>
      <c r="Z427" s="106"/>
      <c r="AA427" s="106"/>
      <c r="AB427" s="106"/>
      <c r="AC427" s="106"/>
      <c r="AD427" s="106"/>
      <c r="AE427" s="106"/>
      <c r="AF427" s="106"/>
      <c r="AG427" s="106"/>
      <c r="AH427" s="106"/>
      <c r="AI427" s="106"/>
      <c r="AJ427" s="106"/>
      <c r="AK427" s="106"/>
      <c r="AL427" s="106"/>
      <c r="AM427" s="106"/>
      <c r="AN427" s="106"/>
      <c r="AO427" s="106"/>
      <c r="AP427" s="106"/>
      <c r="AQ427" s="106"/>
      <c r="AR427" s="106"/>
      <c r="AS427" s="106"/>
      <c r="AT427" s="106"/>
      <c r="AU427" s="106"/>
      <c r="AV427" s="106"/>
      <c r="AW427" s="106"/>
      <c r="AX427" s="106"/>
      <c r="AY427" s="106"/>
      <c r="AZ427" s="106"/>
      <c r="BA427" s="106"/>
      <c r="BB427" s="106"/>
      <c r="BC427" s="106"/>
      <c r="BD427" s="106"/>
      <c r="BE427" s="106"/>
      <c r="BF427" s="106"/>
      <c r="BG427" s="106"/>
      <c r="BH427" s="106"/>
      <c r="BI427" s="106"/>
    </row>
    <row r="428" spans="1:61" ht="15" customHeight="1">
      <c r="A428" s="106"/>
      <c r="B428" s="106"/>
      <c r="C428" s="106"/>
      <c r="D428" s="301"/>
      <c r="E428" s="301"/>
      <c r="F428" s="106"/>
      <c r="G428" s="106"/>
      <c r="H428" s="106"/>
      <c r="I428" s="106"/>
      <c r="J428" s="106"/>
      <c r="K428" s="106"/>
      <c r="L428" s="106"/>
      <c r="M428" s="106"/>
      <c r="N428" s="106"/>
      <c r="O428" s="106"/>
      <c r="P428" s="106"/>
      <c r="Q428" s="106"/>
      <c r="R428" s="106"/>
      <c r="S428" s="106"/>
      <c r="T428" s="106"/>
      <c r="U428" s="106"/>
      <c r="V428" s="106"/>
      <c r="W428" s="106"/>
      <c r="X428" s="106"/>
      <c r="Y428" s="106"/>
      <c r="Z428" s="106"/>
      <c r="AA428" s="106"/>
      <c r="AB428" s="106"/>
      <c r="AC428" s="106"/>
      <c r="AD428" s="106"/>
      <c r="AE428" s="106"/>
      <c r="AF428" s="106"/>
      <c r="AG428" s="106"/>
      <c r="AH428" s="106"/>
      <c r="AI428" s="106"/>
      <c r="AJ428" s="106"/>
      <c r="AK428" s="106"/>
      <c r="AL428" s="106"/>
      <c r="AM428" s="106"/>
      <c r="AN428" s="106"/>
      <c r="AO428" s="106"/>
      <c r="AP428" s="106"/>
      <c r="AQ428" s="106"/>
      <c r="AR428" s="106"/>
      <c r="AS428" s="106"/>
      <c r="AT428" s="106"/>
      <c r="AU428" s="106"/>
      <c r="AV428" s="106"/>
      <c r="AW428" s="106"/>
      <c r="AX428" s="106"/>
      <c r="AY428" s="106"/>
      <c r="AZ428" s="106"/>
      <c r="BA428" s="106"/>
      <c r="BB428" s="106"/>
      <c r="BC428" s="106"/>
      <c r="BD428" s="106"/>
      <c r="BE428" s="106"/>
      <c r="BF428" s="106"/>
      <c r="BG428" s="106"/>
      <c r="BH428" s="106"/>
      <c r="BI428" s="106"/>
    </row>
    <row r="429" spans="1:61" ht="15" customHeight="1">
      <c r="A429" s="106"/>
      <c r="B429" s="106"/>
      <c r="C429" s="106"/>
      <c r="D429" s="301"/>
      <c r="E429" s="301"/>
      <c r="F429" s="106"/>
      <c r="G429" s="106"/>
      <c r="H429" s="106"/>
      <c r="I429" s="106"/>
      <c r="J429" s="106"/>
      <c r="K429" s="106"/>
      <c r="L429" s="106"/>
      <c r="M429" s="106"/>
      <c r="N429" s="106"/>
      <c r="O429" s="106"/>
      <c r="P429" s="106"/>
      <c r="Q429" s="106"/>
      <c r="R429" s="106"/>
      <c r="S429" s="106"/>
      <c r="T429" s="106"/>
      <c r="U429" s="106"/>
      <c r="V429" s="106"/>
      <c r="W429" s="106"/>
      <c r="X429" s="106"/>
      <c r="Y429" s="106"/>
      <c r="Z429" s="106"/>
      <c r="AA429" s="106"/>
      <c r="AB429" s="106"/>
      <c r="AC429" s="106"/>
      <c r="AD429" s="106"/>
      <c r="AE429" s="106"/>
      <c r="AF429" s="106"/>
      <c r="AG429" s="106"/>
      <c r="AH429" s="106"/>
      <c r="AI429" s="106"/>
      <c r="AJ429" s="106"/>
      <c r="AK429" s="106"/>
      <c r="AL429" s="106"/>
      <c r="AM429" s="106"/>
      <c r="AN429" s="106"/>
      <c r="AO429" s="106"/>
      <c r="AP429" s="106"/>
      <c r="AQ429" s="106"/>
      <c r="AR429" s="106"/>
      <c r="AS429" s="106"/>
      <c r="AT429" s="106"/>
      <c r="AU429" s="106"/>
      <c r="AV429" s="106"/>
      <c r="AW429" s="106"/>
      <c r="AX429" s="106"/>
      <c r="AY429" s="106"/>
      <c r="AZ429" s="106"/>
      <c r="BA429" s="106"/>
      <c r="BB429" s="106"/>
      <c r="BC429" s="106"/>
      <c r="BD429" s="106"/>
      <c r="BE429" s="106"/>
      <c r="BF429" s="106"/>
      <c r="BG429" s="106"/>
      <c r="BH429" s="106"/>
      <c r="BI429" s="106"/>
    </row>
    <row r="430" spans="1:61" ht="15" customHeight="1">
      <c r="A430" s="106"/>
      <c r="B430" s="106"/>
      <c r="C430" s="106"/>
      <c r="D430" s="301"/>
      <c r="E430" s="301"/>
      <c r="F430" s="106"/>
      <c r="G430" s="106"/>
      <c r="H430" s="106"/>
      <c r="I430" s="106"/>
      <c r="J430" s="106"/>
      <c r="K430" s="106"/>
      <c r="L430" s="106"/>
      <c r="M430" s="106"/>
      <c r="N430" s="106"/>
      <c r="O430" s="106"/>
      <c r="P430" s="106"/>
      <c r="Q430" s="106"/>
      <c r="R430" s="106"/>
      <c r="S430" s="106"/>
      <c r="T430" s="106"/>
      <c r="U430" s="106"/>
      <c r="V430" s="106"/>
      <c r="W430" s="106"/>
      <c r="X430" s="106"/>
      <c r="Y430" s="106"/>
      <c r="Z430" s="106"/>
      <c r="AA430" s="106"/>
      <c r="AB430" s="106"/>
      <c r="AC430" s="106"/>
      <c r="AD430" s="106"/>
      <c r="AE430" s="106"/>
      <c r="AF430" s="106"/>
      <c r="AG430" s="106"/>
      <c r="AH430" s="106"/>
      <c r="AI430" s="106"/>
      <c r="AJ430" s="106"/>
      <c r="AK430" s="106"/>
      <c r="AL430" s="106"/>
      <c r="AM430" s="106"/>
      <c r="AN430" s="106"/>
      <c r="AO430" s="106"/>
      <c r="AP430" s="106"/>
      <c r="AQ430" s="106"/>
      <c r="AR430" s="106"/>
      <c r="AS430" s="106"/>
      <c r="AT430" s="106"/>
      <c r="AU430" s="106"/>
      <c r="AV430" s="106"/>
      <c r="AW430" s="106"/>
      <c r="AX430" s="106"/>
      <c r="AY430" s="106"/>
      <c r="AZ430" s="106"/>
      <c r="BA430" s="106"/>
      <c r="BB430" s="106"/>
      <c r="BC430" s="106"/>
      <c r="BD430" s="106"/>
      <c r="BE430" s="106"/>
      <c r="BF430" s="106"/>
      <c r="BG430" s="106"/>
      <c r="BH430" s="106"/>
      <c r="BI430" s="106"/>
    </row>
    <row r="431" spans="1:61" ht="15" customHeight="1">
      <c r="A431" s="106"/>
      <c r="B431" s="106"/>
      <c r="C431" s="106"/>
      <c r="D431" s="301"/>
      <c r="E431" s="301"/>
      <c r="F431" s="106"/>
      <c r="G431" s="106"/>
      <c r="H431" s="106"/>
      <c r="I431" s="106"/>
      <c r="J431" s="106"/>
      <c r="K431" s="106"/>
      <c r="L431" s="106"/>
      <c r="M431" s="106"/>
      <c r="N431" s="106"/>
      <c r="O431" s="106"/>
      <c r="P431" s="106"/>
      <c r="Q431" s="106"/>
      <c r="R431" s="106"/>
      <c r="S431" s="106"/>
      <c r="T431" s="106"/>
      <c r="U431" s="106"/>
      <c r="V431" s="106"/>
      <c r="W431" s="106"/>
      <c r="X431" s="106"/>
      <c r="Y431" s="106"/>
      <c r="Z431" s="106"/>
      <c r="AA431" s="106"/>
      <c r="AB431" s="106"/>
      <c r="AC431" s="106"/>
      <c r="AD431" s="106"/>
      <c r="AE431" s="106"/>
      <c r="AF431" s="106"/>
      <c r="AG431" s="106"/>
      <c r="AH431" s="106"/>
      <c r="AI431" s="106"/>
      <c r="AJ431" s="106"/>
      <c r="AK431" s="106"/>
      <c r="AL431" s="106"/>
      <c r="AM431" s="106"/>
      <c r="AN431" s="106"/>
      <c r="AO431" s="106"/>
      <c r="AP431" s="106"/>
      <c r="AQ431" s="106"/>
      <c r="AR431" s="106"/>
      <c r="AS431" s="106"/>
      <c r="AT431" s="106"/>
      <c r="AU431" s="106"/>
      <c r="AV431" s="106"/>
      <c r="AW431" s="106"/>
      <c r="AX431" s="106"/>
      <c r="AY431" s="106"/>
      <c r="AZ431" s="106"/>
      <c r="BA431" s="106"/>
      <c r="BB431" s="106"/>
      <c r="BC431" s="106"/>
      <c r="BD431" s="106"/>
      <c r="BE431" s="106"/>
      <c r="BF431" s="106"/>
      <c r="BG431" s="106"/>
      <c r="BH431" s="106"/>
      <c r="BI431" s="106"/>
    </row>
    <row r="432" spans="1:61" ht="15" customHeight="1">
      <c r="A432" s="106"/>
      <c r="B432" s="106"/>
      <c r="C432" s="106"/>
      <c r="D432" s="301"/>
      <c r="E432" s="301"/>
      <c r="F432" s="106"/>
      <c r="G432" s="106"/>
      <c r="H432" s="106"/>
      <c r="I432" s="106"/>
      <c r="J432" s="106"/>
      <c r="K432" s="106"/>
      <c r="L432" s="106"/>
      <c r="M432" s="106"/>
      <c r="N432" s="106"/>
      <c r="O432" s="106"/>
      <c r="P432" s="106"/>
      <c r="Q432" s="106"/>
      <c r="R432" s="106"/>
      <c r="S432" s="106"/>
      <c r="T432" s="106"/>
      <c r="U432" s="106"/>
      <c r="V432" s="106"/>
      <c r="W432" s="106"/>
      <c r="X432" s="106"/>
      <c r="Y432" s="106"/>
      <c r="Z432" s="106"/>
      <c r="AA432" s="106"/>
      <c r="AB432" s="106"/>
      <c r="AC432" s="106"/>
      <c r="AD432" s="106"/>
      <c r="AE432" s="106"/>
      <c r="AF432" s="106"/>
      <c r="AG432" s="106"/>
      <c r="AH432" s="106"/>
      <c r="AI432" s="106"/>
      <c r="AJ432" s="106"/>
      <c r="AK432" s="106"/>
      <c r="AL432" s="106"/>
      <c r="AM432" s="106"/>
      <c r="AN432" s="106"/>
      <c r="AO432" s="106"/>
      <c r="AP432" s="106"/>
      <c r="AQ432" s="106"/>
      <c r="AR432" s="106"/>
      <c r="AS432" s="106"/>
      <c r="AT432" s="106"/>
      <c r="AU432" s="106"/>
      <c r="AV432" s="106"/>
      <c r="AW432" s="106"/>
      <c r="AX432" s="106"/>
      <c r="AY432" s="106"/>
      <c r="AZ432" s="106"/>
      <c r="BA432" s="106"/>
      <c r="BB432" s="106"/>
      <c r="BC432" s="106"/>
      <c r="BD432" s="106"/>
      <c r="BE432" s="106"/>
      <c r="BF432" s="106"/>
      <c r="BG432" s="106"/>
      <c r="BH432" s="106"/>
      <c r="BI432" s="106"/>
    </row>
    <row r="433" spans="1:61" ht="15" customHeight="1">
      <c r="A433" s="106"/>
      <c r="B433" s="106"/>
      <c r="C433" s="106"/>
      <c r="D433" s="301"/>
      <c r="E433" s="301"/>
      <c r="F433" s="106"/>
      <c r="G433" s="106"/>
      <c r="H433" s="106"/>
      <c r="I433" s="106"/>
      <c r="J433" s="106"/>
      <c r="K433" s="106"/>
      <c r="L433" s="106"/>
      <c r="M433" s="106"/>
      <c r="N433" s="106"/>
      <c r="O433" s="106"/>
      <c r="P433" s="106"/>
      <c r="Q433" s="106"/>
      <c r="R433" s="106"/>
      <c r="S433" s="106"/>
      <c r="T433" s="106"/>
      <c r="U433" s="106"/>
      <c r="V433" s="106"/>
      <c r="W433" s="106"/>
      <c r="X433" s="106"/>
      <c r="Y433" s="106"/>
      <c r="Z433" s="106"/>
      <c r="AA433" s="106"/>
      <c r="AB433" s="106"/>
      <c r="AC433" s="106"/>
      <c r="AD433" s="106"/>
      <c r="AE433" s="106"/>
      <c r="AF433" s="106"/>
      <c r="AG433" s="106"/>
      <c r="AH433" s="106"/>
      <c r="AI433" s="106"/>
      <c r="AJ433" s="106"/>
      <c r="AK433" s="106"/>
      <c r="AL433" s="106"/>
      <c r="AM433" s="106"/>
      <c r="AN433" s="106"/>
      <c r="AO433" s="106"/>
      <c r="AP433" s="106"/>
      <c r="AQ433" s="106"/>
      <c r="AR433" s="106"/>
      <c r="AS433" s="106"/>
      <c r="AT433" s="106"/>
      <c r="AU433" s="106"/>
      <c r="AV433" s="106"/>
      <c r="AW433" s="106"/>
      <c r="AX433" s="106"/>
      <c r="AY433" s="106"/>
      <c r="AZ433" s="106"/>
      <c r="BA433" s="106"/>
      <c r="BB433" s="106"/>
      <c r="BC433" s="106"/>
      <c r="BD433" s="106"/>
      <c r="BE433" s="106"/>
      <c r="BF433" s="106"/>
      <c r="BG433" s="106"/>
      <c r="BH433" s="106"/>
      <c r="BI433" s="106"/>
    </row>
    <row r="434" spans="1:61" ht="15" customHeight="1">
      <c r="A434" s="106"/>
      <c r="B434" s="106"/>
      <c r="C434" s="106"/>
      <c r="D434" s="301"/>
      <c r="E434" s="301"/>
      <c r="F434" s="106"/>
      <c r="G434" s="106"/>
      <c r="H434" s="106"/>
      <c r="I434" s="106"/>
      <c r="J434" s="106"/>
      <c r="K434" s="106"/>
      <c r="L434" s="106"/>
      <c r="M434" s="106"/>
      <c r="N434" s="106"/>
      <c r="O434" s="106"/>
      <c r="P434" s="106"/>
      <c r="Q434" s="106"/>
      <c r="R434" s="106"/>
      <c r="S434" s="106"/>
      <c r="T434" s="106"/>
      <c r="U434" s="106"/>
      <c r="V434" s="106"/>
      <c r="W434" s="106"/>
      <c r="X434" s="106"/>
      <c r="Y434" s="106"/>
      <c r="Z434" s="106"/>
      <c r="AA434" s="106"/>
      <c r="AB434" s="106"/>
      <c r="AC434" s="106"/>
      <c r="AD434" s="106"/>
      <c r="AE434" s="106"/>
      <c r="AF434" s="106"/>
      <c r="AG434" s="106"/>
      <c r="AH434" s="106"/>
      <c r="AI434" s="106"/>
      <c r="AJ434" s="106"/>
      <c r="AK434" s="106"/>
      <c r="AL434" s="106"/>
      <c r="AM434" s="106"/>
      <c r="AN434" s="106"/>
      <c r="AO434" s="106"/>
      <c r="AP434" s="106"/>
      <c r="AQ434" s="106"/>
      <c r="AR434" s="106"/>
      <c r="AS434" s="106"/>
      <c r="AT434" s="106"/>
      <c r="AU434" s="106"/>
      <c r="AV434" s="106"/>
      <c r="AW434" s="106"/>
      <c r="AX434" s="106"/>
      <c r="AY434" s="106"/>
      <c r="AZ434" s="106"/>
      <c r="BA434" s="106"/>
      <c r="BB434" s="106"/>
      <c r="BC434" s="106"/>
      <c r="BD434" s="106"/>
      <c r="BE434" s="106"/>
      <c r="BF434" s="106"/>
      <c r="BG434" s="106"/>
      <c r="BH434" s="106"/>
      <c r="BI434" s="106"/>
    </row>
    <row r="435" spans="1:61" ht="15" customHeight="1">
      <c r="A435" s="106"/>
      <c r="B435" s="106"/>
      <c r="C435" s="106"/>
      <c r="D435" s="301"/>
      <c r="E435" s="301"/>
      <c r="F435" s="106"/>
      <c r="G435" s="106"/>
      <c r="H435" s="106"/>
      <c r="I435" s="106"/>
      <c r="J435" s="106"/>
      <c r="K435" s="106"/>
      <c r="L435" s="106"/>
      <c r="M435" s="106"/>
      <c r="N435" s="106"/>
      <c r="O435" s="106"/>
      <c r="P435" s="106"/>
      <c r="Q435" s="106"/>
      <c r="R435" s="106"/>
      <c r="S435" s="106"/>
      <c r="T435" s="106"/>
      <c r="U435" s="106"/>
      <c r="V435" s="106"/>
      <c r="W435" s="106"/>
      <c r="X435" s="106"/>
      <c r="Y435" s="106"/>
      <c r="Z435" s="106"/>
      <c r="AA435" s="106"/>
      <c r="AB435" s="106"/>
      <c r="AC435" s="106"/>
      <c r="AD435" s="106"/>
      <c r="AE435" s="106"/>
      <c r="AF435" s="106"/>
      <c r="AG435" s="106"/>
      <c r="AH435" s="106"/>
      <c r="AI435" s="106"/>
      <c r="AJ435" s="106"/>
      <c r="AK435" s="106"/>
      <c r="AL435" s="106"/>
      <c r="AM435" s="106"/>
      <c r="AN435" s="106"/>
      <c r="AO435" s="106"/>
      <c r="AP435" s="106"/>
      <c r="AQ435" s="106"/>
      <c r="AR435" s="106"/>
      <c r="AS435" s="106"/>
      <c r="AT435" s="106"/>
      <c r="AU435" s="106"/>
      <c r="AV435" s="106"/>
      <c r="AW435" s="106"/>
      <c r="AX435" s="106"/>
      <c r="AY435" s="106"/>
      <c r="AZ435" s="106"/>
      <c r="BA435" s="106"/>
      <c r="BB435" s="106"/>
      <c r="BC435" s="106"/>
      <c r="BD435" s="106"/>
      <c r="BE435" s="106"/>
      <c r="BF435" s="106"/>
      <c r="BG435" s="106"/>
      <c r="BH435" s="106"/>
      <c r="BI435" s="106"/>
    </row>
    <row r="436" spans="1:61" ht="15" customHeight="1">
      <c r="A436" s="106"/>
      <c r="B436" s="106"/>
      <c r="C436" s="106"/>
      <c r="D436" s="301"/>
      <c r="E436" s="301"/>
      <c r="F436" s="106"/>
      <c r="G436" s="106"/>
      <c r="H436" s="106"/>
      <c r="I436" s="106"/>
      <c r="J436" s="106"/>
      <c r="K436" s="106"/>
      <c r="L436" s="106"/>
      <c r="M436" s="106"/>
      <c r="N436" s="106"/>
      <c r="O436" s="106"/>
      <c r="P436" s="106"/>
      <c r="Q436" s="106"/>
      <c r="R436" s="106"/>
      <c r="S436" s="106"/>
      <c r="T436" s="106"/>
      <c r="U436" s="106"/>
      <c r="V436" s="106"/>
      <c r="W436" s="106"/>
      <c r="X436" s="106"/>
      <c r="Y436" s="106"/>
      <c r="Z436" s="106"/>
      <c r="AA436" s="106"/>
      <c r="AB436" s="106"/>
      <c r="AC436" s="106"/>
      <c r="AD436" s="106"/>
      <c r="AE436" s="106"/>
      <c r="AF436" s="106"/>
      <c r="AG436" s="106"/>
      <c r="AH436" s="106"/>
      <c r="AI436" s="106"/>
      <c r="AJ436" s="106"/>
      <c r="AK436" s="106"/>
      <c r="AL436" s="106"/>
      <c r="AM436" s="106"/>
      <c r="AN436" s="106"/>
      <c r="AO436" s="106"/>
      <c r="AP436" s="106"/>
      <c r="AQ436" s="106"/>
      <c r="AR436" s="106"/>
      <c r="AS436" s="106"/>
      <c r="AT436" s="106"/>
      <c r="AU436" s="106"/>
      <c r="AV436" s="106"/>
      <c r="AW436" s="106"/>
      <c r="AX436" s="106"/>
      <c r="AY436" s="106"/>
      <c r="AZ436" s="106"/>
      <c r="BA436" s="106"/>
      <c r="BB436" s="106"/>
      <c r="BC436" s="106"/>
      <c r="BD436" s="106"/>
      <c r="BE436" s="106"/>
      <c r="BF436" s="106"/>
      <c r="BG436" s="106"/>
      <c r="BH436" s="106"/>
      <c r="BI436" s="106"/>
    </row>
    <row r="437" spans="1:61" ht="15" customHeight="1">
      <c r="A437" s="106"/>
      <c r="B437" s="106"/>
      <c r="C437" s="106"/>
      <c r="D437" s="301"/>
      <c r="E437" s="301"/>
      <c r="F437" s="106"/>
      <c r="G437" s="106"/>
      <c r="H437" s="106"/>
      <c r="I437" s="106"/>
      <c r="J437" s="106"/>
      <c r="K437" s="106"/>
      <c r="L437" s="106"/>
      <c r="M437" s="106"/>
      <c r="N437" s="106"/>
      <c r="O437" s="106"/>
      <c r="P437" s="106"/>
      <c r="Q437" s="106"/>
      <c r="R437" s="106"/>
      <c r="S437" s="106"/>
      <c r="T437" s="106"/>
      <c r="U437" s="106"/>
      <c r="V437" s="106"/>
      <c r="W437" s="106"/>
      <c r="X437" s="106"/>
      <c r="Y437" s="106"/>
      <c r="Z437" s="106"/>
      <c r="AA437" s="106"/>
      <c r="AB437" s="106"/>
      <c r="AC437" s="106"/>
      <c r="AD437" s="106"/>
      <c r="AE437" s="106"/>
      <c r="AF437" s="106"/>
      <c r="AG437" s="106"/>
      <c r="AH437" s="106"/>
      <c r="AI437" s="106"/>
      <c r="AJ437" s="106"/>
      <c r="AK437" s="106"/>
      <c r="AL437" s="106"/>
      <c r="AM437" s="106"/>
      <c r="AN437" s="106"/>
      <c r="AO437" s="106"/>
      <c r="AP437" s="106"/>
      <c r="AQ437" s="106"/>
      <c r="AR437" s="106"/>
      <c r="AS437" s="106"/>
      <c r="AT437" s="106"/>
      <c r="AU437" s="106"/>
      <c r="AV437" s="106"/>
      <c r="AW437" s="106"/>
      <c r="AX437" s="106"/>
      <c r="AY437" s="106"/>
      <c r="AZ437" s="106"/>
      <c r="BA437" s="106"/>
      <c r="BB437" s="106"/>
      <c r="BC437" s="106"/>
      <c r="BD437" s="106"/>
      <c r="BE437" s="106"/>
      <c r="BF437" s="106"/>
      <c r="BG437" s="106"/>
      <c r="BH437" s="106"/>
      <c r="BI437" s="106"/>
    </row>
    <row r="438" spans="1:61" ht="15" customHeight="1">
      <c r="A438" s="106"/>
      <c r="B438" s="106"/>
      <c r="C438" s="106"/>
      <c r="D438" s="301"/>
      <c r="E438" s="301"/>
      <c r="F438" s="106"/>
      <c r="G438" s="106"/>
      <c r="H438" s="106"/>
      <c r="I438" s="106"/>
      <c r="J438" s="106"/>
      <c r="K438" s="106"/>
      <c r="L438" s="106"/>
      <c r="M438" s="106"/>
      <c r="N438" s="106"/>
      <c r="O438" s="106"/>
      <c r="P438" s="106"/>
      <c r="Q438" s="106"/>
      <c r="R438" s="106"/>
      <c r="S438" s="106"/>
      <c r="T438" s="106"/>
      <c r="U438" s="106"/>
      <c r="V438" s="106"/>
      <c r="W438" s="106"/>
      <c r="X438" s="106"/>
      <c r="Y438" s="106"/>
      <c r="Z438" s="106"/>
      <c r="AA438" s="106"/>
      <c r="AB438" s="106"/>
      <c r="AC438" s="106"/>
      <c r="AD438" s="106"/>
      <c r="AE438" s="106"/>
      <c r="AF438" s="106"/>
      <c r="AG438" s="106"/>
      <c r="AH438" s="106"/>
      <c r="AI438" s="106"/>
      <c r="AJ438" s="106"/>
      <c r="AK438" s="106"/>
      <c r="AL438" s="106"/>
      <c r="AM438" s="106"/>
      <c r="AN438" s="106"/>
      <c r="AO438" s="106"/>
      <c r="AP438" s="106"/>
      <c r="AQ438" s="106"/>
      <c r="AR438" s="106"/>
      <c r="AS438" s="106"/>
      <c r="AT438" s="106"/>
      <c r="AU438" s="106"/>
      <c r="AV438" s="106"/>
      <c r="AW438" s="106"/>
      <c r="AX438" s="106"/>
      <c r="AY438" s="106"/>
      <c r="AZ438" s="106"/>
      <c r="BA438" s="106"/>
      <c r="BB438" s="106"/>
      <c r="BC438" s="106"/>
      <c r="BD438" s="106"/>
      <c r="BE438" s="106"/>
      <c r="BF438" s="106"/>
      <c r="BG438" s="106"/>
      <c r="BH438" s="106"/>
      <c r="BI438" s="106"/>
    </row>
    <row r="439" spans="1:61" ht="15" customHeight="1">
      <c r="A439" s="106"/>
      <c r="B439" s="106"/>
      <c r="C439" s="106"/>
      <c r="D439" s="301"/>
      <c r="E439" s="301"/>
      <c r="F439" s="106"/>
      <c r="G439" s="106"/>
      <c r="H439" s="106"/>
      <c r="I439" s="106"/>
      <c r="J439" s="106"/>
      <c r="K439" s="106"/>
      <c r="L439" s="106"/>
      <c r="M439" s="106"/>
      <c r="N439" s="106"/>
      <c r="O439" s="106"/>
      <c r="P439" s="106"/>
      <c r="Q439" s="106"/>
      <c r="R439" s="106"/>
      <c r="S439" s="106"/>
      <c r="T439" s="106"/>
      <c r="U439" s="106"/>
      <c r="V439" s="106"/>
      <c r="W439" s="106"/>
      <c r="X439" s="106"/>
      <c r="Y439" s="106"/>
      <c r="Z439" s="106"/>
      <c r="AA439" s="106"/>
      <c r="AB439" s="106"/>
      <c r="AC439" s="106"/>
      <c r="AD439" s="106"/>
      <c r="AE439" s="106"/>
      <c r="AF439" s="106"/>
      <c r="AG439" s="106"/>
      <c r="AH439" s="106"/>
      <c r="AI439" s="106"/>
      <c r="AJ439" s="106"/>
      <c r="AK439" s="106"/>
      <c r="AL439" s="106"/>
      <c r="AM439" s="106"/>
      <c r="AN439" s="106"/>
      <c r="AO439" s="106"/>
      <c r="AP439" s="106"/>
      <c r="AQ439" s="106"/>
      <c r="AR439" s="106"/>
      <c r="AS439" s="106"/>
      <c r="AT439" s="106"/>
      <c r="AU439" s="106"/>
      <c r="AV439" s="106"/>
      <c r="AW439" s="106"/>
      <c r="AX439" s="106"/>
      <c r="AY439" s="106"/>
      <c r="AZ439" s="106"/>
      <c r="BA439" s="106"/>
      <c r="BB439" s="106"/>
      <c r="BC439" s="106"/>
      <c r="BD439" s="106"/>
      <c r="BE439" s="106"/>
      <c r="BF439" s="106"/>
      <c r="BG439" s="106"/>
      <c r="BH439" s="106"/>
      <c r="BI439" s="106"/>
    </row>
    <row r="440" spans="1:61" ht="15" customHeight="1">
      <c r="A440" s="106"/>
      <c r="B440" s="106"/>
      <c r="C440" s="106"/>
      <c r="D440" s="301"/>
      <c r="E440" s="301"/>
      <c r="F440" s="106"/>
      <c r="G440" s="106"/>
      <c r="H440" s="106"/>
      <c r="I440" s="106"/>
      <c r="J440" s="106"/>
      <c r="K440" s="106"/>
      <c r="L440" s="106"/>
      <c r="M440" s="106"/>
      <c r="N440" s="106"/>
      <c r="O440" s="106"/>
      <c r="P440" s="106"/>
      <c r="Q440" s="106"/>
      <c r="R440" s="106"/>
      <c r="S440" s="106"/>
      <c r="T440" s="106"/>
      <c r="U440" s="106"/>
      <c r="V440" s="106"/>
      <c r="W440" s="106"/>
      <c r="X440" s="106"/>
      <c r="Y440" s="106"/>
      <c r="Z440" s="106"/>
      <c r="AA440" s="106"/>
      <c r="AB440" s="106"/>
      <c r="AC440" s="106"/>
      <c r="AD440" s="106"/>
      <c r="AE440" s="106"/>
      <c r="AF440" s="106"/>
      <c r="AG440" s="106"/>
      <c r="AH440" s="106"/>
      <c r="AI440" s="106"/>
      <c r="AJ440" s="106"/>
      <c r="AK440" s="106"/>
      <c r="AL440" s="106"/>
      <c r="AM440" s="106"/>
      <c r="AN440" s="106"/>
      <c r="AO440" s="106"/>
      <c r="AP440" s="106"/>
      <c r="AQ440" s="106"/>
      <c r="AR440" s="106"/>
      <c r="AS440" s="106"/>
      <c r="AT440" s="106"/>
      <c r="AU440" s="106"/>
      <c r="AV440" s="106"/>
      <c r="AW440" s="106"/>
      <c r="AX440" s="106"/>
      <c r="AY440" s="106"/>
      <c r="AZ440" s="106"/>
      <c r="BA440" s="106"/>
      <c r="BB440" s="106"/>
      <c r="BC440" s="106"/>
      <c r="BD440" s="106"/>
      <c r="BE440" s="106"/>
      <c r="BF440" s="106"/>
      <c r="BG440" s="106"/>
      <c r="BH440" s="106"/>
      <c r="BI440" s="106"/>
    </row>
    <row r="441" spans="1:61" ht="15" customHeight="1">
      <c r="A441" s="106"/>
      <c r="B441" s="106"/>
      <c r="C441" s="106"/>
      <c r="D441" s="301"/>
      <c r="E441" s="301"/>
      <c r="F441" s="106"/>
      <c r="G441" s="106"/>
      <c r="H441" s="106"/>
      <c r="I441" s="106"/>
      <c r="J441" s="106"/>
      <c r="K441" s="106"/>
      <c r="L441" s="106"/>
      <c r="M441" s="106"/>
      <c r="N441" s="106"/>
      <c r="O441" s="106"/>
      <c r="P441" s="106"/>
      <c r="Q441" s="106"/>
      <c r="R441" s="106"/>
      <c r="S441" s="106"/>
      <c r="T441" s="106"/>
      <c r="U441" s="106"/>
      <c r="V441" s="106"/>
      <c r="W441" s="106"/>
      <c r="X441" s="106"/>
      <c r="Y441" s="106"/>
      <c r="Z441" s="106"/>
      <c r="AA441" s="106"/>
      <c r="AB441" s="106"/>
      <c r="AC441" s="106"/>
      <c r="AD441" s="106"/>
      <c r="AE441" s="106"/>
      <c r="AF441" s="106"/>
      <c r="AG441" s="106"/>
      <c r="AH441" s="106"/>
      <c r="AI441" s="106"/>
      <c r="AJ441" s="106"/>
      <c r="AK441" s="106"/>
      <c r="AL441" s="106"/>
      <c r="AM441" s="106"/>
      <c r="AN441" s="106"/>
      <c r="AO441" s="106"/>
      <c r="AP441" s="106"/>
      <c r="AQ441" s="106"/>
      <c r="AR441" s="106"/>
      <c r="AS441" s="106"/>
      <c r="AT441" s="106"/>
      <c r="AU441" s="106"/>
      <c r="AV441" s="106"/>
      <c r="AW441" s="106"/>
      <c r="AX441" s="106"/>
      <c r="AY441" s="106"/>
      <c r="AZ441" s="106"/>
      <c r="BA441" s="106"/>
      <c r="BB441" s="106"/>
      <c r="BC441" s="106"/>
      <c r="BD441" s="106"/>
      <c r="BE441" s="106"/>
      <c r="BF441" s="106"/>
      <c r="BG441" s="106"/>
      <c r="BH441" s="106"/>
      <c r="BI441" s="106"/>
    </row>
    <row r="442" spans="1:61" ht="15" customHeight="1">
      <c r="A442" s="106"/>
      <c r="B442" s="106"/>
      <c r="C442" s="106"/>
      <c r="D442" s="301"/>
      <c r="E442" s="301"/>
      <c r="F442" s="106"/>
      <c r="G442" s="106"/>
      <c r="H442" s="106"/>
      <c r="I442" s="106"/>
      <c r="J442" s="106"/>
      <c r="K442" s="106"/>
      <c r="L442" s="106"/>
      <c r="M442" s="106"/>
      <c r="N442" s="106"/>
      <c r="O442" s="106"/>
      <c r="P442" s="106"/>
      <c r="Q442" s="106"/>
      <c r="R442" s="106"/>
      <c r="S442" s="106"/>
      <c r="T442" s="106"/>
      <c r="U442" s="106"/>
      <c r="V442" s="106"/>
      <c r="W442" s="106"/>
      <c r="X442" s="106"/>
      <c r="Y442" s="106"/>
      <c r="Z442" s="106"/>
      <c r="AA442" s="106"/>
      <c r="AB442" s="106"/>
      <c r="AC442" s="106"/>
      <c r="AD442" s="106"/>
      <c r="AE442" s="106"/>
      <c r="AF442" s="106"/>
      <c r="AG442" s="106"/>
      <c r="AH442" s="106"/>
      <c r="AI442" s="106"/>
      <c r="AJ442" s="106"/>
      <c r="AK442" s="106"/>
      <c r="AL442" s="106"/>
      <c r="AM442" s="106"/>
      <c r="AN442" s="106"/>
      <c r="AO442" s="106"/>
      <c r="AP442" s="106"/>
      <c r="AQ442" s="106"/>
      <c r="AR442" s="106"/>
      <c r="AS442" s="106"/>
      <c r="AT442" s="106"/>
      <c r="AU442" s="106"/>
      <c r="AV442" s="106"/>
      <c r="AW442" s="106"/>
      <c r="AX442" s="106"/>
      <c r="AY442" s="106"/>
      <c r="AZ442" s="106"/>
      <c r="BA442" s="106"/>
      <c r="BB442" s="106"/>
      <c r="BC442" s="106"/>
      <c r="BD442" s="106"/>
      <c r="BE442" s="106"/>
      <c r="BF442" s="106"/>
      <c r="BG442" s="106"/>
      <c r="BH442" s="106"/>
      <c r="BI442" s="106"/>
    </row>
    <row r="443" spans="1:61" ht="15" customHeight="1">
      <c r="A443" s="106"/>
      <c r="B443" s="106"/>
      <c r="C443" s="106"/>
      <c r="D443" s="301"/>
      <c r="E443" s="301"/>
      <c r="F443" s="106"/>
      <c r="G443" s="106"/>
      <c r="H443" s="106"/>
      <c r="I443" s="106"/>
      <c r="J443" s="106"/>
      <c r="K443" s="106"/>
      <c r="L443" s="106"/>
      <c r="M443" s="106"/>
      <c r="N443" s="106"/>
      <c r="O443" s="106"/>
      <c r="P443" s="106"/>
      <c r="Q443" s="106"/>
      <c r="R443" s="106"/>
      <c r="S443" s="106"/>
      <c r="T443" s="106"/>
      <c r="U443" s="106"/>
      <c r="V443" s="106"/>
      <c r="W443" s="106"/>
      <c r="X443" s="106"/>
      <c r="Y443" s="106"/>
      <c r="Z443" s="106"/>
      <c r="AA443" s="106"/>
      <c r="AB443" s="106"/>
      <c r="AC443" s="106"/>
      <c r="AD443" s="106"/>
      <c r="AE443" s="106"/>
      <c r="AF443" s="106"/>
      <c r="AG443" s="106"/>
      <c r="AH443" s="106"/>
      <c r="AI443" s="106"/>
      <c r="AJ443" s="106"/>
      <c r="AK443" s="106"/>
      <c r="AL443" s="106"/>
      <c r="AM443" s="106"/>
      <c r="AN443" s="106"/>
      <c r="AO443" s="106"/>
      <c r="AP443" s="106"/>
      <c r="AQ443" s="106"/>
      <c r="AR443" s="106"/>
      <c r="AS443" s="106"/>
      <c r="AT443" s="106"/>
      <c r="AU443" s="106"/>
      <c r="AV443" s="106"/>
      <c r="AW443" s="106"/>
      <c r="AX443" s="106"/>
      <c r="AY443" s="106"/>
      <c r="AZ443" s="106"/>
      <c r="BA443" s="106"/>
      <c r="BB443" s="106"/>
      <c r="BC443" s="106"/>
      <c r="BD443" s="106"/>
      <c r="BE443" s="106"/>
      <c r="BF443" s="106"/>
      <c r="BG443" s="106"/>
      <c r="BH443" s="106"/>
      <c r="BI443" s="106"/>
    </row>
    <row r="444" spans="1:61" ht="15" customHeight="1">
      <c r="A444" s="106"/>
      <c r="B444" s="106"/>
      <c r="C444" s="106"/>
      <c r="D444" s="301"/>
      <c r="E444" s="301"/>
      <c r="F444" s="106"/>
      <c r="G444" s="106"/>
      <c r="H444" s="106"/>
      <c r="I444" s="106"/>
      <c r="J444" s="106"/>
      <c r="K444" s="106"/>
      <c r="L444" s="106"/>
      <c r="M444" s="106"/>
      <c r="N444" s="106"/>
      <c r="O444" s="106"/>
      <c r="P444" s="106"/>
      <c r="Q444" s="106"/>
      <c r="R444" s="106"/>
      <c r="S444" s="106"/>
      <c r="T444" s="106"/>
      <c r="U444" s="106"/>
      <c r="V444" s="106"/>
      <c r="W444" s="106"/>
      <c r="X444" s="106"/>
      <c r="Y444" s="106"/>
      <c r="Z444" s="106"/>
      <c r="AA444" s="106"/>
      <c r="AB444" s="106"/>
      <c r="AC444" s="106"/>
      <c r="AD444" s="106"/>
      <c r="AE444" s="106"/>
      <c r="AF444" s="106"/>
      <c r="AG444" s="106"/>
      <c r="AH444" s="106"/>
      <c r="AI444" s="106"/>
      <c r="AJ444" s="106"/>
      <c r="AK444" s="106"/>
      <c r="AL444" s="106"/>
      <c r="AM444" s="106"/>
      <c r="AN444" s="106"/>
      <c r="AO444" s="106"/>
      <c r="AP444" s="106"/>
      <c r="AQ444" s="106"/>
      <c r="AR444" s="106"/>
      <c r="AS444" s="106"/>
      <c r="AT444" s="106"/>
      <c r="AU444" s="106"/>
      <c r="AV444" s="106"/>
      <c r="AW444" s="106"/>
      <c r="AX444" s="106"/>
      <c r="AY444" s="106"/>
      <c r="AZ444" s="106"/>
      <c r="BA444" s="106"/>
      <c r="BB444" s="106"/>
      <c r="BC444" s="106"/>
      <c r="BD444" s="106"/>
      <c r="BE444" s="106"/>
      <c r="BF444" s="106"/>
      <c r="BG444" s="106"/>
      <c r="BH444" s="106"/>
      <c r="BI444" s="106"/>
    </row>
    <row r="445" spans="1:61" ht="15" customHeight="1">
      <c r="A445" s="106"/>
      <c r="B445" s="106"/>
      <c r="C445" s="106"/>
      <c r="D445" s="301"/>
      <c r="E445" s="301"/>
      <c r="F445" s="106"/>
      <c r="G445" s="106"/>
      <c r="H445" s="106"/>
      <c r="I445" s="106"/>
      <c r="J445" s="106"/>
      <c r="K445" s="106"/>
      <c r="L445" s="106"/>
      <c r="M445" s="106"/>
      <c r="N445" s="106"/>
      <c r="O445" s="106"/>
      <c r="P445" s="106"/>
      <c r="Q445" s="106"/>
      <c r="R445" s="106"/>
      <c r="S445" s="106"/>
      <c r="T445" s="106"/>
      <c r="U445" s="106"/>
      <c r="V445" s="106"/>
      <c r="W445" s="106"/>
      <c r="X445" s="106"/>
      <c r="Y445" s="106"/>
      <c r="Z445" s="106"/>
      <c r="AA445" s="106"/>
      <c r="AB445" s="106"/>
      <c r="AC445" s="106"/>
      <c r="AD445" s="106"/>
      <c r="AE445" s="106"/>
      <c r="AF445" s="106"/>
      <c r="AG445" s="106"/>
      <c r="AH445" s="106"/>
      <c r="AI445" s="106"/>
      <c r="AJ445" s="106"/>
      <c r="AK445" s="106"/>
      <c r="AL445" s="106"/>
      <c r="AM445" s="106"/>
      <c r="AN445" s="106"/>
      <c r="AO445" s="106"/>
      <c r="AP445" s="106"/>
      <c r="AQ445" s="106"/>
      <c r="AR445" s="106"/>
      <c r="AS445" s="106"/>
      <c r="AT445" s="106"/>
      <c r="AU445" s="106"/>
      <c r="AV445" s="106"/>
      <c r="AW445" s="106"/>
      <c r="AX445" s="106"/>
      <c r="AY445" s="106"/>
      <c r="AZ445" s="106"/>
      <c r="BA445" s="106"/>
      <c r="BB445" s="106"/>
      <c r="BC445" s="106"/>
      <c r="BD445" s="106"/>
      <c r="BE445" s="106"/>
      <c r="BF445" s="106"/>
      <c r="BG445" s="106"/>
      <c r="BH445" s="106"/>
      <c r="BI445" s="106"/>
    </row>
    <row r="446" spans="1:61" ht="15" customHeight="1">
      <c r="A446" s="106"/>
      <c r="B446" s="106"/>
      <c r="C446" s="106"/>
      <c r="D446" s="301"/>
      <c r="E446" s="301"/>
      <c r="F446" s="106"/>
      <c r="G446" s="106"/>
      <c r="H446" s="106"/>
      <c r="I446" s="106"/>
      <c r="J446" s="106"/>
      <c r="K446" s="106"/>
      <c r="L446" s="106"/>
      <c r="M446" s="106"/>
      <c r="N446" s="106"/>
      <c r="O446" s="106"/>
      <c r="P446" s="106"/>
      <c r="Q446" s="106"/>
      <c r="R446" s="106"/>
      <c r="S446" s="106"/>
      <c r="T446" s="106"/>
      <c r="U446" s="106"/>
      <c r="V446" s="106"/>
      <c r="W446" s="106"/>
      <c r="X446" s="106"/>
      <c r="Y446" s="106"/>
      <c r="Z446" s="106"/>
      <c r="AA446" s="106"/>
      <c r="AB446" s="106"/>
      <c r="AC446" s="106"/>
      <c r="AD446" s="106"/>
      <c r="AE446" s="106"/>
      <c r="AF446" s="106"/>
      <c r="AG446" s="106"/>
      <c r="AH446" s="106"/>
      <c r="AI446" s="106"/>
      <c r="AJ446" s="106"/>
      <c r="AK446" s="106"/>
      <c r="AL446" s="106"/>
      <c r="AM446" s="106"/>
      <c r="AN446" s="106"/>
      <c r="AO446" s="106"/>
      <c r="AP446" s="106"/>
      <c r="AQ446" s="106"/>
      <c r="AR446" s="106"/>
      <c r="AS446" s="106"/>
      <c r="AT446" s="106"/>
      <c r="AU446" s="106"/>
      <c r="AV446" s="106"/>
      <c r="AW446" s="106"/>
      <c r="AX446" s="106"/>
      <c r="AY446" s="106"/>
      <c r="AZ446" s="106"/>
      <c r="BA446" s="106"/>
      <c r="BB446" s="106"/>
      <c r="BC446" s="106"/>
      <c r="BD446" s="106"/>
      <c r="BE446" s="106"/>
      <c r="BF446" s="106"/>
      <c r="BG446" s="106"/>
      <c r="BH446" s="106"/>
      <c r="BI446" s="106"/>
    </row>
    <row r="447" spans="1:61" ht="15" customHeight="1">
      <c r="A447" s="106"/>
      <c r="B447" s="106"/>
      <c r="C447" s="106"/>
      <c r="D447" s="301"/>
      <c r="E447" s="301"/>
      <c r="F447" s="106"/>
      <c r="G447" s="106"/>
      <c r="H447" s="106"/>
      <c r="I447" s="106"/>
      <c r="J447" s="106"/>
      <c r="K447" s="106"/>
      <c r="L447" s="106"/>
      <c r="M447" s="106"/>
      <c r="N447" s="106"/>
      <c r="O447" s="106"/>
      <c r="P447" s="106"/>
      <c r="Q447" s="106"/>
      <c r="R447" s="106"/>
      <c r="S447" s="106"/>
      <c r="T447" s="106"/>
      <c r="U447" s="106"/>
      <c r="V447" s="106"/>
      <c r="W447" s="106"/>
      <c r="X447" s="106"/>
      <c r="Y447" s="106"/>
      <c r="Z447" s="106"/>
      <c r="AA447" s="106"/>
      <c r="AB447" s="106"/>
      <c r="AC447" s="106"/>
      <c r="AD447" s="106"/>
      <c r="AE447" s="106"/>
      <c r="AF447" s="106"/>
      <c r="AG447" s="106"/>
      <c r="AH447" s="106"/>
      <c r="AI447" s="106"/>
      <c r="AJ447" s="106"/>
      <c r="AK447" s="106"/>
      <c r="AL447" s="106"/>
      <c r="AM447" s="106"/>
      <c r="AN447" s="106"/>
      <c r="AO447" s="106"/>
      <c r="AP447" s="106"/>
      <c r="AQ447" s="106"/>
      <c r="AR447" s="106"/>
      <c r="AS447" s="106"/>
      <c r="AT447" s="106"/>
      <c r="AU447" s="106"/>
      <c r="AV447" s="106"/>
      <c r="AW447" s="106"/>
      <c r="AX447" s="106"/>
      <c r="AY447" s="106"/>
      <c r="AZ447" s="106"/>
      <c r="BA447" s="106"/>
      <c r="BB447" s="106"/>
      <c r="BC447" s="106"/>
      <c r="BD447" s="106"/>
      <c r="BE447" s="106"/>
      <c r="BF447" s="106"/>
      <c r="BG447" s="106"/>
      <c r="BH447" s="106"/>
      <c r="BI447" s="106"/>
    </row>
    <row r="448" spans="1:61" ht="15" customHeight="1">
      <c r="A448" s="106"/>
      <c r="B448" s="106"/>
      <c r="C448" s="106"/>
      <c r="D448" s="301"/>
      <c r="E448" s="301"/>
      <c r="F448" s="106"/>
      <c r="G448" s="106"/>
      <c r="H448" s="106"/>
      <c r="I448" s="106"/>
      <c r="J448" s="106"/>
      <c r="K448" s="106"/>
      <c r="L448" s="106"/>
      <c r="M448" s="106"/>
      <c r="N448" s="106"/>
      <c r="O448" s="106"/>
      <c r="P448" s="106"/>
      <c r="Q448" s="106"/>
      <c r="R448" s="106"/>
      <c r="S448" s="106"/>
      <c r="T448" s="106"/>
      <c r="U448" s="106"/>
      <c r="V448" s="106"/>
      <c r="W448" s="106"/>
      <c r="X448" s="106"/>
      <c r="Y448" s="106"/>
      <c r="Z448" s="106"/>
      <c r="AA448" s="106"/>
      <c r="AB448" s="106"/>
      <c r="AC448" s="106"/>
      <c r="AD448" s="106"/>
      <c r="AE448" s="106"/>
      <c r="AF448" s="106"/>
      <c r="AG448" s="106"/>
      <c r="AH448" s="106"/>
      <c r="AI448" s="106"/>
      <c r="AJ448" s="106"/>
      <c r="AK448" s="106"/>
      <c r="AL448" s="106"/>
      <c r="AM448" s="106"/>
      <c r="AN448" s="106"/>
      <c r="AO448" s="106"/>
      <c r="AP448" s="106"/>
      <c r="AQ448" s="106"/>
      <c r="AR448" s="106"/>
      <c r="AS448" s="106"/>
      <c r="AT448" s="106"/>
      <c r="AU448" s="106"/>
      <c r="AV448" s="106"/>
      <c r="AW448" s="106"/>
      <c r="AX448" s="106"/>
      <c r="AY448" s="106"/>
      <c r="AZ448" s="106"/>
      <c r="BA448" s="106"/>
      <c r="BB448" s="106"/>
      <c r="BC448" s="106"/>
      <c r="BD448" s="106"/>
      <c r="BE448" s="106"/>
      <c r="BF448" s="106"/>
      <c r="BG448" s="106"/>
      <c r="BH448" s="106"/>
      <c r="BI448" s="106"/>
    </row>
    <row r="449" spans="1:61" ht="15" customHeight="1">
      <c r="A449" s="106"/>
      <c r="B449" s="106"/>
      <c r="C449" s="106"/>
      <c r="D449" s="301"/>
      <c r="E449" s="301"/>
      <c r="F449" s="106"/>
      <c r="G449" s="106"/>
      <c r="H449" s="106"/>
      <c r="I449" s="106"/>
      <c r="J449" s="106"/>
      <c r="K449" s="106"/>
      <c r="L449" s="106"/>
      <c r="M449" s="106"/>
      <c r="N449" s="106"/>
      <c r="O449" s="106"/>
      <c r="P449" s="106"/>
      <c r="Q449" s="106"/>
      <c r="R449" s="106"/>
      <c r="S449" s="106"/>
      <c r="T449" s="106"/>
      <c r="U449" s="106"/>
      <c r="V449" s="106"/>
      <c r="W449" s="106"/>
      <c r="X449" s="106"/>
      <c r="Y449" s="106"/>
      <c r="Z449" s="106"/>
      <c r="AA449" s="106"/>
      <c r="AB449" s="106"/>
      <c r="AC449" s="106"/>
      <c r="AD449" s="106"/>
      <c r="AE449" s="106"/>
      <c r="AF449" s="106"/>
      <c r="AG449" s="106"/>
      <c r="AH449" s="106"/>
      <c r="AI449" s="106"/>
      <c r="AJ449" s="106"/>
      <c r="AK449" s="106"/>
      <c r="AL449" s="106"/>
      <c r="AM449" s="106"/>
      <c r="AN449" s="106"/>
      <c r="AO449" s="106"/>
      <c r="AP449" s="106"/>
      <c r="AQ449" s="106"/>
      <c r="AR449" s="106"/>
      <c r="AS449" s="106"/>
      <c r="AT449" s="106"/>
      <c r="AU449" s="106"/>
      <c r="AV449" s="106"/>
      <c r="AW449" s="106"/>
      <c r="AX449" s="106"/>
      <c r="AY449" s="106"/>
      <c r="AZ449" s="106"/>
      <c r="BA449" s="106"/>
      <c r="BB449" s="106"/>
      <c r="BC449" s="106"/>
      <c r="BD449" s="106"/>
      <c r="BE449" s="106"/>
      <c r="BF449" s="106"/>
      <c r="BG449" s="106"/>
      <c r="BH449" s="106"/>
      <c r="BI449" s="106"/>
    </row>
    <row r="450" spans="1:61" ht="15" customHeight="1">
      <c r="A450" s="106"/>
      <c r="B450" s="106"/>
      <c r="C450" s="106"/>
      <c r="D450" s="301"/>
      <c r="E450" s="301"/>
      <c r="F450" s="106"/>
      <c r="G450" s="106"/>
      <c r="H450" s="106"/>
      <c r="I450" s="106"/>
      <c r="J450" s="106"/>
      <c r="K450" s="106"/>
      <c r="L450" s="106"/>
      <c r="M450" s="106"/>
      <c r="N450" s="106"/>
      <c r="O450" s="106"/>
      <c r="P450" s="106"/>
      <c r="Q450" s="106"/>
      <c r="R450" s="106"/>
      <c r="S450" s="106"/>
      <c r="T450" s="106"/>
      <c r="U450" s="106"/>
      <c r="V450" s="106"/>
      <c r="W450" s="106"/>
      <c r="X450" s="106"/>
      <c r="Y450" s="106"/>
      <c r="Z450" s="106"/>
      <c r="AA450" s="106"/>
      <c r="AB450" s="106"/>
      <c r="AC450" s="106"/>
      <c r="AD450" s="106"/>
      <c r="AE450" s="106"/>
      <c r="AF450" s="106"/>
      <c r="AG450" s="106"/>
      <c r="AH450" s="106"/>
      <c r="AI450" s="106"/>
      <c r="AJ450" s="106"/>
      <c r="AK450" s="106"/>
      <c r="AL450" s="106"/>
      <c r="AM450" s="106"/>
      <c r="AN450" s="106"/>
      <c r="AO450" s="106"/>
      <c r="AP450" s="106"/>
      <c r="AQ450" s="106"/>
      <c r="AR450" s="106"/>
      <c r="AS450" s="106"/>
      <c r="AT450" s="106"/>
      <c r="AU450" s="106"/>
      <c r="AV450" s="106"/>
      <c r="AW450" s="106"/>
      <c r="AX450" s="106"/>
      <c r="AY450" s="106"/>
      <c r="AZ450" s="106"/>
      <c r="BA450" s="106"/>
      <c r="BB450" s="106"/>
      <c r="BC450" s="106"/>
      <c r="BD450" s="106"/>
      <c r="BE450" s="106"/>
      <c r="BF450" s="106"/>
      <c r="BG450" s="106"/>
      <c r="BH450" s="106"/>
      <c r="BI450" s="106"/>
    </row>
    <row r="451" spans="1:61" ht="15" customHeight="1">
      <c r="A451" s="106"/>
      <c r="B451" s="106"/>
      <c r="C451" s="106"/>
      <c r="D451" s="301"/>
      <c r="E451" s="301"/>
      <c r="F451" s="106"/>
      <c r="G451" s="106"/>
      <c r="H451" s="106"/>
      <c r="I451" s="106"/>
      <c r="J451" s="106"/>
      <c r="K451" s="106"/>
      <c r="L451" s="106"/>
      <c r="M451" s="106"/>
      <c r="N451" s="106"/>
      <c r="O451" s="106"/>
      <c r="P451" s="106"/>
      <c r="Q451" s="106"/>
      <c r="R451" s="106"/>
      <c r="S451" s="106"/>
      <c r="T451" s="106"/>
      <c r="U451" s="106"/>
      <c r="V451" s="106"/>
      <c r="W451" s="106"/>
      <c r="X451" s="106"/>
      <c r="Y451" s="106"/>
      <c r="Z451" s="106"/>
      <c r="AA451" s="106"/>
      <c r="AB451" s="106"/>
      <c r="AC451" s="106"/>
      <c r="AD451" s="106"/>
      <c r="AE451" s="106"/>
      <c r="AF451" s="106"/>
      <c r="AG451" s="106"/>
      <c r="AH451" s="106"/>
      <c r="AI451" s="106"/>
      <c r="AJ451" s="106"/>
      <c r="AK451" s="106"/>
      <c r="AL451" s="106"/>
      <c r="AM451" s="106"/>
      <c r="AN451" s="106"/>
      <c r="AO451" s="106"/>
      <c r="AP451" s="106"/>
      <c r="AQ451" s="106"/>
      <c r="AR451" s="106"/>
      <c r="AS451" s="106"/>
      <c r="AT451" s="106"/>
      <c r="AU451" s="106"/>
      <c r="AV451" s="106"/>
      <c r="AW451" s="106"/>
      <c r="AX451" s="106"/>
      <c r="AY451" s="106"/>
      <c r="AZ451" s="106"/>
      <c r="BA451" s="106"/>
      <c r="BB451" s="106"/>
      <c r="BC451" s="106"/>
      <c r="BD451" s="106"/>
      <c r="BE451" s="106"/>
      <c r="BF451" s="106"/>
      <c r="BG451" s="106"/>
      <c r="BH451" s="106"/>
      <c r="BI451" s="106"/>
    </row>
    <row r="452" spans="1:61" ht="15" customHeight="1">
      <c r="A452" s="106"/>
      <c r="B452" s="106"/>
      <c r="C452" s="106"/>
      <c r="D452" s="301"/>
      <c r="E452" s="301"/>
      <c r="F452" s="106"/>
      <c r="G452" s="106"/>
      <c r="H452" s="106"/>
      <c r="I452" s="106"/>
      <c r="J452" s="106"/>
      <c r="K452" s="106"/>
      <c r="L452" s="106"/>
      <c r="M452" s="106"/>
      <c r="N452" s="106"/>
      <c r="O452" s="106"/>
      <c r="P452" s="106"/>
      <c r="Q452" s="106"/>
      <c r="R452" s="106"/>
      <c r="S452" s="106"/>
      <c r="T452" s="106"/>
      <c r="U452" s="106"/>
      <c r="V452" s="106"/>
      <c r="W452" s="106"/>
      <c r="X452" s="106"/>
      <c r="Y452" s="106"/>
      <c r="Z452" s="106"/>
      <c r="AA452" s="106"/>
      <c r="AB452" s="106"/>
      <c r="AC452" s="106"/>
      <c r="AD452" s="106"/>
      <c r="AE452" s="106"/>
      <c r="AF452" s="106"/>
      <c r="AG452" s="106"/>
      <c r="AH452" s="106"/>
      <c r="AI452" s="106"/>
      <c r="AJ452" s="106"/>
      <c r="AK452" s="106"/>
      <c r="AL452" s="106"/>
      <c r="AM452" s="106"/>
      <c r="AN452" s="106"/>
      <c r="AO452" s="106"/>
      <c r="AP452" s="106"/>
      <c r="AQ452" s="106"/>
      <c r="AR452" s="106"/>
      <c r="AS452" s="106"/>
      <c r="AT452" s="106"/>
      <c r="AU452" s="106"/>
      <c r="AV452" s="106"/>
      <c r="AW452" s="106"/>
      <c r="AX452" s="106"/>
      <c r="AY452" s="106"/>
      <c r="AZ452" s="106"/>
      <c r="BA452" s="106"/>
      <c r="BB452" s="106"/>
      <c r="BC452" s="106"/>
      <c r="BD452" s="106"/>
      <c r="BE452" s="106"/>
      <c r="BF452" s="106"/>
      <c r="BG452" s="106"/>
      <c r="BH452" s="106"/>
      <c r="BI452" s="106"/>
    </row>
    <row r="453" spans="1:61" ht="15" customHeight="1">
      <c r="A453" s="106"/>
      <c r="B453" s="106"/>
      <c r="C453" s="106"/>
      <c r="D453" s="301"/>
      <c r="E453" s="301"/>
      <c r="F453" s="106"/>
      <c r="G453" s="106"/>
      <c r="H453" s="106"/>
      <c r="I453" s="106"/>
      <c r="J453" s="106"/>
      <c r="K453" s="106"/>
      <c r="L453" s="106"/>
      <c r="M453" s="106"/>
      <c r="N453" s="106"/>
      <c r="O453" s="106"/>
      <c r="P453" s="106"/>
      <c r="Q453" s="106"/>
      <c r="R453" s="106"/>
      <c r="S453" s="106"/>
      <c r="T453" s="106"/>
      <c r="U453" s="106"/>
      <c r="V453" s="106"/>
      <c r="W453" s="106"/>
      <c r="X453" s="106"/>
      <c r="Y453" s="106"/>
      <c r="Z453" s="106"/>
      <c r="AA453" s="106"/>
      <c r="AB453" s="106"/>
      <c r="AC453" s="106"/>
      <c r="AD453" s="106"/>
      <c r="AE453" s="106"/>
      <c r="AF453" s="106"/>
      <c r="AG453" s="106"/>
      <c r="AH453" s="106"/>
      <c r="AI453" s="106"/>
      <c r="AJ453" s="106"/>
      <c r="AK453" s="106"/>
      <c r="AL453" s="106"/>
      <c r="AM453" s="106"/>
      <c r="AN453" s="106"/>
      <c r="AO453" s="106"/>
      <c r="AP453" s="106"/>
      <c r="AQ453" s="106"/>
      <c r="AR453" s="106"/>
      <c r="AS453" s="106"/>
      <c r="AT453" s="106"/>
      <c r="AU453" s="106"/>
      <c r="AV453" s="106"/>
      <c r="AW453" s="106"/>
      <c r="AX453" s="106"/>
      <c r="AY453" s="106"/>
      <c r="AZ453" s="106"/>
      <c r="BA453" s="106"/>
      <c r="BB453" s="106"/>
      <c r="BC453" s="106"/>
      <c r="BD453" s="106"/>
      <c r="BE453" s="106"/>
      <c r="BF453" s="106"/>
      <c r="BG453" s="106"/>
      <c r="BH453" s="106"/>
      <c r="BI453" s="106"/>
    </row>
    <row r="454" spans="1:61" ht="15" customHeight="1">
      <c r="A454" s="106"/>
      <c r="B454" s="106"/>
      <c r="C454" s="106"/>
      <c r="D454" s="301"/>
      <c r="E454" s="301"/>
      <c r="F454" s="106"/>
      <c r="G454" s="106"/>
      <c r="H454" s="106"/>
      <c r="I454" s="106"/>
      <c r="J454" s="106"/>
      <c r="K454" s="106"/>
      <c r="L454" s="106"/>
      <c r="M454" s="106"/>
      <c r="N454" s="106"/>
      <c r="O454" s="106"/>
      <c r="P454" s="106"/>
      <c r="Q454" s="106"/>
      <c r="R454" s="106"/>
      <c r="S454" s="106"/>
      <c r="T454" s="106"/>
      <c r="U454" s="106"/>
      <c r="V454" s="106"/>
      <c r="W454" s="106"/>
      <c r="X454" s="106"/>
      <c r="Y454" s="106"/>
      <c r="Z454" s="106"/>
      <c r="AA454" s="106"/>
      <c r="AB454" s="106"/>
      <c r="AC454" s="106"/>
      <c r="AD454" s="106"/>
      <c r="AE454" s="106"/>
      <c r="AF454" s="106"/>
      <c r="AG454" s="106"/>
      <c r="AH454" s="106"/>
      <c r="AI454" s="106"/>
      <c r="AJ454" s="106"/>
      <c r="AK454" s="106"/>
      <c r="AL454" s="106"/>
      <c r="AM454" s="106"/>
      <c r="AN454" s="106"/>
      <c r="AO454" s="106"/>
      <c r="AP454" s="106"/>
      <c r="AQ454" s="106"/>
      <c r="AR454" s="106"/>
      <c r="AS454" s="106"/>
      <c r="AT454" s="106"/>
      <c r="AU454" s="106"/>
      <c r="AV454" s="106"/>
      <c r="AW454" s="106"/>
      <c r="AX454" s="106"/>
      <c r="AY454" s="106"/>
      <c r="AZ454" s="106"/>
      <c r="BA454" s="106"/>
      <c r="BB454" s="106"/>
      <c r="BC454" s="106"/>
      <c r="BD454" s="106"/>
      <c r="BE454" s="106"/>
      <c r="BF454" s="106"/>
      <c r="BG454" s="106"/>
      <c r="BH454" s="106"/>
      <c r="BI454" s="106"/>
    </row>
    <row r="455" spans="1:61" ht="15" customHeight="1">
      <c r="A455" s="106"/>
      <c r="B455" s="106"/>
      <c r="C455" s="106"/>
      <c r="D455" s="301"/>
      <c r="E455" s="301"/>
      <c r="F455" s="106"/>
      <c r="G455" s="106"/>
      <c r="H455" s="106"/>
      <c r="I455" s="106"/>
      <c r="J455" s="106"/>
      <c r="K455" s="106"/>
      <c r="L455" s="106"/>
      <c r="M455" s="106"/>
      <c r="N455" s="106"/>
      <c r="O455" s="106"/>
      <c r="P455" s="106"/>
      <c r="Q455" s="106"/>
      <c r="R455" s="106"/>
      <c r="S455" s="106"/>
      <c r="T455" s="106"/>
      <c r="U455" s="106"/>
      <c r="V455" s="106"/>
      <c r="W455" s="106"/>
      <c r="X455" s="106"/>
      <c r="Y455" s="106"/>
      <c r="Z455" s="106"/>
      <c r="AA455" s="106"/>
      <c r="AB455" s="106"/>
      <c r="AC455" s="106"/>
      <c r="AD455" s="106"/>
      <c r="AE455" s="106"/>
      <c r="AF455" s="106"/>
      <c r="AG455" s="106"/>
      <c r="AH455" s="106"/>
      <c r="AI455" s="106"/>
      <c r="AJ455" s="106"/>
      <c r="AK455" s="106"/>
      <c r="AL455" s="106"/>
      <c r="AM455" s="106"/>
      <c r="AN455" s="106"/>
      <c r="AO455" s="106"/>
      <c r="AP455" s="106"/>
      <c r="AQ455" s="106"/>
      <c r="AR455" s="106"/>
      <c r="AS455" s="106"/>
      <c r="AT455" s="106"/>
      <c r="AU455" s="106"/>
      <c r="AV455" s="106"/>
      <c r="AW455" s="106"/>
      <c r="AX455" s="106"/>
      <c r="AY455" s="106"/>
      <c r="AZ455" s="106"/>
      <c r="BA455" s="106"/>
      <c r="BB455" s="106"/>
      <c r="BC455" s="106"/>
      <c r="BD455" s="106"/>
      <c r="BE455" s="106"/>
      <c r="BF455" s="106"/>
      <c r="BG455" s="106"/>
      <c r="BH455" s="106"/>
      <c r="BI455" s="106"/>
    </row>
    <row r="456" spans="1:61" ht="15" customHeight="1">
      <c r="A456" s="106"/>
      <c r="B456" s="106"/>
      <c r="C456" s="106"/>
      <c r="D456" s="301"/>
      <c r="E456" s="301"/>
      <c r="F456" s="106"/>
      <c r="G456" s="106"/>
      <c r="H456" s="106"/>
      <c r="I456" s="106"/>
      <c r="J456" s="106"/>
      <c r="K456" s="106"/>
      <c r="L456" s="106"/>
      <c r="M456" s="106"/>
      <c r="N456" s="106"/>
      <c r="O456" s="106"/>
      <c r="P456" s="106"/>
      <c r="Q456" s="106"/>
      <c r="R456" s="106"/>
      <c r="S456" s="106"/>
      <c r="T456" s="106"/>
      <c r="U456" s="106"/>
      <c r="V456" s="106"/>
      <c r="W456" s="106"/>
      <c r="X456" s="106"/>
      <c r="Y456" s="106"/>
      <c r="Z456" s="106"/>
      <c r="AA456" s="106"/>
      <c r="AB456" s="106"/>
      <c r="AC456" s="106"/>
      <c r="AD456" s="106"/>
      <c r="AE456" s="106"/>
      <c r="AF456" s="106"/>
      <c r="AG456" s="106"/>
      <c r="AH456" s="106"/>
      <c r="AI456" s="106"/>
      <c r="AJ456" s="106"/>
      <c r="AK456" s="106"/>
      <c r="AL456" s="106"/>
      <c r="AM456" s="106"/>
      <c r="AN456" s="106"/>
      <c r="AO456" s="106"/>
      <c r="AP456" s="106"/>
      <c r="AQ456" s="106"/>
      <c r="AR456" s="106"/>
      <c r="AS456" s="106"/>
      <c r="AT456" s="106"/>
      <c r="AU456" s="106"/>
      <c r="AV456" s="106"/>
      <c r="AW456" s="106"/>
      <c r="AX456" s="106"/>
      <c r="AY456" s="106"/>
      <c r="AZ456" s="106"/>
      <c r="BA456" s="106"/>
      <c r="BB456" s="106"/>
      <c r="BC456" s="106"/>
      <c r="BD456" s="106"/>
      <c r="BE456" s="106"/>
      <c r="BF456" s="106"/>
      <c r="BG456" s="106"/>
      <c r="BH456" s="106"/>
      <c r="BI456" s="106"/>
    </row>
    <row r="457" spans="1:61" ht="15" customHeight="1">
      <c r="A457" s="106"/>
      <c r="B457" s="106"/>
      <c r="C457" s="106"/>
      <c r="D457" s="301"/>
      <c r="E457" s="301"/>
      <c r="F457" s="106"/>
      <c r="G457" s="106"/>
      <c r="H457" s="106"/>
      <c r="I457" s="106"/>
      <c r="J457" s="106"/>
      <c r="K457" s="106"/>
      <c r="L457" s="106"/>
      <c r="M457" s="106"/>
      <c r="N457" s="106"/>
      <c r="O457" s="106"/>
      <c r="P457" s="106"/>
      <c r="Q457" s="106"/>
      <c r="R457" s="106"/>
      <c r="S457" s="106"/>
      <c r="T457" s="106"/>
      <c r="U457" s="106"/>
      <c r="V457" s="106"/>
      <c r="W457" s="106"/>
      <c r="X457" s="106"/>
      <c r="Y457" s="106"/>
      <c r="Z457" s="106"/>
      <c r="AA457" s="106"/>
      <c r="AB457" s="106"/>
      <c r="AC457" s="106"/>
      <c r="AD457" s="106"/>
      <c r="AE457" s="106"/>
      <c r="AF457" s="106"/>
      <c r="AG457" s="106"/>
      <c r="AH457" s="106"/>
      <c r="AI457" s="106"/>
      <c r="AJ457" s="106"/>
      <c r="AK457" s="106"/>
      <c r="AL457" s="106"/>
      <c r="AM457" s="106"/>
      <c r="AN457" s="106"/>
      <c r="AO457" s="106"/>
      <c r="AP457" s="106"/>
      <c r="AQ457" s="106"/>
      <c r="AR457" s="106"/>
      <c r="AS457" s="106"/>
      <c r="AT457" s="106"/>
      <c r="AU457" s="106"/>
      <c r="AV457" s="106"/>
      <c r="AW457" s="106"/>
      <c r="AX457" s="106"/>
      <c r="AY457" s="106"/>
      <c r="AZ457" s="106"/>
      <c r="BA457" s="106"/>
      <c r="BB457" s="106"/>
      <c r="BC457" s="106"/>
      <c r="BD457" s="106"/>
      <c r="BE457" s="106"/>
      <c r="BF457" s="106"/>
      <c r="BG457" s="106"/>
      <c r="BH457" s="106"/>
      <c r="BI457" s="106"/>
    </row>
    <row r="458" spans="1:61" ht="15" customHeight="1">
      <c r="A458" s="106"/>
      <c r="B458" s="106"/>
      <c r="C458" s="106"/>
      <c r="D458" s="301"/>
      <c r="E458" s="301"/>
      <c r="F458" s="106"/>
      <c r="G458" s="106"/>
      <c r="H458" s="106"/>
      <c r="I458" s="106"/>
      <c r="J458" s="106"/>
      <c r="K458" s="106"/>
      <c r="L458" s="106"/>
      <c r="M458" s="106"/>
      <c r="N458" s="106"/>
      <c r="O458" s="106"/>
      <c r="P458" s="106"/>
      <c r="Q458" s="106"/>
      <c r="R458" s="106"/>
      <c r="S458" s="106"/>
      <c r="T458" s="106"/>
      <c r="U458" s="106"/>
      <c r="V458" s="106"/>
      <c r="W458" s="106"/>
      <c r="X458" s="106"/>
      <c r="Y458" s="106"/>
      <c r="Z458" s="106"/>
      <c r="AA458" s="106"/>
      <c r="AB458" s="106"/>
      <c r="AC458" s="106"/>
      <c r="AD458" s="106"/>
      <c r="AE458" s="106"/>
      <c r="AF458" s="106"/>
      <c r="AG458" s="106"/>
      <c r="AH458" s="106"/>
      <c r="AI458" s="106"/>
      <c r="AJ458" s="106"/>
      <c r="AK458" s="106"/>
      <c r="AL458" s="106"/>
      <c r="AM458" s="106"/>
      <c r="AN458" s="106"/>
      <c r="AO458" s="106"/>
      <c r="AP458" s="106"/>
      <c r="AQ458" s="106"/>
      <c r="AR458" s="106"/>
      <c r="AS458" s="106"/>
      <c r="AT458" s="106"/>
      <c r="AU458" s="106"/>
      <c r="AV458" s="106"/>
      <c r="AW458" s="106"/>
      <c r="AX458" s="106"/>
      <c r="AY458" s="106"/>
      <c r="AZ458" s="106"/>
      <c r="BA458" s="106"/>
      <c r="BB458" s="106"/>
      <c r="BC458" s="106"/>
      <c r="BD458" s="106"/>
      <c r="BE458" s="106"/>
      <c r="BF458" s="106"/>
      <c r="BG458" s="106"/>
      <c r="BH458" s="106"/>
      <c r="BI458" s="106"/>
    </row>
    <row r="459" spans="1:61" ht="15" customHeight="1">
      <c r="A459" s="106"/>
      <c r="B459" s="106"/>
      <c r="C459" s="106"/>
      <c r="D459" s="301"/>
      <c r="E459" s="301"/>
      <c r="F459" s="106"/>
      <c r="G459" s="106"/>
      <c r="H459" s="106"/>
      <c r="I459" s="106"/>
      <c r="J459" s="106"/>
      <c r="K459" s="106"/>
      <c r="L459" s="106"/>
      <c r="M459" s="106"/>
      <c r="N459" s="106"/>
      <c r="O459" s="106"/>
      <c r="P459" s="106"/>
      <c r="Q459" s="106"/>
      <c r="R459" s="106"/>
      <c r="S459" s="106"/>
      <c r="T459" s="106"/>
      <c r="U459" s="106"/>
      <c r="V459" s="106"/>
      <c r="W459" s="106"/>
      <c r="X459" s="106"/>
      <c r="Y459" s="106"/>
      <c r="Z459" s="106"/>
      <c r="AA459" s="106"/>
      <c r="AB459" s="106"/>
      <c r="AC459" s="106"/>
      <c r="AD459" s="106"/>
      <c r="AE459" s="106"/>
      <c r="AF459" s="106"/>
      <c r="AG459" s="106"/>
      <c r="AH459" s="106"/>
      <c r="AI459" s="106"/>
      <c r="AJ459" s="106"/>
      <c r="AK459" s="106"/>
      <c r="AL459" s="106"/>
      <c r="AM459" s="106"/>
      <c r="AN459" s="106"/>
      <c r="AO459" s="106"/>
      <c r="AP459" s="106"/>
      <c r="AQ459" s="106"/>
      <c r="AR459" s="106"/>
      <c r="AS459" s="106"/>
      <c r="AT459" s="106"/>
      <c r="AU459" s="106"/>
      <c r="AV459" s="106"/>
      <c r="AW459" s="106"/>
      <c r="AX459" s="106"/>
      <c r="AY459" s="106"/>
      <c r="AZ459" s="106"/>
      <c r="BA459" s="106"/>
      <c r="BB459" s="106"/>
      <c r="BC459" s="106"/>
      <c r="BD459" s="106"/>
      <c r="BE459" s="106"/>
      <c r="BF459" s="106"/>
      <c r="BG459" s="106"/>
      <c r="BH459" s="106"/>
      <c r="BI459" s="106"/>
    </row>
    <row r="460" spans="1:61" ht="15" customHeight="1">
      <c r="A460" s="106"/>
      <c r="B460" s="106"/>
      <c r="C460" s="106"/>
      <c r="D460" s="301"/>
      <c r="E460" s="301"/>
      <c r="F460" s="106"/>
      <c r="G460" s="106"/>
      <c r="H460" s="106"/>
      <c r="I460" s="106"/>
      <c r="J460" s="106"/>
      <c r="K460" s="106"/>
      <c r="L460" s="106"/>
      <c r="M460" s="106"/>
      <c r="N460" s="106"/>
      <c r="O460" s="106"/>
      <c r="P460" s="106"/>
      <c r="Q460" s="106"/>
      <c r="R460" s="106"/>
      <c r="S460" s="106"/>
      <c r="T460" s="106"/>
      <c r="U460" s="106"/>
      <c r="V460" s="106"/>
      <c r="W460" s="106"/>
      <c r="X460" s="106"/>
      <c r="Y460" s="106"/>
      <c r="Z460" s="106"/>
      <c r="AA460" s="106"/>
      <c r="AB460" s="106"/>
      <c r="AC460" s="106"/>
      <c r="AD460" s="106"/>
      <c r="AE460" s="106"/>
      <c r="AF460" s="106"/>
      <c r="AG460" s="106"/>
      <c r="AH460" s="106"/>
      <c r="AI460" s="106"/>
      <c r="AJ460" s="106"/>
      <c r="AK460" s="106"/>
      <c r="AL460" s="106"/>
      <c r="AM460" s="106"/>
      <c r="AN460" s="106"/>
      <c r="AO460" s="106"/>
      <c r="AP460" s="106"/>
      <c r="AQ460" s="106"/>
      <c r="AR460" s="106"/>
      <c r="AS460" s="106"/>
      <c r="AT460" s="106"/>
      <c r="AU460" s="106"/>
      <c r="AV460" s="106"/>
      <c r="AW460" s="106"/>
      <c r="AX460" s="106"/>
      <c r="AY460" s="106"/>
      <c r="AZ460" s="106"/>
      <c r="BA460" s="106"/>
      <c r="BB460" s="106"/>
      <c r="BC460" s="106"/>
      <c r="BD460" s="106"/>
      <c r="BE460" s="106"/>
      <c r="BF460" s="106"/>
      <c r="BG460" s="106"/>
      <c r="BH460" s="106"/>
      <c r="BI460" s="106"/>
    </row>
    <row r="461" spans="1:61" ht="15" customHeight="1">
      <c r="A461" s="106"/>
      <c r="B461" s="106"/>
      <c r="C461" s="106"/>
      <c r="D461" s="301"/>
      <c r="E461" s="301"/>
      <c r="F461" s="106"/>
      <c r="G461" s="106"/>
      <c r="H461" s="106"/>
      <c r="I461" s="106"/>
      <c r="J461" s="106"/>
      <c r="K461" s="106"/>
      <c r="L461" s="106"/>
      <c r="M461" s="106"/>
      <c r="N461" s="106"/>
      <c r="O461" s="106"/>
      <c r="P461" s="106"/>
      <c r="Q461" s="106"/>
      <c r="R461" s="106"/>
      <c r="S461" s="106"/>
      <c r="T461" s="106"/>
      <c r="U461" s="106"/>
      <c r="V461" s="106"/>
      <c r="W461" s="106"/>
      <c r="X461" s="106"/>
      <c r="Y461" s="106"/>
      <c r="Z461" s="106"/>
      <c r="AA461" s="106"/>
      <c r="AB461" s="106"/>
      <c r="AC461" s="106"/>
      <c r="AD461" s="106"/>
      <c r="AE461" s="106"/>
      <c r="AF461" s="106"/>
      <c r="AG461" s="106"/>
      <c r="AH461" s="106"/>
      <c r="AI461" s="106"/>
      <c r="AJ461" s="106"/>
      <c r="AK461" s="106"/>
      <c r="AL461" s="106"/>
      <c r="AM461" s="106"/>
      <c r="AN461" s="106"/>
      <c r="AO461" s="106"/>
      <c r="AP461" s="106"/>
      <c r="AQ461" s="106"/>
      <c r="AR461" s="106"/>
      <c r="AS461" s="106"/>
      <c r="AT461" s="106"/>
      <c r="AU461" s="106"/>
      <c r="AV461" s="106"/>
      <c r="AW461" s="106"/>
      <c r="AX461" s="106"/>
      <c r="AY461" s="106"/>
      <c r="AZ461" s="106"/>
      <c r="BA461" s="106"/>
      <c r="BB461" s="106"/>
      <c r="BC461" s="106"/>
      <c r="BD461" s="106"/>
      <c r="BE461" s="106"/>
      <c r="BF461" s="106"/>
      <c r="BG461" s="106"/>
      <c r="BH461" s="106"/>
      <c r="BI461" s="106"/>
    </row>
    <row r="462" spans="1:61" ht="15" customHeight="1">
      <c r="A462" s="106"/>
      <c r="B462" s="106"/>
      <c r="C462" s="106"/>
      <c r="D462" s="301"/>
      <c r="E462" s="301"/>
      <c r="F462" s="106"/>
      <c r="G462" s="106"/>
      <c r="H462" s="106"/>
      <c r="I462" s="106"/>
      <c r="J462" s="106"/>
      <c r="K462" s="106"/>
      <c r="L462" s="106"/>
      <c r="M462" s="106"/>
      <c r="N462" s="106"/>
      <c r="O462" s="106"/>
      <c r="P462" s="106"/>
      <c r="Q462" s="106"/>
      <c r="R462" s="106"/>
      <c r="S462" s="106"/>
      <c r="T462" s="106"/>
      <c r="U462" s="106"/>
      <c r="V462" s="106"/>
      <c r="W462" s="106"/>
      <c r="X462" s="106"/>
      <c r="Y462" s="106"/>
      <c r="Z462" s="106"/>
      <c r="AA462" s="106"/>
      <c r="AB462" s="106"/>
      <c r="AC462" s="106"/>
      <c r="AD462" s="106"/>
      <c r="AE462" s="106"/>
      <c r="AF462" s="106"/>
      <c r="AG462" s="106"/>
      <c r="AH462" s="106"/>
      <c r="AI462" s="106"/>
      <c r="AJ462" s="106"/>
      <c r="AK462" s="106"/>
      <c r="AL462" s="106"/>
      <c r="AM462" s="106"/>
      <c r="AN462" s="106"/>
      <c r="AO462" s="106"/>
      <c r="AP462" s="106"/>
      <c r="AQ462" s="106"/>
      <c r="AR462" s="106"/>
      <c r="AS462" s="106"/>
      <c r="AT462" s="106"/>
      <c r="AU462" s="106"/>
      <c r="AV462" s="106"/>
      <c r="AW462" s="106"/>
      <c r="AX462" s="106"/>
      <c r="AY462" s="106"/>
      <c r="AZ462" s="106"/>
      <c r="BA462" s="106"/>
      <c r="BB462" s="106"/>
      <c r="BC462" s="106"/>
      <c r="BD462" s="106"/>
      <c r="BE462" s="106"/>
      <c r="BF462" s="106"/>
      <c r="BG462" s="106"/>
      <c r="BH462" s="106"/>
      <c r="BI462" s="106"/>
    </row>
    <row r="463" spans="1:61" ht="15" customHeight="1">
      <c r="A463" s="106"/>
      <c r="B463" s="106"/>
      <c r="C463" s="106"/>
      <c r="D463" s="301"/>
      <c r="E463" s="301"/>
      <c r="F463" s="106"/>
      <c r="G463" s="106"/>
      <c r="H463" s="106"/>
      <c r="I463" s="106"/>
      <c r="J463" s="106"/>
      <c r="K463" s="106"/>
      <c r="L463" s="106"/>
      <c r="M463" s="106"/>
      <c r="N463" s="106"/>
      <c r="O463" s="106"/>
      <c r="P463" s="106"/>
      <c r="Q463" s="106"/>
      <c r="R463" s="106"/>
      <c r="S463" s="106"/>
      <c r="T463" s="106"/>
      <c r="U463" s="106"/>
      <c r="V463" s="106"/>
      <c r="W463" s="106"/>
      <c r="X463" s="106"/>
      <c r="Y463" s="106"/>
      <c r="Z463" s="106"/>
      <c r="AA463" s="106"/>
      <c r="AB463" s="106"/>
      <c r="AC463" s="106"/>
      <c r="AD463" s="106"/>
      <c r="AE463" s="106"/>
      <c r="AF463" s="106"/>
      <c r="AG463" s="106"/>
      <c r="AH463" s="106"/>
      <c r="AI463" s="106"/>
      <c r="AJ463" s="106"/>
      <c r="AK463" s="106"/>
      <c r="AL463" s="106"/>
      <c r="AM463" s="106"/>
      <c r="AN463" s="106"/>
      <c r="AO463" s="106"/>
      <c r="AP463" s="106"/>
      <c r="AQ463" s="106"/>
      <c r="AR463" s="106"/>
      <c r="AS463" s="106"/>
      <c r="AT463" s="106"/>
      <c r="AU463" s="106"/>
      <c r="AV463" s="106"/>
      <c r="AW463" s="106"/>
      <c r="AX463" s="106"/>
      <c r="AY463" s="106"/>
      <c r="AZ463" s="106"/>
      <c r="BA463" s="106"/>
      <c r="BB463" s="106"/>
      <c r="BC463" s="106"/>
      <c r="BD463" s="106"/>
      <c r="BE463" s="106"/>
      <c r="BF463" s="106"/>
      <c r="BG463" s="106"/>
      <c r="BH463" s="106"/>
      <c r="BI463" s="106"/>
    </row>
    <row r="464" spans="1:61" ht="15" customHeight="1">
      <c r="A464" s="106"/>
      <c r="B464" s="106"/>
      <c r="C464" s="106"/>
      <c r="D464" s="301"/>
      <c r="E464" s="301"/>
      <c r="F464" s="106"/>
      <c r="G464" s="106"/>
      <c r="H464" s="106"/>
      <c r="I464" s="106"/>
      <c r="J464" s="106"/>
      <c r="K464" s="106"/>
      <c r="L464" s="106"/>
      <c r="M464" s="106"/>
      <c r="N464" s="106"/>
      <c r="O464" s="106"/>
      <c r="P464" s="106"/>
      <c r="Q464" s="106"/>
      <c r="R464" s="106"/>
      <c r="S464" s="106"/>
      <c r="T464" s="106"/>
      <c r="U464" s="106"/>
      <c r="V464" s="106"/>
      <c r="W464" s="106"/>
      <c r="X464" s="106"/>
      <c r="Y464" s="106"/>
      <c r="Z464" s="106"/>
      <c r="AA464" s="106"/>
      <c r="AB464" s="106"/>
      <c r="AC464" s="106"/>
      <c r="AD464" s="106"/>
      <c r="AE464" s="106"/>
      <c r="AF464" s="106"/>
      <c r="AG464" s="106"/>
      <c r="AH464" s="106"/>
      <c r="AI464" s="106"/>
      <c r="AJ464" s="106"/>
      <c r="AK464" s="106"/>
      <c r="AL464" s="106"/>
      <c r="AM464" s="106"/>
      <c r="AN464" s="106"/>
      <c r="AO464" s="106"/>
      <c r="AP464" s="106"/>
      <c r="AQ464" s="106"/>
      <c r="AR464" s="106"/>
      <c r="AS464" s="106"/>
      <c r="AT464" s="106"/>
      <c r="AU464" s="106"/>
      <c r="AV464" s="106"/>
      <c r="AW464" s="106"/>
      <c r="AX464" s="106"/>
      <c r="AY464" s="106"/>
      <c r="AZ464" s="106"/>
      <c r="BA464" s="106"/>
      <c r="BB464" s="106"/>
      <c r="BC464" s="106"/>
      <c r="BD464" s="106"/>
      <c r="BE464" s="106"/>
      <c r="BF464" s="106"/>
      <c r="BG464" s="106"/>
      <c r="BH464" s="106"/>
      <c r="BI464" s="106"/>
    </row>
    <row r="465" spans="1:61" ht="15" customHeight="1">
      <c r="A465" s="106"/>
      <c r="B465" s="106"/>
      <c r="C465" s="106"/>
      <c r="D465" s="301"/>
      <c r="E465" s="301"/>
      <c r="F465" s="106"/>
      <c r="G465" s="106"/>
      <c r="H465" s="106"/>
      <c r="I465" s="106"/>
      <c r="J465" s="106"/>
      <c r="K465" s="106"/>
      <c r="L465" s="106"/>
      <c r="M465" s="106"/>
      <c r="N465" s="106"/>
      <c r="O465" s="106"/>
      <c r="P465" s="106"/>
      <c r="Q465" s="106"/>
      <c r="R465" s="106"/>
      <c r="S465" s="106"/>
      <c r="T465" s="106"/>
      <c r="U465" s="106"/>
      <c r="V465" s="106"/>
      <c r="W465" s="106"/>
      <c r="X465" s="106"/>
      <c r="Y465" s="106"/>
      <c r="Z465" s="106"/>
      <c r="AA465" s="106"/>
      <c r="AB465" s="106"/>
      <c r="AC465" s="106"/>
      <c r="AD465" s="106"/>
      <c r="AE465" s="106"/>
      <c r="AF465" s="106"/>
      <c r="AG465" s="106"/>
      <c r="AH465" s="106"/>
      <c r="AI465" s="106"/>
      <c r="AJ465" s="106"/>
      <c r="AK465" s="106"/>
      <c r="AL465" s="106"/>
      <c r="AM465" s="106"/>
      <c r="AN465" s="106"/>
      <c r="AO465" s="106"/>
      <c r="AP465" s="106"/>
      <c r="AQ465" s="106"/>
      <c r="AR465" s="106"/>
      <c r="AS465" s="106"/>
      <c r="AT465" s="106"/>
      <c r="AU465" s="106"/>
      <c r="AV465" s="106"/>
      <c r="AW465" s="106"/>
      <c r="AX465" s="106"/>
      <c r="AY465" s="106"/>
      <c r="AZ465" s="106"/>
      <c r="BA465" s="106"/>
      <c r="BB465" s="106"/>
      <c r="BC465" s="106"/>
      <c r="BD465" s="106"/>
      <c r="BE465" s="106"/>
      <c r="BF465" s="106"/>
      <c r="BG465" s="106"/>
      <c r="BH465" s="106"/>
      <c r="BI465" s="106"/>
    </row>
    <row r="466" spans="1:61" ht="15" customHeight="1">
      <c r="A466" s="106"/>
      <c r="B466" s="106"/>
      <c r="C466" s="106"/>
      <c r="D466" s="301"/>
      <c r="E466" s="301"/>
      <c r="F466" s="106"/>
      <c r="G466" s="106"/>
      <c r="H466" s="106"/>
      <c r="I466" s="106"/>
      <c r="J466" s="106"/>
      <c r="K466" s="106"/>
      <c r="L466" s="106"/>
      <c r="M466" s="106"/>
      <c r="N466" s="106"/>
      <c r="O466" s="106"/>
      <c r="P466" s="106"/>
      <c r="Q466" s="106"/>
      <c r="R466" s="106"/>
      <c r="S466" s="106"/>
      <c r="T466" s="106"/>
      <c r="U466" s="106"/>
      <c r="V466" s="106"/>
      <c r="W466" s="106"/>
      <c r="X466" s="106"/>
      <c r="Y466" s="106"/>
      <c r="Z466" s="106"/>
      <c r="AA466" s="106"/>
      <c r="AB466" s="106"/>
      <c r="AC466" s="106"/>
      <c r="AD466" s="106"/>
      <c r="AE466" s="106"/>
      <c r="AF466" s="106"/>
      <c r="AG466" s="106"/>
      <c r="AH466" s="106"/>
      <c r="AI466" s="106"/>
      <c r="AJ466" s="106"/>
      <c r="AK466" s="106"/>
      <c r="AL466" s="106"/>
      <c r="AM466" s="106"/>
      <c r="AN466" s="106"/>
      <c r="AO466" s="106"/>
      <c r="AP466" s="106"/>
      <c r="AQ466" s="106"/>
      <c r="AR466" s="106"/>
      <c r="AS466" s="106"/>
      <c r="AT466" s="106"/>
      <c r="AU466" s="106"/>
      <c r="AV466" s="106"/>
      <c r="AW466" s="106"/>
      <c r="AX466" s="106"/>
      <c r="AY466" s="106"/>
      <c r="AZ466" s="106"/>
      <c r="BA466" s="106"/>
      <c r="BB466" s="106"/>
      <c r="BC466" s="106"/>
      <c r="BD466" s="106"/>
      <c r="BE466" s="106"/>
      <c r="BF466" s="106"/>
      <c r="BG466" s="106"/>
      <c r="BH466" s="106"/>
      <c r="BI466" s="106"/>
    </row>
    <row r="467" spans="1:61" ht="15" customHeight="1">
      <c r="A467" s="106"/>
      <c r="B467" s="106"/>
      <c r="C467" s="106"/>
      <c r="D467" s="301"/>
      <c r="E467" s="301"/>
      <c r="F467" s="106"/>
      <c r="G467" s="106"/>
      <c r="H467" s="106"/>
      <c r="I467" s="106"/>
      <c r="J467" s="106"/>
      <c r="K467" s="106"/>
      <c r="L467" s="106"/>
      <c r="M467" s="106"/>
      <c r="N467" s="106"/>
      <c r="O467" s="106"/>
      <c r="P467" s="106"/>
      <c r="Q467" s="106"/>
      <c r="R467" s="106"/>
      <c r="S467" s="106"/>
      <c r="T467" s="106"/>
      <c r="U467" s="106"/>
      <c r="V467" s="106"/>
      <c r="W467" s="106"/>
      <c r="X467" s="106"/>
      <c r="Y467" s="106"/>
      <c r="Z467" s="106"/>
      <c r="AA467" s="106"/>
      <c r="AB467" s="106"/>
      <c r="AC467" s="106"/>
      <c r="AD467" s="106"/>
      <c r="AE467" s="106"/>
      <c r="AF467" s="106"/>
      <c r="AG467" s="106"/>
      <c r="AH467" s="106"/>
      <c r="AI467" s="106"/>
      <c r="AJ467" s="106"/>
      <c r="AK467" s="106"/>
      <c r="AL467" s="106"/>
      <c r="AM467" s="106"/>
      <c r="AN467" s="106"/>
      <c r="AO467" s="106"/>
      <c r="AP467" s="106"/>
      <c r="AQ467" s="106"/>
      <c r="AR467" s="106"/>
      <c r="AS467" s="106"/>
      <c r="AT467" s="106"/>
      <c r="AU467" s="106"/>
      <c r="AV467" s="106"/>
      <c r="AW467" s="106"/>
      <c r="AX467" s="106"/>
      <c r="AY467" s="106"/>
      <c r="AZ467" s="106"/>
      <c r="BA467" s="106"/>
      <c r="BB467" s="106"/>
      <c r="BC467" s="106"/>
      <c r="BD467" s="106"/>
      <c r="BE467" s="106"/>
      <c r="BF467" s="106"/>
      <c r="BG467" s="106"/>
      <c r="BH467" s="106"/>
      <c r="BI467" s="106"/>
    </row>
    <row r="468" spans="1:61" ht="15" customHeight="1">
      <c r="A468" s="106"/>
      <c r="B468" s="106"/>
      <c r="C468" s="106"/>
      <c r="D468" s="301"/>
      <c r="E468" s="301"/>
      <c r="F468" s="106"/>
      <c r="G468" s="106"/>
      <c r="H468" s="106"/>
      <c r="I468" s="106"/>
      <c r="J468" s="106"/>
      <c r="K468" s="106"/>
      <c r="L468" s="106"/>
      <c r="M468" s="106"/>
      <c r="N468" s="106"/>
      <c r="O468" s="106"/>
      <c r="P468" s="106"/>
      <c r="Q468" s="106"/>
      <c r="R468" s="106"/>
      <c r="S468" s="106"/>
      <c r="T468" s="106"/>
      <c r="U468" s="106"/>
      <c r="V468" s="106"/>
      <c r="W468" s="106"/>
      <c r="X468" s="106"/>
      <c r="Y468" s="106"/>
      <c r="Z468" s="106"/>
      <c r="AA468" s="106"/>
      <c r="AB468" s="106"/>
      <c r="AC468" s="106"/>
      <c r="AD468" s="106"/>
      <c r="AE468" s="106"/>
      <c r="AF468" s="106"/>
      <c r="AG468" s="106"/>
      <c r="AH468" s="106"/>
      <c r="AI468" s="106"/>
      <c r="AJ468" s="106"/>
      <c r="AK468" s="106"/>
      <c r="AL468" s="106"/>
      <c r="AM468" s="106"/>
      <c r="AN468" s="106"/>
      <c r="AO468" s="106"/>
      <c r="AP468" s="106"/>
      <c r="AQ468" s="106"/>
      <c r="AR468" s="106"/>
      <c r="AS468" s="106"/>
      <c r="AT468" s="106"/>
      <c r="AU468" s="106"/>
      <c r="AV468" s="106"/>
      <c r="AW468" s="106"/>
      <c r="AX468" s="106"/>
      <c r="AY468" s="106"/>
      <c r="AZ468" s="106"/>
      <c r="BA468" s="106"/>
      <c r="BB468" s="106"/>
      <c r="BC468" s="106"/>
      <c r="BD468" s="106"/>
      <c r="BE468" s="106"/>
      <c r="BF468" s="106"/>
      <c r="BG468" s="106"/>
      <c r="BH468" s="106"/>
      <c r="BI468" s="106"/>
    </row>
    <row r="469" spans="1:61" ht="15" customHeight="1">
      <c r="A469" s="106"/>
      <c r="B469" s="106"/>
      <c r="C469" s="106"/>
      <c r="D469" s="301"/>
      <c r="E469" s="301"/>
      <c r="F469" s="106"/>
      <c r="G469" s="106"/>
      <c r="H469" s="106"/>
      <c r="I469" s="106"/>
      <c r="J469" s="106"/>
      <c r="K469" s="106"/>
      <c r="L469" s="106"/>
      <c r="M469" s="106"/>
      <c r="N469" s="106"/>
      <c r="O469" s="106"/>
      <c r="P469" s="106"/>
      <c r="Q469" s="106"/>
      <c r="R469" s="106"/>
      <c r="S469" s="106"/>
      <c r="T469" s="106"/>
      <c r="U469" s="106"/>
      <c r="V469" s="106"/>
      <c r="W469" s="106"/>
      <c r="X469" s="106"/>
      <c r="Y469" s="106"/>
      <c r="Z469" s="106"/>
      <c r="AA469" s="106"/>
      <c r="AB469" s="106"/>
      <c r="AC469" s="106"/>
      <c r="AD469" s="106"/>
      <c r="AE469" s="106"/>
      <c r="AF469" s="106"/>
      <c r="AG469" s="106"/>
      <c r="AH469" s="106"/>
      <c r="AI469" s="106"/>
      <c r="AJ469" s="106"/>
      <c r="AK469" s="106"/>
      <c r="AL469" s="106"/>
      <c r="AM469" s="106"/>
      <c r="AN469" s="106"/>
      <c r="AO469" s="106"/>
      <c r="AP469" s="106"/>
      <c r="AQ469" s="106"/>
      <c r="AR469" s="106"/>
      <c r="AS469" s="106"/>
      <c r="AT469" s="106"/>
      <c r="AU469" s="106"/>
      <c r="AV469" s="106"/>
      <c r="AW469" s="106"/>
      <c r="AX469" s="106"/>
      <c r="AY469" s="106"/>
      <c r="AZ469" s="106"/>
      <c r="BA469" s="106"/>
      <c r="BB469" s="106"/>
      <c r="BC469" s="106"/>
      <c r="BD469" s="106"/>
      <c r="BE469" s="106"/>
      <c r="BF469" s="106"/>
      <c r="BG469" s="106"/>
      <c r="BH469" s="106"/>
      <c r="BI469" s="106"/>
    </row>
    <row r="470" spans="1:61" ht="15" customHeight="1">
      <c r="A470" s="106"/>
      <c r="B470" s="106"/>
      <c r="C470" s="106"/>
      <c r="D470" s="301"/>
      <c r="E470" s="301"/>
      <c r="F470" s="106"/>
      <c r="G470" s="106"/>
      <c r="H470" s="106"/>
      <c r="I470" s="106"/>
      <c r="J470" s="106"/>
      <c r="K470" s="106"/>
      <c r="L470" s="106"/>
      <c r="M470" s="106"/>
      <c r="N470" s="106"/>
      <c r="O470" s="106"/>
      <c r="P470" s="106"/>
      <c r="Q470" s="106"/>
      <c r="R470" s="106"/>
      <c r="S470" s="106"/>
      <c r="T470" s="106"/>
      <c r="U470" s="106"/>
      <c r="V470" s="106"/>
      <c r="W470" s="106"/>
      <c r="X470" s="106"/>
      <c r="Y470" s="106"/>
      <c r="Z470" s="106"/>
      <c r="AA470" s="106"/>
      <c r="AB470" s="106"/>
      <c r="AC470" s="106"/>
      <c r="AD470" s="106"/>
      <c r="AE470" s="106"/>
      <c r="AF470" s="106"/>
      <c r="AG470" s="106"/>
      <c r="AH470" s="106"/>
      <c r="AI470" s="106"/>
      <c r="AJ470" s="106"/>
      <c r="AK470" s="106"/>
      <c r="AL470" s="106"/>
      <c r="AM470" s="106"/>
      <c r="AN470" s="106"/>
      <c r="AO470" s="106"/>
      <c r="AP470" s="106"/>
      <c r="AQ470" s="106"/>
      <c r="AR470" s="106"/>
      <c r="AS470" s="106"/>
      <c r="AT470" s="106"/>
      <c r="AU470" s="106"/>
      <c r="AV470" s="106"/>
      <c r="AW470" s="106"/>
      <c r="AX470" s="106"/>
      <c r="AY470" s="106"/>
      <c r="AZ470" s="106"/>
      <c r="BA470" s="106"/>
      <c r="BB470" s="106"/>
      <c r="BC470" s="106"/>
      <c r="BD470" s="106"/>
      <c r="BE470" s="106"/>
      <c r="BF470" s="106"/>
      <c r="BG470" s="106"/>
      <c r="BH470" s="106"/>
      <c r="BI470" s="106"/>
    </row>
    <row r="471" spans="1:61" ht="15" customHeight="1">
      <c r="A471" s="106"/>
      <c r="B471" s="106"/>
      <c r="C471" s="106"/>
      <c r="D471" s="301"/>
      <c r="E471" s="301"/>
      <c r="F471" s="106"/>
      <c r="G471" s="106"/>
      <c r="H471" s="106"/>
      <c r="I471" s="106"/>
      <c r="J471" s="106"/>
      <c r="K471" s="106"/>
      <c r="L471" s="106"/>
      <c r="M471" s="106"/>
      <c r="N471" s="106"/>
      <c r="O471" s="106"/>
      <c r="P471" s="106"/>
      <c r="Q471" s="106"/>
      <c r="R471" s="106"/>
      <c r="S471" s="106"/>
      <c r="T471" s="106"/>
      <c r="U471" s="106"/>
      <c r="V471" s="106"/>
      <c r="W471" s="106"/>
      <c r="X471" s="106"/>
      <c r="Y471" s="106"/>
      <c r="Z471" s="106"/>
      <c r="AA471" s="106"/>
      <c r="AB471" s="106"/>
      <c r="AC471" s="106"/>
      <c r="AD471" s="106"/>
      <c r="AE471" s="106"/>
      <c r="AF471" s="106"/>
      <c r="AG471" s="106"/>
      <c r="AH471" s="106"/>
      <c r="AI471" s="106"/>
      <c r="AJ471" s="106"/>
      <c r="AK471" s="106"/>
      <c r="AL471" s="106"/>
      <c r="AM471" s="106"/>
      <c r="AN471" s="106"/>
      <c r="AO471" s="106"/>
      <c r="AP471" s="106"/>
      <c r="AQ471" s="106"/>
      <c r="AR471" s="106"/>
      <c r="AS471" s="106"/>
      <c r="AT471" s="106"/>
      <c r="AU471" s="106"/>
      <c r="AV471" s="106"/>
      <c r="AW471" s="106"/>
      <c r="AX471" s="106"/>
      <c r="AY471" s="106"/>
      <c r="AZ471" s="106"/>
      <c r="BA471" s="106"/>
      <c r="BB471" s="106"/>
      <c r="BC471" s="106"/>
      <c r="BD471" s="106"/>
      <c r="BE471" s="106"/>
      <c r="BF471" s="106"/>
      <c r="BG471" s="106"/>
      <c r="BH471" s="106"/>
      <c r="BI471" s="106"/>
    </row>
    <row r="472" spans="1:61" ht="15" customHeight="1">
      <c r="A472" s="106"/>
      <c r="B472" s="106"/>
      <c r="C472" s="106"/>
      <c r="D472" s="301"/>
      <c r="E472" s="301"/>
      <c r="F472" s="106"/>
      <c r="G472" s="106"/>
      <c r="H472" s="106"/>
      <c r="I472" s="106"/>
      <c r="J472" s="106"/>
      <c r="K472" s="106"/>
      <c r="L472" s="106"/>
      <c r="M472" s="106"/>
      <c r="N472" s="106"/>
      <c r="O472" s="106"/>
      <c r="P472" s="106"/>
      <c r="Q472" s="106"/>
      <c r="R472" s="106"/>
      <c r="S472" s="106"/>
      <c r="T472" s="106"/>
      <c r="U472" s="106"/>
      <c r="V472" s="106"/>
      <c r="W472" s="106"/>
      <c r="X472" s="106"/>
      <c r="Y472" s="106"/>
      <c r="Z472" s="106"/>
      <c r="AA472" s="106"/>
      <c r="AB472" s="106"/>
      <c r="AC472" s="106"/>
      <c r="AD472" s="106"/>
      <c r="AE472" s="106"/>
      <c r="AF472" s="106"/>
      <c r="AG472" s="106"/>
      <c r="AH472" s="106"/>
      <c r="AI472" s="106"/>
      <c r="AJ472" s="106"/>
      <c r="AK472" s="106"/>
      <c r="AL472" s="106"/>
      <c r="AM472" s="106"/>
      <c r="AN472" s="106"/>
      <c r="AO472" s="106"/>
      <c r="AP472" s="106"/>
      <c r="AQ472" s="106"/>
      <c r="AR472" s="106"/>
      <c r="AS472" s="106"/>
      <c r="AT472" s="106"/>
      <c r="AU472" s="106"/>
      <c r="AV472" s="106"/>
      <c r="AW472" s="106"/>
      <c r="AX472" s="106"/>
      <c r="AY472" s="106"/>
      <c r="AZ472" s="106"/>
      <c r="BA472" s="106"/>
      <c r="BB472" s="106"/>
      <c r="BC472" s="106"/>
      <c r="BD472" s="106"/>
      <c r="BE472" s="106"/>
      <c r="BF472" s="106"/>
      <c r="BG472" s="106"/>
      <c r="BH472" s="106"/>
      <c r="BI472" s="106"/>
    </row>
    <row r="473" spans="1:61" ht="15" customHeight="1">
      <c r="A473" s="106"/>
      <c r="B473" s="106"/>
      <c r="C473" s="106"/>
      <c r="D473" s="301"/>
      <c r="E473" s="301"/>
      <c r="F473" s="106"/>
      <c r="G473" s="106"/>
      <c r="H473" s="106"/>
      <c r="I473" s="106"/>
      <c r="J473" s="106"/>
      <c r="K473" s="106"/>
      <c r="L473" s="106"/>
      <c r="M473" s="106"/>
      <c r="N473" s="106"/>
      <c r="O473" s="106"/>
      <c r="P473" s="106"/>
      <c r="Q473" s="106"/>
      <c r="R473" s="106"/>
      <c r="S473" s="106"/>
      <c r="T473" s="106"/>
      <c r="U473" s="106"/>
      <c r="V473" s="106"/>
      <c r="W473" s="106"/>
      <c r="X473" s="106"/>
      <c r="Y473" s="106"/>
      <c r="Z473" s="106"/>
      <c r="AA473" s="106"/>
      <c r="AB473" s="106"/>
      <c r="AC473" s="106"/>
      <c r="AD473" s="106"/>
      <c r="AE473" s="106"/>
      <c r="AF473" s="106"/>
      <c r="AG473" s="106"/>
      <c r="AH473" s="106"/>
      <c r="AI473" s="106"/>
      <c r="AJ473" s="106"/>
      <c r="AK473" s="106"/>
      <c r="AL473" s="106"/>
      <c r="AM473" s="106"/>
      <c r="AN473" s="106"/>
      <c r="AO473" s="106"/>
      <c r="AP473" s="106"/>
      <c r="AQ473" s="106"/>
      <c r="AR473" s="106"/>
      <c r="AS473" s="106"/>
      <c r="AT473" s="106"/>
      <c r="AU473" s="106"/>
      <c r="AV473" s="106"/>
      <c r="AW473" s="106"/>
      <c r="AX473" s="106"/>
      <c r="AY473" s="106"/>
      <c r="AZ473" s="106"/>
      <c r="BA473" s="106"/>
      <c r="BB473" s="106"/>
      <c r="BC473" s="106"/>
      <c r="BD473" s="106"/>
      <c r="BE473" s="106"/>
      <c r="BF473" s="106"/>
      <c r="BG473" s="106"/>
      <c r="BH473" s="106"/>
      <c r="BI473" s="106"/>
    </row>
    <row r="474" spans="1:61" ht="15" customHeight="1">
      <c r="A474" s="106"/>
      <c r="B474" s="106"/>
      <c r="C474" s="106"/>
      <c r="D474" s="301"/>
      <c r="E474" s="301"/>
      <c r="F474" s="106"/>
      <c r="G474" s="106"/>
      <c r="H474" s="106"/>
      <c r="I474" s="106"/>
      <c r="J474" s="106"/>
      <c r="K474" s="106"/>
      <c r="L474" s="106"/>
      <c r="M474" s="106"/>
      <c r="N474" s="106"/>
      <c r="O474" s="106"/>
      <c r="P474" s="106"/>
      <c r="Q474" s="106"/>
      <c r="R474" s="106"/>
      <c r="S474" s="106"/>
      <c r="T474" s="106"/>
      <c r="U474" s="106"/>
      <c r="V474" s="106"/>
      <c r="W474" s="106"/>
      <c r="X474" s="106"/>
      <c r="Y474" s="106"/>
      <c r="Z474" s="106"/>
      <c r="AA474" s="106"/>
      <c r="AB474" s="106"/>
      <c r="AC474" s="106"/>
      <c r="AD474" s="106"/>
      <c r="AE474" s="106"/>
      <c r="AF474" s="106"/>
      <c r="AG474" s="106"/>
      <c r="AH474" s="106"/>
      <c r="AI474" s="106"/>
      <c r="AJ474" s="106"/>
      <c r="AK474" s="106"/>
      <c r="AL474" s="106"/>
      <c r="AM474" s="106"/>
      <c r="AN474" s="106"/>
      <c r="AO474" s="106"/>
      <c r="AP474" s="106"/>
      <c r="AQ474" s="106"/>
      <c r="AR474" s="106"/>
      <c r="AS474" s="106"/>
      <c r="AT474" s="106"/>
      <c r="AU474" s="106"/>
      <c r="AV474" s="106"/>
      <c r="AW474" s="106"/>
      <c r="AX474" s="106"/>
      <c r="AY474" s="106"/>
      <c r="AZ474" s="106"/>
      <c r="BA474" s="106"/>
      <c r="BB474" s="106"/>
      <c r="BC474" s="106"/>
      <c r="BD474" s="106"/>
      <c r="BE474" s="106"/>
      <c r="BF474" s="106"/>
      <c r="BG474" s="106"/>
      <c r="BH474" s="106"/>
      <c r="BI474" s="106"/>
    </row>
    <row r="475" spans="1:61" ht="15" customHeight="1">
      <c r="A475" s="106"/>
      <c r="B475" s="106"/>
      <c r="C475" s="106"/>
      <c r="D475" s="301"/>
      <c r="E475" s="301"/>
      <c r="F475" s="106"/>
      <c r="G475" s="106"/>
      <c r="H475" s="106"/>
      <c r="I475" s="106"/>
      <c r="J475" s="106"/>
      <c r="K475" s="106"/>
      <c r="L475" s="106"/>
      <c r="M475" s="106"/>
      <c r="N475" s="106"/>
      <c r="O475" s="106"/>
      <c r="P475" s="106"/>
      <c r="Q475" s="106"/>
      <c r="R475" s="106"/>
      <c r="S475" s="106"/>
      <c r="T475" s="106"/>
      <c r="U475" s="106"/>
      <c r="V475" s="106"/>
      <c r="W475" s="106"/>
      <c r="X475" s="106"/>
      <c r="Y475" s="106"/>
      <c r="Z475" s="106"/>
      <c r="AA475" s="106"/>
      <c r="AB475" s="106"/>
      <c r="AC475" s="106"/>
      <c r="AD475" s="106"/>
      <c r="AE475" s="106"/>
      <c r="AF475" s="106"/>
      <c r="AG475" s="106"/>
      <c r="AH475" s="106"/>
      <c r="AI475" s="106"/>
      <c r="AJ475" s="106"/>
      <c r="AK475" s="106"/>
      <c r="AL475" s="106"/>
      <c r="AM475" s="106"/>
      <c r="AN475" s="106"/>
      <c r="AO475" s="106"/>
      <c r="AP475" s="106"/>
      <c r="AQ475" s="106"/>
      <c r="AR475" s="106"/>
      <c r="AS475" s="106"/>
      <c r="AT475" s="106"/>
      <c r="AU475" s="106"/>
      <c r="AV475" s="106"/>
      <c r="AW475" s="106"/>
      <c r="AX475" s="106"/>
      <c r="AY475" s="106"/>
      <c r="AZ475" s="106"/>
      <c r="BA475" s="106"/>
      <c r="BB475" s="106"/>
      <c r="BC475" s="106"/>
      <c r="BD475" s="106"/>
      <c r="BE475" s="106"/>
      <c r="BF475" s="106"/>
      <c r="BG475" s="106"/>
      <c r="BH475" s="106"/>
      <c r="BI475" s="106"/>
    </row>
    <row r="476" spans="1:61" ht="15" customHeight="1">
      <c r="A476" s="106"/>
      <c r="B476" s="106"/>
      <c r="C476" s="106"/>
      <c r="D476" s="301"/>
      <c r="E476" s="301"/>
      <c r="F476" s="106"/>
      <c r="G476" s="106"/>
      <c r="H476" s="106"/>
      <c r="I476" s="106"/>
      <c r="J476" s="106"/>
      <c r="K476" s="106"/>
      <c r="L476" s="106"/>
      <c r="M476" s="106"/>
      <c r="N476" s="106"/>
      <c r="O476" s="106"/>
      <c r="P476" s="106"/>
      <c r="Q476" s="106"/>
      <c r="R476" s="106"/>
      <c r="S476" s="106"/>
      <c r="T476" s="106"/>
      <c r="U476" s="106"/>
      <c r="V476" s="106"/>
      <c r="W476" s="106"/>
      <c r="X476" s="106"/>
      <c r="Y476" s="106"/>
      <c r="Z476" s="106"/>
      <c r="AA476" s="106"/>
      <c r="AB476" s="106"/>
      <c r="AC476" s="106"/>
      <c r="AD476" s="106"/>
      <c r="AE476" s="106"/>
      <c r="AF476" s="106"/>
      <c r="AG476" s="106"/>
      <c r="AH476" s="106"/>
      <c r="AI476" s="106"/>
      <c r="AJ476" s="106"/>
      <c r="AK476" s="106"/>
      <c r="AL476" s="106"/>
      <c r="AM476" s="106"/>
      <c r="AN476" s="106"/>
      <c r="AO476" s="106"/>
      <c r="AP476" s="106"/>
      <c r="AQ476" s="106"/>
      <c r="AR476" s="106"/>
      <c r="AS476" s="106"/>
      <c r="AT476" s="106"/>
      <c r="AU476" s="106"/>
      <c r="AV476" s="106"/>
      <c r="AW476" s="106"/>
      <c r="AX476" s="106"/>
      <c r="AY476" s="106"/>
      <c r="AZ476" s="106"/>
      <c r="BA476" s="106"/>
      <c r="BB476" s="106"/>
      <c r="BC476" s="106"/>
      <c r="BD476" s="106"/>
      <c r="BE476" s="106"/>
      <c r="BF476" s="106"/>
      <c r="BG476" s="106"/>
      <c r="BH476" s="106"/>
      <c r="BI476" s="106"/>
    </row>
    <row r="477" spans="1:61" ht="15" customHeight="1">
      <c r="A477" s="106"/>
      <c r="B477" s="106"/>
      <c r="C477" s="106"/>
      <c r="D477" s="301"/>
      <c r="E477" s="301"/>
      <c r="F477" s="106"/>
      <c r="G477" s="106"/>
      <c r="H477" s="106"/>
      <c r="I477" s="106"/>
      <c r="J477" s="106"/>
      <c r="K477" s="106"/>
      <c r="L477" s="106"/>
      <c r="M477" s="106"/>
      <c r="N477" s="106"/>
      <c r="O477" s="106"/>
      <c r="P477" s="106"/>
      <c r="Q477" s="106"/>
      <c r="R477" s="106"/>
      <c r="S477" s="106"/>
      <c r="T477" s="106"/>
      <c r="U477" s="106"/>
      <c r="V477" s="106"/>
      <c r="W477" s="106"/>
      <c r="X477" s="106"/>
      <c r="Y477" s="106"/>
      <c r="Z477" s="106"/>
      <c r="AA477" s="106"/>
      <c r="AB477" s="106"/>
      <c r="AC477" s="106"/>
      <c r="AD477" s="106"/>
      <c r="AE477" s="106"/>
      <c r="AF477" s="106"/>
      <c r="AG477" s="106"/>
      <c r="AH477" s="106"/>
      <c r="AI477" s="106"/>
      <c r="AJ477" s="106"/>
      <c r="AK477" s="106"/>
      <c r="AL477" s="106"/>
      <c r="AM477" s="106"/>
      <c r="AN477" s="106"/>
      <c r="AO477" s="106"/>
      <c r="AP477" s="106"/>
      <c r="AQ477" s="106"/>
      <c r="AR477" s="106"/>
      <c r="AS477" s="106"/>
      <c r="AT477" s="106"/>
      <c r="AU477" s="106"/>
      <c r="AV477" s="106"/>
      <c r="AW477" s="106"/>
      <c r="AX477" s="106"/>
      <c r="AY477" s="106"/>
      <c r="AZ477" s="106"/>
      <c r="BA477" s="106"/>
      <c r="BB477" s="106"/>
      <c r="BC477" s="106"/>
      <c r="BD477" s="106"/>
      <c r="BE477" s="106"/>
      <c r="BF477" s="106"/>
      <c r="BG477" s="106"/>
      <c r="BH477" s="106"/>
      <c r="BI477" s="106"/>
    </row>
    <row r="478" spans="1:61" ht="15" customHeight="1">
      <c r="A478" s="106"/>
      <c r="B478" s="106"/>
      <c r="C478" s="106"/>
      <c r="D478" s="301"/>
      <c r="E478" s="301"/>
      <c r="F478" s="106"/>
      <c r="G478" s="106"/>
      <c r="H478" s="106"/>
      <c r="I478" s="106"/>
      <c r="J478" s="106"/>
      <c r="K478" s="106"/>
      <c r="L478" s="106"/>
      <c r="M478" s="106"/>
      <c r="N478" s="106"/>
      <c r="O478" s="106"/>
      <c r="P478" s="106"/>
      <c r="Q478" s="106"/>
      <c r="R478" s="106"/>
      <c r="S478" s="106"/>
      <c r="T478" s="106"/>
      <c r="U478" s="106"/>
      <c r="V478" s="106"/>
      <c r="W478" s="106"/>
      <c r="X478" s="106"/>
      <c r="Y478" s="106"/>
      <c r="Z478" s="106"/>
      <c r="AA478" s="106"/>
      <c r="AB478" s="106"/>
      <c r="AC478" s="106"/>
      <c r="AD478" s="106"/>
      <c r="AE478" s="106"/>
      <c r="AF478" s="106"/>
      <c r="AG478" s="106"/>
      <c r="AH478" s="106"/>
      <c r="AI478" s="106"/>
      <c r="AJ478" s="106"/>
      <c r="AK478" s="106"/>
      <c r="AL478" s="106"/>
      <c r="AM478" s="106"/>
      <c r="AN478" s="106"/>
      <c r="AO478" s="106"/>
      <c r="AP478" s="106"/>
      <c r="AQ478" s="106"/>
      <c r="AR478" s="106"/>
      <c r="AS478" s="106"/>
      <c r="AT478" s="106"/>
      <c r="AU478" s="106"/>
      <c r="AV478" s="106"/>
      <c r="AW478" s="106"/>
      <c r="AX478" s="106"/>
      <c r="AY478" s="106"/>
      <c r="AZ478" s="106"/>
      <c r="BA478" s="106"/>
      <c r="BB478" s="106"/>
      <c r="BC478" s="106"/>
      <c r="BD478" s="106"/>
      <c r="BE478" s="106"/>
      <c r="BF478" s="106"/>
      <c r="BG478" s="106"/>
      <c r="BH478" s="106"/>
      <c r="BI478" s="106"/>
    </row>
    <row r="479" spans="1:61" ht="15" customHeight="1">
      <c r="A479" s="106"/>
      <c r="B479" s="106"/>
      <c r="C479" s="106"/>
      <c r="D479" s="301"/>
      <c r="E479" s="301"/>
      <c r="F479" s="106"/>
      <c r="G479" s="106"/>
      <c r="H479" s="106"/>
      <c r="I479" s="106"/>
      <c r="J479" s="106"/>
      <c r="K479" s="106"/>
      <c r="L479" s="106"/>
      <c r="M479" s="106"/>
      <c r="N479" s="106"/>
      <c r="O479" s="106"/>
      <c r="P479" s="106"/>
      <c r="Q479" s="106"/>
      <c r="R479" s="106"/>
      <c r="S479" s="106"/>
      <c r="T479" s="106"/>
      <c r="U479" s="106"/>
      <c r="V479" s="106"/>
      <c r="W479" s="106"/>
      <c r="X479" s="106"/>
      <c r="Y479" s="106"/>
      <c r="Z479" s="106"/>
      <c r="AA479" s="106"/>
      <c r="AB479" s="106"/>
      <c r="AC479" s="106"/>
      <c r="AD479" s="106"/>
      <c r="AE479" s="106"/>
      <c r="AF479" s="106"/>
      <c r="AG479" s="106"/>
      <c r="AH479" s="106"/>
      <c r="AI479" s="106"/>
      <c r="AJ479" s="106"/>
      <c r="AK479" s="106"/>
      <c r="AL479" s="106"/>
      <c r="AM479" s="106"/>
      <c r="AN479" s="106"/>
      <c r="AO479" s="106"/>
      <c r="AP479" s="106"/>
      <c r="AQ479" s="106"/>
      <c r="AR479" s="106"/>
      <c r="AS479" s="106"/>
      <c r="AT479" s="106"/>
      <c r="AU479" s="106"/>
      <c r="AV479" s="106"/>
      <c r="AW479" s="106"/>
      <c r="AX479" s="106"/>
      <c r="AY479" s="106"/>
      <c r="AZ479" s="106"/>
      <c r="BA479" s="106"/>
      <c r="BB479" s="106"/>
      <c r="BC479" s="106"/>
      <c r="BD479" s="106"/>
      <c r="BE479" s="106"/>
      <c r="BF479" s="106"/>
      <c r="BG479" s="106"/>
      <c r="BH479" s="106"/>
      <c r="BI479" s="106"/>
    </row>
    <row r="480" spans="1:61" ht="15" customHeight="1">
      <c r="A480" s="106"/>
      <c r="B480" s="106"/>
      <c r="C480" s="106"/>
      <c r="D480" s="301"/>
      <c r="E480" s="301"/>
      <c r="F480" s="106"/>
      <c r="G480" s="106"/>
      <c r="H480" s="106"/>
      <c r="I480" s="106"/>
      <c r="J480" s="106"/>
      <c r="K480" s="106"/>
      <c r="L480" s="106"/>
      <c r="M480" s="106"/>
      <c r="N480" s="106"/>
      <c r="O480" s="106"/>
      <c r="P480" s="106"/>
      <c r="Q480" s="106"/>
      <c r="R480" s="106"/>
      <c r="S480" s="106"/>
      <c r="T480" s="106"/>
      <c r="U480" s="106"/>
      <c r="V480" s="106"/>
      <c r="W480" s="106"/>
      <c r="X480" s="106"/>
      <c r="Y480" s="106"/>
      <c r="Z480" s="106"/>
      <c r="AA480" s="106"/>
      <c r="AB480" s="106"/>
      <c r="AC480" s="106"/>
      <c r="AD480" s="106"/>
      <c r="AE480" s="106"/>
      <c r="AF480" s="106"/>
      <c r="AG480" s="106"/>
      <c r="AH480" s="106"/>
      <c r="AI480" s="106"/>
      <c r="AJ480" s="106"/>
      <c r="AK480" s="106"/>
      <c r="AL480" s="106"/>
      <c r="AM480" s="106"/>
      <c r="AN480" s="106"/>
      <c r="AO480" s="106"/>
      <c r="AP480" s="106"/>
      <c r="AQ480" s="106"/>
      <c r="AR480" s="106"/>
      <c r="AS480" s="106"/>
      <c r="AT480" s="106"/>
      <c r="AU480" s="106"/>
      <c r="AV480" s="106"/>
      <c r="AW480" s="106"/>
      <c r="AX480" s="106"/>
      <c r="AY480" s="106"/>
      <c r="AZ480" s="106"/>
      <c r="BA480" s="106"/>
      <c r="BB480" s="106"/>
      <c r="BC480" s="106"/>
      <c r="BD480" s="106"/>
      <c r="BE480" s="106"/>
      <c r="BF480" s="106"/>
      <c r="BG480" s="106"/>
      <c r="BH480" s="106"/>
      <c r="BI480" s="106"/>
    </row>
    <row r="481" spans="1:61" ht="15" customHeight="1">
      <c r="A481" s="106"/>
      <c r="B481" s="106"/>
      <c r="C481" s="106"/>
      <c r="D481" s="301"/>
      <c r="E481" s="301"/>
      <c r="F481" s="106"/>
      <c r="G481" s="106"/>
      <c r="H481" s="106"/>
      <c r="I481" s="106"/>
      <c r="J481" s="106"/>
      <c r="K481" s="106"/>
      <c r="L481" s="106"/>
      <c r="M481" s="106"/>
      <c r="N481" s="106"/>
      <c r="O481" s="106"/>
      <c r="P481" s="106"/>
      <c r="Q481" s="106"/>
      <c r="R481" s="106"/>
      <c r="S481" s="106"/>
      <c r="T481" s="106"/>
      <c r="U481" s="106"/>
      <c r="V481" s="106"/>
      <c r="W481" s="106"/>
      <c r="X481" s="106"/>
      <c r="Y481" s="106"/>
      <c r="Z481" s="106"/>
      <c r="AA481" s="106"/>
      <c r="AB481" s="106"/>
      <c r="AC481" s="106"/>
      <c r="AD481" s="106"/>
      <c r="AE481" s="106"/>
      <c r="AF481" s="106"/>
      <c r="AG481" s="106"/>
      <c r="AH481" s="106"/>
      <c r="AI481" s="106"/>
      <c r="AJ481" s="106"/>
      <c r="AK481" s="106"/>
      <c r="AL481" s="106"/>
      <c r="AM481" s="106"/>
      <c r="AN481" s="106"/>
      <c r="AO481" s="106"/>
      <c r="AP481" s="106"/>
      <c r="AQ481" s="106"/>
      <c r="AR481" s="106"/>
      <c r="AS481" s="106"/>
      <c r="AT481" s="106"/>
      <c r="AU481" s="106"/>
      <c r="AV481" s="106"/>
      <c r="AW481" s="106"/>
      <c r="AX481" s="106"/>
      <c r="AY481" s="106"/>
      <c r="AZ481" s="106"/>
      <c r="BA481" s="106"/>
      <c r="BB481" s="106"/>
      <c r="BC481" s="106"/>
      <c r="BD481" s="106"/>
      <c r="BE481" s="106"/>
      <c r="BF481" s="106"/>
      <c r="BG481" s="106"/>
      <c r="BH481" s="106"/>
      <c r="BI481" s="106"/>
    </row>
    <row r="482" spans="1:61" ht="15" customHeight="1">
      <c r="A482" s="106"/>
      <c r="B482" s="106"/>
      <c r="C482" s="106"/>
      <c r="D482" s="301"/>
      <c r="E482" s="301"/>
      <c r="F482" s="106"/>
      <c r="G482" s="106"/>
      <c r="H482" s="106"/>
      <c r="I482" s="106"/>
      <c r="J482" s="106"/>
      <c r="K482" s="106"/>
      <c r="L482" s="106"/>
      <c r="M482" s="106"/>
      <c r="N482" s="106"/>
      <c r="O482" s="106"/>
      <c r="P482" s="106"/>
      <c r="Q482" s="106"/>
      <c r="R482" s="106"/>
      <c r="S482" s="106"/>
      <c r="T482" s="106"/>
      <c r="U482" s="106"/>
      <c r="V482" s="106"/>
      <c r="W482" s="106"/>
      <c r="X482" s="106"/>
      <c r="Y482" s="106"/>
      <c r="Z482" s="106"/>
      <c r="AA482" s="106"/>
      <c r="AB482" s="106"/>
      <c r="AC482" s="106"/>
      <c r="AD482" s="106"/>
      <c r="AE482" s="106"/>
      <c r="AF482" s="106"/>
      <c r="AG482" s="106"/>
      <c r="AH482" s="106"/>
      <c r="AI482" s="106"/>
      <c r="AJ482" s="106"/>
      <c r="AK482" s="106"/>
      <c r="AL482" s="106"/>
      <c r="AM482" s="106"/>
      <c r="AN482" s="106"/>
      <c r="AO482" s="106"/>
      <c r="AP482" s="106"/>
      <c r="AQ482" s="106"/>
      <c r="AR482" s="106"/>
      <c r="AS482" s="106"/>
      <c r="AT482" s="106"/>
      <c r="AU482" s="106"/>
      <c r="AV482" s="106"/>
      <c r="AW482" s="106"/>
      <c r="AX482" s="106"/>
      <c r="AY482" s="106"/>
      <c r="AZ482" s="106"/>
      <c r="BA482" s="106"/>
      <c r="BB482" s="106"/>
      <c r="BC482" s="106"/>
      <c r="BD482" s="106"/>
      <c r="BE482" s="106"/>
      <c r="BF482" s="106"/>
      <c r="BG482" s="106"/>
      <c r="BH482" s="106"/>
      <c r="BI482" s="106"/>
    </row>
    <row r="483" spans="1:61" ht="15" customHeight="1">
      <c r="A483" s="106"/>
      <c r="B483" s="106"/>
      <c r="C483" s="106"/>
      <c r="D483" s="301"/>
      <c r="E483" s="301"/>
      <c r="F483" s="106"/>
      <c r="G483" s="106"/>
      <c r="H483" s="106"/>
      <c r="I483" s="106"/>
      <c r="J483" s="106"/>
      <c r="K483" s="106"/>
      <c r="L483" s="106"/>
      <c r="M483" s="106"/>
      <c r="N483" s="106"/>
      <c r="O483" s="106"/>
      <c r="P483" s="106"/>
      <c r="Q483" s="106"/>
      <c r="R483" s="106"/>
      <c r="S483" s="106"/>
      <c r="T483" s="106"/>
      <c r="U483" s="106"/>
      <c r="V483" s="106"/>
      <c r="W483" s="106"/>
      <c r="X483" s="106"/>
      <c r="Y483" s="106"/>
      <c r="Z483" s="106"/>
      <c r="AA483" s="106"/>
      <c r="AB483" s="106"/>
      <c r="AC483" s="106"/>
      <c r="AD483" s="106"/>
      <c r="AE483" s="106"/>
      <c r="AF483" s="106"/>
      <c r="AG483" s="106"/>
      <c r="AH483" s="106"/>
      <c r="AI483" s="106"/>
      <c r="AJ483" s="106"/>
      <c r="AK483" s="106"/>
      <c r="AL483" s="106"/>
      <c r="AM483" s="106"/>
      <c r="AN483" s="106"/>
      <c r="AO483" s="106"/>
      <c r="AP483" s="106"/>
      <c r="AQ483" s="106"/>
      <c r="AR483" s="106"/>
      <c r="AS483" s="106"/>
      <c r="AT483" s="106"/>
      <c r="AU483" s="106"/>
      <c r="AV483" s="106"/>
      <c r="AW483" s="106"/>
      <c r="AX483" s="106"/>
      <c r="AY483" s="106"/>
      <c r="AZ483" s="106"/>
      <c r="BA483" s="106"/>
      <c r="BB483" s="106"/>
      <c r="BC483" s="106"/>
      <c r="BD483" s="106"/>
      <c r="BE483" s="106"/>
      <c r="BF483" s="106"/>
      <c r="BG483" s="106"/>
      <c r="BH483" s="106"/>
      <c r="BI483" s="106"/>
    </row>
    <row r="484" spans="1:61" ht="15" customHeight="1">
      <c r="A484" s="106"/>
      <c r="B484" s="106"/>
      <c r="C484" s="106"/>
      <c r="D484" s="301"/>
      <c r="E484" s="301"/>
      <c r="F484" s="106"/>
      <c r="G484" s="106"/>
      <c r="H484" s="106"/>
      <c r="I484" s="106"/>
      <c r="J484" s="106"/>
      <c r="K484" s="106"/>
      <c r="L484" s="106"/>
      <c r="M484" s="106"/>
      <c r="N484" s="106"/>
      <c r="O484" s="106"/>
      <c r="P484" s="106"/>
      <c r="Q484" s="106"/>
      <c r="R484" s="106"/>
      <c r="S484" s="106"/>
      <c r="T484" s="106"/>
      <c r="U484" s="106"/>
      <c r="V484" s="106"/>
      <c r="W484" s="106"/>
      <c r="X484" s="106"/>
      <c r="Y484" s="106"/>
      <c r="Z484" s="106"/>
      <c r="AA484" s="106"/>
      <c r="AB484" s="106"/>
      <c r="AC484" s="106"/>
      <c r="AD484" s="106"/>
      <c r="AE484" s="106"/>
      <c r="AF484" s="106"/>
      <c r="AG484" s="106"/>
      <c r="AH484" s="106"/>
      <c r="AI484" s="106"/>
      <c r="AJ484" s="106"/>
      <c r="AK484" s="106"/>
      <c r="AL484" s="106"/>
      <c r="AM484" s="106"/>
      <c r="AN484" s="106"/>
      <c r="AO484" s="106"/>
      <c r="AP484" s="106"/>
      <c r="AQ484" s="106"/>
      <c r="AR484" s="106"/>
      <c r="AS484" s="106"/>
      <c r="AT484" s="106"/>
      <c r="AU484" s="106"/>
      <c r="AV484" s="106"/>
      <c r="AW484" s="106"/>
      <c r="AX484" s="106"/>
      <c r="AY484" s="106"/>
      <c r="AZ484" s="106"/>
      <c r="BA484" s="106"/>
      <c r="BB484" s="106"/>
      <c r="BC484" s="106"/>
      <c r="BD484" s="106"/>
      <c r="BE484" s="106"/>
      <c r="BF484" s="106"/>
      <c r="BG484" s="106"/>
      <c r="BH484" s="106"/>
      <c r="BI484" s="106"/>
    </row>
    <row r="485" spans="1:61" ht="15" customHeight="1">
      <c r="A485" s="106"/>
      <c r="B485" s="106"/>
      <c r="C485" s="106"/>
      <c r="D485" s="301"/>
      <c r="E485" s="301"/>
      <c r="F485" s="106"/>
      <c r="G485" s="106"/>
      <c r="H485" s="106"/>
      <c r="I485" s="106"/>
      <c r="J485" s="106"/>
      <c r="K485" s="106"/>
      <c r="L485" s="106"/>
      <c r="M485" s="106"/>
      <c r="N485" s="106"/>
      <c r="O485" s="106"/>
      <c r="P485" s="106"/>
      <c r="Q485" s="106"/>
      <c r="R485" s="106"/>
      <c r="S485" s="106"/>
      <c r="T485" s="106"/>
      <c r="U485" s="106"/>
      <c r="V485" s="106"/>
      <c r="W485" s="106"/>
      <c r="X485" s="106"/>
      <c r="Y485" s="106"/>
      <c r="Z485" s="106"/>
      <c r="AA485" s="106"/>
      <c r="AB485" s="106"/>
      <c r="AC485" s="106"/>
      <c r="AD485" s="106"/>
      <c r="AE485" s="106"/>
      <c r="AF485" s="106"/>
      <c r="AG485" s="106"/>
      <c r="AH485" s="106"/>
      <c r="AI485" s="106"/>
      <c r="AJ485" s="106"/>
      <c r="AK485" s="106"/>
      <c r="AL485" s="106"/>
      <c r="AM485" s="106"/>
      <c r="AN485" s="106"/>
      <c r="AO485" s="106"/>
      <c r="AP485" s="106"/>
      <c r="AQ485" s="106"/>
      <c r="AR485" s="106"/>
      <c r="AS485" s="106"/>
      <c r="AT485" s="106"/>
      <c r="AU485" s="106"/>
      <c r="AV485" s="106"/>
      <c r="AW485" s="106"/>
      <c r="AX485" s="106"/>
      <c r="AY485" s="106"/>
      <c r="AZ485" s="106"/>
      <c r="BA485" s="106"/>
      <c r="BB485" s="106"/>
      <c r="BC485" s="106"/>
      <c r="BD485" s="106"/>
      <c r="BE485" s="106"/>
      <c r="BF485" s="106"/>
      <c r="BG485" s="106"/>
      <c r="BH485" s="106"/>
      <c r="BI485" s="106"/>
    </row>
    <row r="486" spans="1:61" ht="15" customHeight="1">
      <c r="A486" s="106"/>
      <c r="B486" s="106"/>
      <c r="C486" s="106"/>
      <c r="D486" s="301"/>
      <c r="E486" s="301"/>
      <c r="F486" s="106"/>
      <c r="G486" s="106"/>
      <c r="H486" s="106"/>
      <c r="I486" s="106"/>
      <c r="J486" s="106"/>
      <c r="K486" s="106"/>
      <c r="L486" s="106"/>
      <c r="M486" s="106"/>
      <c r="N486" s="106"/>
      <c r="O486" s="106"/>
      <c r="P486" s="106"/>
      <c r="Q486" s="106"/>
      <c r="R486" s="106"/>
      <c r="S486" s="106"/>
      <c r="T486" s="106"/>
      <c r="U486" s="106"/>
      <c r="V486" s="106"/>
      <c r="W486" s="106"/>
      <c r="X486" s="106"/>
      <c r="Y486" s="106"/>
      <c r="Z486" s="106"/>
      <c r="AA486" s="106"/>
      <c r="AB486" s="106"/>
      <c r="AC486" s="106"/>
      <c r="AD486" s="106"/>
      <c r="AE486" s="106"/>
      <c r="AF486" s="106"/>
      <c r="AG486" s="106"/>
      <c r="AH486" s="106"/>
      <c r="AI486" s="106"/>
      <c r="AJ486" s="106"/>
      <c r="AK486" s="106"/>
      <c r="AL486" s="106"/>
      <c r="AM486" s="106"/>
      <c r="AN486" s="106"/>
      <c r="AO486" s="106"/>
      <c r="AP486" s="106"/>
      <c r="AQ486" s="106"/>
      <c r="AR486" s="106"/>
      <c r="AS486" s="106"/>
      <c r="AT486" s="106"/>
      <c r="AU486" s="106"/>
      <c r="AV486" s="106"/>
      <c r="AW486" s="106"/>
      <c r="AX486" s="106"/>
      <c r="AY486" s="106"/>
      <c r="AZ486" s="106"/>
      <c r="BA486" s="106"/>
      <c r="BB486" s="106"/>
      <c r="BC486" s="106"/>
      <c r="BD486" s="106"/>
      <c r="BE486" s="106"/>
      <c r="BF486" s="106"/>
      <c r="BG486" s="106"/>
      <c r="BH486" s="106"/>
      <c r="BI486" s="106"/>
    </row>
    <row r="487" spans="1:61" ht="15" customHeight="1">
      <c r="A487" s="106"/>
      <c r="B487" s="106"/>
      <c r="C487" s="106"/>
      <c r="D487" s="301"/>
      <c r="E487" s="301"/>
      <c r="F487" s="106"/>
      <c r="G487" s="106"/>
      <c r="H487" s="106"/>
      <c r="I487" s="106"/>
      <c r="J487" s="106"/>
      <c r="K487" s="106"/>
      <c r="L487" s="106"/>
      <c r="M487" s="106"/>
      <c r="N487" s="106"/>
      <c r="O487" s="106"/>
      <c r="P487" s="106"/>
      <c r="Q487" s="106"/>
      <c r="R487" s="106"/>
      <c r="S487" s="106"/>
      <c r="T487" s="106"/>
      <c r="U487" s="106"/>
      <c r="V487" s="106"/>
      <c r="W487" s="106"/>
      <c r="X487" s="106"/>
      <c r="Y487" s="106"/>
      <c r="Z487" s="106"/>
      <c r="AA487" s="106"/>
      <c r="AB487" s="106"/>
      <c r="AC487" s="106"/>
      <c r="AD487" s="106"/>
      <c r="AE487" s="106"/>
      <c r="AF487" s="106"/>
      <c r="AG487" s="106"/>
      <c r="AH487" s="106"/>
      <c r="AI487" s="106"/>
      <c r="AJ487" s="106"/>
      <c r="AK487" s="106"/>
      <c r="AL487" s="106"/>
      <c r="AM487" s="106"/>
      <c r="AN487" s="106"/>
      <c r="AO487" s="106"/>
      <c r="AP487" s="106"/>
      <c r="AQ487" s="106"/>
      <c r="AR487" s="106"/>
      <c r="AS487" s="106"/>
      <c r="AT487" s="106"/>
      <c r="AU487" s="106"/>
      <c r="AV487" s="106"/>
      <c r="AW487" s="106"/>
      <c r="AX487" s="106"/>
      <c r="AY487" s="106"/>
      <c r="AZ487" s="106"/>
      <c r="BA487" s="106"/>
      <c r="BB487" s="106"/>
      <c r="BC487" s="106"/>
      <c r="BD487" s="106"/>
      <c r="BE487" s="106"/>
      <c r="BF487" s="106"/>
      <c r="BG487" s="106"/>
      <c r="BH487" s="106"/>
      <c r="BI487" s="106"/>
    </row>
    <row r="488" spans="1:61" ht="15" customHeight="1">
      <c r="A488" s="106"/>
      <c r="B488" s="106"/>
      <c r="C488" s="106"/>
      <c r="D488" s="301"/>
      <c r="E488" s="301"/>
      <c r="F488" s="106"/>
      <c r="G488" s="106"/>
      <c r="H488" s="106"/>
      <c r="I488" s="106"/>
      <c r="J488" s="106"/>
      <c r="K488" s="106"/>
      <c r="L488" s="106"/>
      <c r="M488" s="106"/>
      <c r="N488" s="106"/>
      <c r="O488" s="106"/>
      <c r="P488" s="106"/>
      <c r="Q488" s="106"/>
      <c r="R488" s="106"/>
      <c r="S488" s="106"/>
      <c r="T488" s="106"/>
      <c r="U488" s="106"/>
      <c r="V488" s="106"/>
      <c r="W488" s="106"/>
      <c r="X488" s="106"/>
      <c r="Y488" s="106"/>
      <c r="Z488" s="106"/>
      <c r="AA488" s="106"/>
      <c r="AB488" s="106"/>
      <c r="AC488" s="106"/>
      <c r="AD488" s="106"/>
      <c r="AE488" s="106"/>
      <c r="AF488" s="106"/>
      <c r="AG488" s="106"/>
      <c r="AH488" s="106"/>
      <c r="AI488" s="106"/>
      <c r="AJ488" s="106"/>
      <c r="AK488" s="106"/>
      <c r="AL488" s="106"/>
      <c r="AM488" s="106"/>
      <c r="AN488" s="106"/>
      <c r="AO488" s="106"/>
      <c r="AP488" s="106"/>
      <c r="AQ488" s="106"/>
      <c r="AR488" s="106"/>
      <c r="AS488" s="106"/>
      <c r="AT488" s="106"/>
      <c r="AU488" s="106"/>
      <c r="AV488" s="106"/>
      <c r="AW488" s="106"/>
      <c r="AX488" s="106"/>
      <c r="AY488" s="106"/>
      <c r="AZ488" s="106"/>
      <c r="BA488" s="106"/>
      <c r="BB488" s="106"/>
      <c r="BC488" s="106"/>
      <c r="BD488" s="106"/>
      <c r="BE488" s="106"/>
      <c r="BF488" s="106"/>
      <c r="BG488" s="106"/>
      <c r="BH488" s="106"/>
      <c r="BI488" s="106"/>
    </row>
    <row r="489" spans="1:61" ht="15" customHeight="1">
      <c r="A489" s="106"/>
      <c r="B489" s="106"/>
      <c r="C489" s="106"/>
      <c r="D489" s="301"/>
      <c r="E489" s="301"/>
      <c r="F489" s="106"/>
      <c r="G489" s="106"/>
      <c r="H489" s="106"/>
      <c r="I489" s="106"/>
      <c r="J489" s="106"/>
      <c r="K489" s="106"/>
      <c r="L489" s="106"/>
      <c r="M489" s="106"/>
      <c r="N489" s="106"/>
      <c r="O489" s="106"/>
      <c r="P489" s="106"/>
      <c r="Q489" s="106"/>
      <c r="R489" s="106"/>
      <c r="S489" s="106"/>
      <c r="T489" s="106"/>
      <c r="U489" s="106"/>
      <c r="V489" s="106"/>
      <c r="W489" s="106"/>
      <c r="X489" s="106"/>
      <c r="Y489" s="106"/>
      <c r="Z489" s="106"/>
      <c r="AA489" s="106"/>
      <c r="AB489" s="106"/>
      <c r="AC489" s="106"/>
      <c r="AD489" s="106"/>
      <c r="AE489" s="106"/>
      <c r="AF489" s="106"/>
      <c r="AG489" s="106"/>
      <c r="AH489" s="106"/>
      <c r="AI489" s="106"/>
      <c r="AJ489" s="106"/>
      <c r="AK489" s="106"/>
      <c r="AL489" s="106"/>
      <c r="AM489" s="106"/>
      <c r="AN489" s="106"/>
      <c r="AO489" s="106"/>
      <c r="AP489" s="106"/>
      <c r="AQ489" s="106"/>
      <c r="AR489" s="106"/>
      <c r="AS489" s="106"/>
      <c r="AT489" s="106"/>
      <c r="AU489" s="106"/>
      <c r="AV489" s="106"/>
      <c r="AW489" s="106"/>
      <c r="AX489" s="106"/>
      <c r="AY489" s="106"/>
      <c r="AZ489" s="106"/>
      <c r="BA489" s="106"/>
      <c r="BB489" s="106"/>
      <c r="BC489" s="106"/>
      <c r="BD489" s="106"/>
      <c r="BE489" s="106"/>
      <c r="BF489" s="106"/>
      <c r="BG489" s="106"/>
      <c r="BH489" s="106"/>
      <c r="BI489" s="106"/>
    </row>
    <row r="490" spans="1:61" ht="15" customHeight="1">
      <c r="A490" s="106"/>
      <c r="B490" s="106"/>
      <c r="C490" s="106"/>
      <c r="D490" s="301"/>
      <c r="E490" s="301"/>
      <c r="F490" s="106"/>
      <c r="G490" s="106"/>
      <c r="H490" s="106"/>
      <c r="I490" s="106"/>
      <c r="J490" s="106"/>
      <c r="K490" s="106"/>
      <c r="L490" s="106"/>
      <c r="M490" s="106"/>
      <c r="N490" s="106"/>
      <c r="O490" s="106"/>
      <c r="P490" s="106"/>
      <c r="Q490" s="106"/>
      <c r="R490" s="106"/>
      <c r="S490" s="106"/>
      <c r="T490" s="106"/>
      <c r="U490" s="106"/>
      <c r="V490" s="106"/>
      <c r="W490" s="106"/>
      <c r="X490" s="106"/>
      <c r="Y490" s="106"/>
      <c r="Z490" s="106"/>
      <c r="AA490" s="106"/>
      <c r="AB490" s="106"/>
      <c r="AC490" s="106"/>
      <c r="AD490" s="106"/>
      <c r="AE490" s="106"/>
      <c r="AF490" s="106"/>
      <c r="AG490" s="106"/>
      <c r="AH490" s="106"/>
      <c r="AI490" s="106"/>
      <c r="AJ490" s="106"/>
      <c r="AK490" s="106"/>
      <c r="AL490" s="106"/>
      <c r="AM490" s="106"/>
      <c r="AN490" s="106"/>
      <c r="AO490" s="106"/>
      <c r="AP490" s="106"/>
      <c r="AQ490" s="106"/>
      <c r="AR490" s="106"/>
      <c r="AS490" s="106"/>
      <c r="AT490" s="106"/>
      <c r="AU490" s="106"/>
      <c r="AV490" s="106"/>
      <c r="AW490" s="106"/>
      <c r="AX490" s="106"/>
      <c r="AY490" s="106"/>
      <c r="AZ490" s="106"/>
      <c r="BA490" s="106"/>
      <c r="BB490" s="106"/>
      <c r="BC490" s="106"/>
      <c r="BD490" s="106"/>
      <c r="BE490" s="106"/>
      <c r="BF490" s="106"/>
      <c r="BG490" s="106"/>
      <c r="BH490" s="106"/>
      <c r="BI490" s="106"/>
    </row>
    <row r="491" spans="1:61" ht="15" customHeight="1">
      <c r="A491" s="106"/>
      <c r="B491" s="106"/>
      <c r="C491" s="106"/>
      <c r="D491" s="301"/>
      <c r="E491" s="301"/>
      <c r="F491" s="106"/>
      <c r="G491" s="106"/>
      <c r="H491" s="106"/>
      <c r="I491" s="106"/>
      <c r="J491" s="106"/>
      <c r="K491" s="106"/>
      <c r="L491" s="106"/>
      <c r="M491" s="106"/>
      <c r="N491" s="106"/>
      <c r="O491" s="106"/>
      <c r="P491" s="106"/>
      <c r="Q491" s="106"/>
      <c r="R491" s="106"/>
      <c r="S491" s="106"/>
      <c r="T491" s="106"/>
      <c r="U491" s="106"/>
      <c r="V491" s="106"/>
      <c r="W491" s="106"/>
      <c r="X491" s="106"/>
      <c r="Y491" s="106"/>
      <c r="Z491" s="106"/>
      <c r="AA491" s="106"/>
      <c r="AB491" s="106"/>
      <c r="AC491" s="106"/>
      <c r="AD491" s="106"/>
      <c r="AE491" s="106"/>
      <c r="AF491" s="106"/>
      <c r="AG491" s="106"/>
      <c r="AH491" s="106"/>
      <c r="AI491" s="106"/>
      <c r="AJ491" s="106"/>
      <c r="AK491" s="106"/>
      <c r="AL491" s="106"/>
      <c r="AM491" s="106"/>
      <c r="AN491" s="106"/>
      <c r="AO491" s="106"/>
      <c r="AP491" s="106"/>
      <c r="AQ491" s="106"/>
      <c r="AR491" s="106"/>
      <c r="AS491" s="106"/>
      <c r="AT491" s="106"/>
      <c r="AU491" s="106"/>
      <c r="AV491" s="106"/>
      <c r="AW491" s="106"/>
      <c r="AX491" s="106"/>
      <c r="AY491" s="106"/>
      <c r="AZ491" s="106"/>
      <c r="BA491" s="106"/>
      <c r="BB491" s="106"/>
      <c r="BC491" s="106"/>
      <c r="BD491" s="106"/>
      <c r="BE491" s="106"/>
      <c r="BF491" s="106"/>
      <c r="BG491" s="106"/>
      <c r="BH491" s="106"/>
      <c r="BI491" s="106"/>
    </row>
    <row r="492" spans="1:61" ht="15" customHeight="1">
      <c r="A492" s="106"/>
      <c r="B492" s="106"/>
      <c r="C492" s="106"/>
      <c r="D492" s="301"/>
      <c r="E492" s="301"/>
      <c r="F492" s="106"/>
      <c r="G492" s="106"/>
      <c r="H492" s="106"/>
      <c r="I492" s="106"/>
      <c r="J492" s="106"/>
      <c r="K492" s="106"/>
      <c r="L492" s="106"/>
      <c r="M492" s="106"/>
      <c r="N492" s="106"/>
      <c r="O492" s="106"/>
      <c r="P492" s="106"/>
      <c r="Q492" s="106"/>
      <c r="R492" s="106"/>
      <c r="S492" s="106"/>
      <c r="T492" s="106"/>
      <c r="U492" s="106"/>
      <c r="V492" s="106"/>
      <c r="W492" s="106"/>
      <c r="X492" s="106"/>
      <c r="Y492" s="106"/>
      <c r="Z492" s="106"/>
      <c r="AA492" s="106"/>
      <c r="AB492" s="106"/>
      <c r="AC492" s="106"/>
      <c r="AD492" s="106"/>
      <c r="AE492" s="106"/>
      <c r="AF492" s="106"/>
      <c r="AG492" s="106"/>
      <c r="AH492" s="106"/>
      <c r="AI492" s="106"/>
      <c r="AJ492" s="106"/>
      <c r="AK492" s="106"/>
      <c r="AL492" s="106"/>
      <c r="AM492" s="106"/>
      <c r="AN492" s="106"/>
      <c r="AO492" s="106"/>
      <c r="AP492" s="106"/>
      <c r="AQ492" s="106"/>
      <c r="AR492" s="106"/>
      <c r="AS492" s="106"/>
      <c r="AT492" s="106"/>
      <c r="AU492" s="106"/>
      <c r="AV492" s="106"/>
      <c r="AW492" s="106"/>
      <c r="AX492" s="106"/>
      <c r="AY492" s="106"/>
      <c r="AZ492" s="106"/>
      <c r="BA492" s="106"/>
      <c r="BB492" s="106"/>
      <c r="BC492" s="106"/>
      <c r="BD492" s="106"/>
      <c r="BE492" s="106"/>
      <c r="BF492" s="106"/>
      <c r="BG492" s="106"/>
      <c r="BH492" s="106"/>
      <c r="BI492" s="106"/>
    </row>
    <row r="493" spans="1:61" ht="15" customHeight="1">
      <c r="A493" s="106"/>
      <c r="B493" s="106"/>
      <c r="C493" s="106"/>
      <c r="D493" s="301"/>
      <c r="E493" s="301"/>
      <c r="F493" s="106"/>
      <c r="G493" s="106"/>
      <c r="H493" s="106"/>
      <c r="I493" s="106"/>
      <c r="J493" s="106"/>
      <c r="K493" s="106"/>
      <c r="L493" s="106"/>
      <c r="M493" s="106"/>
      <c r="N493" s="106"/>
      <c r="O493" s="106"/>
      <c r="P493" s="106"/>
      <c r="Q493" s="106"/>
      <c r="R493" s="106"/>
      <c r="S493" s="106"/>
      <c r="T493" s="106"/>
      <c r="U493" s="106"/>
      <c r="V493" s="106"/>
      <c r="W493" s="106"/>
      <c r="X493" s="106"/>
      <c r="Y493" s="106"/>
      <c r="Z493" s="106"/>
      <c r="AA493" s="106"/>
      <c r="AB493" s="106"/>
      <c r="AC493" s="106"/>
      <c r="AD493" s="106"/>
      <c r="AE493" s="106"/>
      <c r="AF493" s="106"/>
      <c r="AG493" s="106"/>
      <c r="AH493" s="106"/>
      <c r="AI493" s="106"/>
      <c r="AJ493" s="106"/>
      <c r="AK493" s="106"/>
      <c r="AL493" s="106"/>
      <c r="AM493" s="106"/>
      <c r="AN493" s="106"/>
      <c r="AO493" s="106"/>
      <c r="AP493" s="106"/>
      <c r="AQ493" s="106"/>
      <c r="AR493" s="106"/>
      <c r="AS493" s="106"/>
      <c r="AT493" s="106"/>
      <c r="AU493" s="106"/>
      <c r="AV493" s="106"/>
      <c r="AW493" s="106"/>
      <c r="AX493" s="106"/>
      <c r="AY493" s="106"/>
      <c r="AZ493" s="106"/>
      <c r="BA493" s="106"/>
      <c r="BB493" s="106"/>
      <c r="BC493" s="106"/>
      <c r="BD493" s="106"/>
      <c r="BE493" s="106"/>
      <c r="BF493" s="106"/>
      <c r="BG493" s="106"/>
      <c r="BH493" s="106"/>
      <c r="BI493" s="106"/>
    </row>
    <row r="494" spans="1:61" ht="15" customHeight="1">
      <c r="A494" s="106"/>
      <c r="B494" s="106"/>
      <c r="C494" s="106"/>
      <c r="D494" s="301"/>
      <c r="E494" s="301"/>
      <c r="F494" s="106"/>
      <c r="G494" s="106"/>
      <c r="H494" s="106"/>
      <c r="I494" s="106"/>
      <c r="J494" s="106"/>
      <c r="K494" s="106"/>
      <c r="L494" s="106"/>
      <c r="M494" s="106"/>
      <c r="N494" s="106"/>
      <c r="O494" s="106"/>
      <c r="P494" s="106"/>
      <c r="Q494" s="106"/>
      <c r="R494" s="106"/>
      <c r="S494" s="106"/>
      <c r="T494" s="106"/>
      <c r="U494" s="106"/>
      <c r="V494" s="106"/>
      <c r="W494" s="106"/>
      <c r="X494" s="106"/>
      <c r="Y494" s="106"/>
      <c r="Z494" s="106"/>
      <c r="AA494" s="106"/>
      <c r="AB494" s="106"/>
      <c r="AC494" s="106"/>
      <c r="AD494" s="106"/>
      <c r="AE494" s="106"/>
      <c r="AF494" s="106"/>
      <c r="AG494" s="106"/>
      <c r="AH494" s="106"/>
      <c r="AI494" s="106"/>
      <c r="AJ494" s="106"/>
      <c r="AK494" s="106"/>
      <c r="AL494" s="106"/>
      <c r="AM494" s="106"/>
      <c r="AN494" s="106"/>
      <c r="AO494" s="106"/>
      <c r="AP494" s="106"/>
      <c r="AQ494" s="106"/>
      <c r="AR494" s="106"/>
      <c r="AS494" s="106"/>
      <c r="AT494" s="106"/>
      <c r="AU494" s="106"/>
      <c r="AV494" s="106"/>
      <c r="AW494" s="106"/>
      <c r="AX494" s="106"/>
      <c r="AY494" s="106"/>
      <c r="AZ494" s="106"/>
      <c r="BA494" s="106"/>
      <c r="BB494" s="106"/>
      <c r="BC494" s="106"/>
      <c r="BD494" s="106"/>
      <c r="BE494" s="106"/>
      <c r="BF494" s="106"/>
      <c r="BG494" s="106"/>
      <c r="BH494" s="106"/>
      <c r="BI494" s="106"/>
    </row>
    <row r="495" spans="1:61" ht="15" customHeight="1">
      <c r="A495" s="106"/>
      <c r="B495" s="106"/>
      <c r="C495" s="106"/>
      <c r="D495" s="301"/>
      <c r="E495" s="301"/>
      <c r="F495" s="106"/>
      <c r="G495" s="106"/>
      <c r="H495" s="106"/>
      <c r="I495" s="106"/>
      <c r="J495" s="106"/>
      <c r="K495" s="106"/>
      <c r="L495" s="106"/>
      <c r="M495" s="106"/>
      <c r="N495" s="106"/>
      <c r="O495" s="106"/>
      <c r="P495" s="106"/>
      <c r="Q495" s="106"/>
      <c r="R495" s="106"/>
      <c r="S495" s="106"/>
      <c r="T495" s="106"/>
      <c r="U495" s="106"/>
      <c r="V495" s="106"/>
      <c r="W495" s="106"/>
      <c r="X495" s="106"/>
      <c r="Y495" s="106"/>
      <c r="Z495" s="106"/>
      <c r="AA495" s="106"/>
      <c r="AB495" s="106"/>
      <c r="AC495" s="106"/>
      <c r="AD495" s="106"/>
      <c r="AE495" s="106"/>
      <c r="AF495" s="106"/>
      <c r="AG495" s="106"/>
      <c r="AH495" s="106"/>
      <c r="AI495" s="106"/>
      <c r="AJ495" s="106"/>
      <c r="AK495" s="106"/>
      <c r="AL495" s="106"/>
      <c r="AM495" s="106"/>
      <c r="AN495" s="106"/>
      <c r="AO495" s="106"/>
      <c r="AP495" s="106"/>
      <c r="AQ495" s="106"/>
      <c r="AR495" s="106"/>
      <c r="AS495" s="106"/>
      <c r="AT495" s="106"/>
      <c r="AU495" s="106"/>
      <c r="AV495" s="106"/>
      <c r="AW495" s="106"/>
      <c r="AX495" s="106"/>
      <c r="AY495" s="106"/>
      <c r="AZ495" s="106"/>
      <c r="BA495" s="106"/>
      <c r="BB495" s="106"/>
      <c r="BC495" s="106"/>
      <c r="BD495" s="106"/>
      <c r="BE495" s="106"/>
      <c r="BF495" s="106"/>
      <c r="BG495" s="106"/>
      <c r="BH495" s="106"/>
      <c r="BI495" s="106"/>
    </row>
    <row r="496" spans="1:61" ht="15" customHeight="1">
      <c r="A496" s="106"/>
      <c r="B496" s="106"/>
      <c r="C496" s="106"/>
      <c r="D496" s="301"/>
      <c r="E496" s="301"/>
      <c r="F496" s="106"/>
      <c r="G496" s="106"/>
      <c r="H496" s="106"/>
      <c r="I496" s="106"/>
      <c r="J496" s="106"/>
      <c r="K496" s="106"/>
      <c r="L496" s="106"/>
      <c r="M496" s="106"/>
      <c r="N496" s="106"/>
      <c r="O496" s="106"/>
      <c r="P496" s="106"/>
      <c r="Q496" s="106"/>
      <c r="R496" s="106"/>
      <c r="S496" s="106"/>
      <c r="T496" s="106"/>
      <c r="U496" s="106"/>
      <c r="V496" s="106"/>
      <c r="W496" s="106"/>
      <c r="X496" s="106"/>
      <c r="Y496" s="106"/>
      <c r="Z496" s="106"/>
      <c r="AA496" s="106"/>
      <c r="AB496" s="106"/>
      <c r="AC496" s="106"/>
      <c r="AD496" s="106"/>
      <c r="AE496" s="106"/>
      <c r="AF496" s="106"/>
      <c r="AG496" s="106"/>
      <c r="AH496" s="106"/>
      <c r="AI496" s="106"/>
      <c r="AJ496" s="106"/>
      <c r="AK496" s="106"/>
      <c r="AL496" s="106"/>
      <c r="AM496" s="106"/>
      <c r="AN496" s="106"/>
      <c r="AO496" s="106"/>
      <c r="AP496" s="106"/>
      <c r="AQ496" s="106"/>
      <c r="AR496" s="106"/>
      <c r="AS496" s="106"/>
      <c r="AT496" s="106"/>
      <c r="AU496" s="106"/>
      <c r="AV496" s="106"/>
      <c r="AW496" s="106"/>
      <c r="AX496" s="106"/>
      <c r="AY496" s="106"/>
      <c r="AZ496" s="106"/>
      <c r="BA496" s="106"/>
      <c r="BB496" s="106"/>
      <c r="BC496" s="106"/>
      <c r="BD496" s="106"/>
      <c r="BE496" s="106"/>
      <c r="BF496" s="106"/>
      <c r="BG496" s="106"/>
      <c r="BH496" s="106"/>
      <c r="BI496" s="106"/>
    </row>
    <row r="497" spans="1:61" ht="15" customHeight="1">
      <c r="A497" s="106"/>
      <c r="B497" s="106"/>
      <c r="C497" s="106"/>
      <c r="D497" s="301"/>
      <c r="E497" s="301"/>
      <c r="F497" s="106"/>
      <c r="G497" s="106"/>
      <c r="H497" s="106"/>
      <c r="I497" s="106"/>
      <c r="J497" s="106"/>
      <c r="K497" s="106"/>
      <c r="L497" s="106"/>
      <c r="M497" s="106"/>
      <c r="N497" s="106"/>
      <c r="O497" s="106"/>
      <c r="P497" s="106"/>
      <c r="Q497" s="106"/>
      <c r="R497" s="106"/>
      <c r="S497" s="106"/>
      <c r="T497" s="106"/>
      <c r="U497" s="106"/>
      <c r="V497" s="106"/>
      <c r="W497" s="106"/>
      <c r="X497" s="106"/>
      <c r="Y497" s="106"/>
      <c r="Z497" s="106"/>
      <c r="AA497" s="106"/>
      <c r="AB497" s="106"/>
      <c r="AC497" s="106"/>
      <c r="AD497" s="106"/>
      <c r="AE497" s="106"/>
      <c r="AF497" s="106"/>
      <c r="AG497" s="106"/>
      <c r="AH497" s="106"/>
      <c r="AI497" s="106"/>
      <c r="AJ497" s="106"/>
      <c r="AK497" s="106"/>
      <c r="AL497" s="106"/>
      <c r="AM497" s="106"/>
      <c r="AN497" s="106"/>
      <c r="AO497" s="106"/>
      <c r="AP497" s="106"/>
      <c r="AQ497" s="106"/>
      <c r="AR497" s="106"/>
      <c r="AS497" s="106"/>
      <c r="AT497" s="106"/>
      <c r="AU497" s="106"/>
      <c r="AV497" s="106"/>
      <c r="AW497" s="106"/>
      <c r="AX497" s="106"/>
      <c r="AY497" s="106"/>
      <c r="AZ497" s="106"/>
      <c r="BA497" s="106"/>
      <c r="BB497" s="106"/>
      <c r="BC497" s="106"/>
      <c r="BD497" s="106"/>
      <c r="BE497" s="106"/>
      <c r="BF497" s="106"/>
      <c r="BG497" s="106"/>
      <c r="BH497" s="106"/>
      <c r="BI497" s="106"/>
    </row>
    <row r="498" spans="1:61" ht="15" customHeight="1">
      <c r="A498" s="106"/>
      <c r="B498" s="106"/>
      <c r="C498" s="106"/>
      <c r="D498" s="301"/>
      <c r="E498" s="301"/>
      <c r="F498" s="106"/>
      <c r="G498" s="106"/>
      <c r="H498" s="106"/>
      <c r="I498" s="106"/>
      <c r="J498" s="106"/>
      <c r="K498" s="106"/>
      <c r="L498" s="106"/>
      <c r="M498" s="106"/>
      <c r="N498" s="106"/>
      <c r="O498" s="106"/>
      <c r="P498" s="106"/>
      <c r="Q498" s="106"/>
      <c r="R498" s="106"/>
      <c r="S498" s="106"/>
      <c r="T498" s="106"/>
      <c r="U498" s="106"/>
      <c r="V498" s="106"/>
      <c r="W498" s="106"/>
      <c r="X498" s="106"/>
      <c r="Y498" s="106"/>
      <c r="Z498" s="106"/>
      <c r="AA498" s="106"/>
      <c r="AB498" s="106"/>
      <c r="AC498" s="106"/>
      <c r="AD498" s="106"/>
      <c r="AE498" s="106"/>
      <c r="AF498" s="106"/>
      <c r="AG498" s="106"/>
      <c r="AH498" s="106"/>
      <c r="AI498" s="106"/>
      <c r="AJ498" s="106"/>
      <c r="AK498" s="106"/>
      <c r="AL498" s="106"/>
      <c r="AM498" s="106"/>
      <c r="AN498" s="106"/>
      <c r="AO498" s="106"/>
      <c r="AP498" s="106"/>
      <c r="AQ498" s="106"/>
      <c r="AR498" s="106"/>
      <c r="AS498" s="106"/>
      <c r="AT498" s="106"/>
      <c r="AU498" s="106"/>
      <c r="AV498" s="106"/>
      <c r="AW498" s="106"/>
      <c r="AX498" s="106"/>
      <c r="AY498" s="106"/>
      <c r="AZ498" s="106"/>
      <c r="BA498" s="106"/>
      <c r="BB498" s="106"/>
      <c r="BC498" s="106"/>
      <c r="BD498" s="106"/>
      <c r="BE498" s="106"/>
      <c r="BF498" s="106"/>
      <c r="BG498" s="106"/>
      <c r="BH498" s="106"/>
      <c r="BI498" s="106"/>
    </row>
    <row r="499" spans="1:61" ht="15" customHeight="1">
      <c r="A499" s="106"/>
      <c r="B499" s="106"/>
      <c r="C499" s="106"/>
      <c r="D499" s="301"/>
      <c r="E499" s="301"/>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c r="AD499" s="106"/>
      <c r="AE499" s="106"/>
      <c r="AF499" s="106"/>
      <c r="AG499" s="106"/>
      <c r="AH499" s="106"/>
      <c r="AI499" s="106"/>
      <c r="AJ499" s="106"/>
      <c r="AK499" s="106"/>
      <c r="AL499" s="106"/>
      <c r="AM499" s="106"/>
      <c r="AN499" s="106"/>
      <c r="AO499" s="106"/>
      <c r="AP499" s="106"/>
      <c r="AQ499" s="106"/>
      <c r="AR499" s="106"/>
      <c r="AS499" s="106"/>
      <c r="AT499" s="106"/>
      <c r="AU499" s="106"/>
      <c r="AV499" s="106"/>
      <c r="AW499" s="106"/>
      <c r="AX499" s="106"/>
      <c r="AY499" s="106"/>
      <c r="AZ499" s="106"/>
      <c r="BA499" s="106"/>
      <c r="BB499" s="106"/>
      <c r="BC499" s="106"/>
      <c r="BD499" s="106"/>
      <c r="BE499" s="106"/>
      <c r="BF499" s="106"/>
      <c r="BG499" s="106"/>
      <c r="BH499" s="106"/>
      <c r="BI499" s="106"/>
    </row>
    <row r="500" spans="1:61" ht="15" customHeight="1">
      <c r="A500" s="106"/>
      <c r="B500" s="106"/>
      <c r="C500" s="106"/>
      <c r="D500" s="301"/>
      <c r="E500" s="301"/>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c r="AD500" s="106"/>
      <c r="AE500" s="106"/>
      <c r="AF500" s="106"/>
      <c r="AG500" s="106"/>
      <c r="AH500" s="106"/>
      <c r="AI500" s="106"/>
      <c r="AJ500" s="106"/>
      <c r="AK500" s="106"/>
      <c r="AL500" s="106"/>
      <c r="AM500" s="106"/>
      <c r="AN500" s="106"/>
      <c r="AO500" s="106"/>
      <c r="AP500" s="106"/>
      <c r="AQ500" s="106"/>
      <c r="AR500" s="106"/>
      <c r="AS500" s="106"/>
      <c r="AT500" s="106"/>
      <c r="AU500" s="106"/>
      <c r="AV500" s="106"/>
      <c r="AW500" s="106"/>
      <c r="AX500" s="106"/>
      <c r="AY500" s="106"/>
      <c r="AZ500" s="106"/>
      <c r="BA500" s="106"/>
      <c r="BB500" s="106"/>
      <c r="BC500" s="106"/>
      <c r="BD500" s="106"/>
      <c r="BE500" s="106"/>
      <c r="BF500" s="106"/>
      <c r="BG500" s="106"/>
      <c r="BH500" s="106"/>
      <c r="BI500" s="106"/>
    </row>
    <row r="501" spans="1:61" ht="15" customHeight="1">
      <c r="A501" s="106"/>
      <c r="B501" s="106"/>
      <c r="C501" s="106"/>
      <c r="D501" s="301"/>
      <c r="E501" s="301"/>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c r="AD501" s="106"/>
      <c r="AE501" s="106"/>
      <c r="AF501" s="106"/>
      <c r="AG501" s="106"/>
      <c r="AH501" s="106"/>
      <c r="AI501" s="106"/>
      <c r="AJ501" s="106"/>
      <c r="AK501" s="106"/>
      <c r="AL501" s="106"/>
      <c r="AM501" s="106"/>
      <c r="AN501" s="106"/>
      <c r="AO501" s="106"/>
      <c r="AP501" s="106"/>
      <c r="AQ501" s="106"/>
      <c r="AR501" s="106"/>
      <c r="AS501" s="106"/>
      <c r="AT501" s="106"/>
      <c r="AU501" s="106"/>
      <c r="AV501" s="106"/>
      <c r="AW501" s="106"/>
      <c r="AX501" s="106"/>
      <c r="AY501" s="106"/>
      <c r="AZ501" s="106"/>
      <c r="BA501" s="106"/>
      <c r="BB501" s="106"/>
      <c r="BC501" s="106"/>
      <c r="BD501" s="106"/>
      <c r="BE501" s="106"/>
      <c r="BF501" s="106"/>
      <c r="BG501" s="106"/>
      <c r="BH501" s="106"/>
      <c r="BI501" s="106"/>
    </row>
    <row r="502" spans="1:61" ht="15" customHeight="1">
      <c r="A502" s="106"/>
      <c r="B502" s="106"/>
      <c r="C502" s="106"/>
      <c r="D502" s="301"/>
      <c r="E502" s="301"/>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c r="AD502" s="106"/>
      <c r="AE502" s="106"/>
      <c r="AF502" s="106"/>
      <c r="AG502" s="106"/>
      <c r="AH502" s="106"/>
      <c r="AI502" s="106"/>
      <c r="AJ502" s="106"/>
      <c r="AK502" s="106"/>
      <c r="AL502" s="106"/>
      <c r="AM502" s="106"/>
      <c r="AN502" s="106"/>
      <c r="AO502" s="106"/>
      <c r="AP502" s="106"/>
      <c r="AQ502" s="106"/>
      <c r="AR502" s="106"/>
      <c r="AS502" s="106"/>
      <c r="AT502" s="106"/>
      <c r="AU502" s="106"/>
      <c r="AV502" s="106"/>
      <c r="AW502" s="106"/>
      <c r="AX502" s="106"/>
      <c r="AY502" s="106"/>
      <c r="AZ502" s="106"/>
      <c r="BA502" s="106"/>
      <c r="BB502" s="106"/>
      <c r="BC502" s="106"/>
      <c r="BD502" s="106"/>
      <c r="BE502" s="106"/>
      <c r="BF502" s="106"/>
      <c r="BG502" s="106"/>
      <c r="BH502" s="106"/>
      <c r="BI502" s="106"/>
    </row>
    <row r="503" spans="1:61" ht="15" customHeight="1">
      <c r="A503" s="106"/>
      <c r="B503" s="106"/>
      <c r="C503" s="106"/>
      <c r="D503" s="301"/>
      <c r="E503" s="301"/>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c r="AD503" s="106"/>
      <c r="AE503" s="106"/>
      <c r="AF503" s="106"/>
      <c r="AG503" s="106"/>
      <c r="AH503" s="106"/>
      <c r="AI503" s="106"/>
      <c r="AJ503" s="106"/>
      <c r="AK503" s="106"/>
      <c r="AL503" s="106"/>
      <c r="AM503" s="106"/>
      <c r="AN503" s="106"/>
      <c r="AO503" s="106"/>
      <c r="AP503" s="106"/>
      <c r="AQ503" s="106"/>
      <c r="AR503" s="106"/>
      <c r="AS503" s="106"/>
      <c r="AT503" s="106"/>
      <c r="AU503" s="106"/>
      <c r="AV503" s="106"/>
      <c r="AW503" s="106"/>
      <c r="AX503" s="106"/>
      <c r="AY503" s="106"/>
      <c r="AZ503" s="106"/>
      <c r="BA503" s="106"/>
      <c r="BB503" s="106"/>
      <c r="BC503" s="106"/>
      <c r="BD503" s="106"/>
      <c r="BE503" s="106"/>
      <c r="BF503" s="106"/>
      <c r="BG503" s="106"/>
      <c r="BH503" s="106"/>
      <c r="BI503" s="106"/>
    </row>
    <row r="504" spans="1:61" ht="15" customHeight="1">
      <c r="A504" s="106"/>
      <c r="B504" s="106"/>
      <c r="C504" s="106"/>
      <c r="D504" s="301"/>
      <c r="E504" s="301"/>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c r="AD504" s="106"/>
      <c r="AE504" s="106"/>
      <c r="AF504" s="106"/>
      <c r="AG504" s="106"/>
      <c r="AH504" s="106"/>
      <c r="AI504" s="106"/>
      <c r="AJ504" s="106"/>
      <c r="AK504" s="106"/>
      <c r="AL504" s="106"/>
      <c r="AM504" s="106"/>
      <c r="AN504" s="106"/>
      <c r="AO504" s="106"/>
      <c r="AP504" s="106"/>
      <c r="AQ504" s="106"/>
      <c r="AR504" s="106"/>
      <c r="AS504" s="106"/>
      <c r="AT504" s="106"/>
      <c r="AU504" s="106"/>
      <c r="AV504" s="106"/>
      <c r="AW504" s="106"/>
      <c r="AX504" s="106"/>
      <c r="AY504" s="106"/>
      <c r="AZ504" s="106"/>
      <c r="BA504" s="106"/>
      <c r="BB504" s="106"/>
      <c r="BC504" s="106"/>
      <c r="BD504" s="106"/>
      <c r="BE504" s="106"/>
      <c r="BF504" s="106"/>
      <c r="BG504" s="106"/>
      <c r="BH504" s="106"/>
      <c r="BI504" s="106"/>
    </row>
    <row r="505" spans="1:61" ht="15" customHeight="1">
      <c r="A505" s="106"/>
      <c r="B505" s="106"/>
      <c r="C505" s="106"/>
      <c r="D505" s="301"/>
      <c r="E505" s="301"/>
      <c r="F505" s="106"/>
      <c r="G505" s="106"/>
      <c r="H505" s="106"/>
      <c r="I505" s="106"/>
      <c r="J505" s="106"/>
      <c r="K505" s="106"/>
      <c r="L505" s="106"/>
      <c r="M505" s="106"/>
      <c r="N505" s="106"/>
      <c r="O505" s="106"/>
      <c r="P505" s="106"/>
      <c r="Q505" s="106"/>
      <c r="R505" s="106"/>
      <c r="S505" s="106"/>
      <c r="T505" s="106"/>
      <c r="U505" s="106"/>
      <c r="V505" s="106"/>
      <c r="W505" s="106"/>
      <c r="X505" s="106"/>
      <c r="Y505" s="106"/>
      <c r="Z505" s="106"/>
      <c r="AA505" s="106"/>
      <c r="AB505" s="106"/>
      <c r="AC505" s="106"/>
      <c r="AD505" s="106"/>
      <c r="AE505" s="106"/>
      <c r="AF505" s="106"/>
      <c r="AG505" s="106"/>
      <c r="AH505" s="106"/>
      <c r="AI505" s="106"/>
      <c r="AJ505" s="106"/>
      <c r="AK505" s="106"/>
      <c r="AL505" s="106"/>
      <c r="AM505" s="106"/>
      <c r="AN505" s="106"/>
      <c r="AO505" s="106"/>
      <c r="AP505" s="106"/>
      <c r="AQ505" s="106"/>
      <c r="AR505" s="106"/>
      <c r="AS505" s="106"/>
      <c r="AT505" s="106"/>
      <c r="AU505" s="106"/>
      <c r="AV505" s="106"/>
      <c r="AW505" s="106"/>
      <c r="AX505" s="106"/>
      <c r="AY505" s="106"/>
      <c r="AZ505" s="106"/>
      <c r="BA505" s="106"/>
      <c r="BB505" s="106"/>
      <c r="BC505" s="106"/>
      <c r="BD505" s="106"/>
      <c r="BE505" s="106"/>
      <c r="BF505" s="106"/>
      <c r="BG505" s="106"/>
      <c r="BH505" s="106"/>
      <c r="BI505" s="106"/>
    </row>
    <row r="506" spans="1:61" ht="15" customHeight="1">
      <c r="A506" s="106"/>
      <c r="B506" s="106"/>
      <c r="C506" s="106"/>
      <c r="D506" s="301"/>
      <c r="E506" s="301"/>
      <c r="F506" s="106"/>
      <c r="G506" s="106"/>
      <c r="H506" s="106"/>
      <c r="I506" s="106"/>
      <c r="J506" s="106"/>
      <c r="K506" s="106"/>
      <c r="L506" s="106"/>
      <c r="M506" s="106"/>
      <c r="N506" s="106"/>
      <c r="O506" s="106"/>
      <c r="P506" s="106"/>
      <c r="Q506" s="106"/>
      <c r="R506" s="106"/>
      <c r="S506" s="106"/>
      <c r="T506" s="106"/>
      <c r="U506" s="106"/>
      <c r="V506" s="106"/>
      <c r="W506" s="106"/>
      <c r="X506" s="106"/>
      <c r="Y506" s="106"/>
      <c r="Z506" s="106"/>
      <c r="AA506" s="106"/>
      <c r="AB506" s="106"/>
      <c r="AC506" s="106"/>
      <c r="AD506" s="106"/>
      <c r="AE506" s="106"/>
      <c r="AF506" s="106"/>
      <c r="AG506" s="106"/>
      <c r="AH506" s="106"/>
      <c r="AI506" s="106"/>
      <c r="AJ506" s="106"/>
      <c r="AK506" s="106"/>
      <c r="AL506" s="106"/>
      <c r="AM506" s="106"/>
      <c r="AN506" s="106"/>
      <c r="AO506" s="106"/>
      <c r="AP506" s="106"/>
      <c r="AQ506" s="106"/>
      <c r="AR506" s="106"/>
      <c r="AS506" s="106"/>
      <c r="AT506" s="106"/>
      <c r="AU506" s="106"/>
      <c r="AV506" s="106"/>
      <c r="AW506" s="106"/>
      <c r="AX506" s="106"/>
      <c r="AY506" s="106"/>
      <c r="AZ506" s="106"/>
      <c r="BA506" s="106"/>
      <c r="BB506" s="106"/>
      <c r="BC506" s="106"/>
      <c r="BD506" s="106"/>
      <c r="BE506" s="106"/>
      <c r="BF506" s="106"/>
      <c r="BG506" s="106"/>
      <c r="BH506" s="106"/>
      <c r="BI506" s="106"/>
    </row>
    <row r="507" spans="1:61" ht="15" customHeight="1">
      <c r="A507" s="106"/>
      <c r="B507" s="106"/>
      <c r="C507" s="106"/>
      <c r="D507" s="301"/>
      <c r="E507" s="301"/>
      <c r="F507" s="106"/>
      <c r="G507" s="106"/>
      <c r="H507" s="106"/>
      <c r="I507" s="106"/>
      <c r="J507" s="106"/>
      <c r="K507" s="106"/>
      <c r="L507" s="106"/>
      <c r="M507" s="106"/>
      <c r="N507" s="106"/>
      <c r="O507" s="106"/>
      <c r="P507" s="106"/>
      <c r="Q507" s="106"/>
      <c r="R507" s="106"/>
      <c r="S507" s="106"/>
      <c r="T507" s="106"/>
      <c r="U507" s="106"/>
      <c r="V507" s="106"/>
      <c r="W507" s="106"/>
      <c r="X507" s="106"/>
      <c r="Y507" s="106"/>
      <c r="Z507" s="106"/>
      <c r="AA507" s="106"/>
      <c r="AB507" s="106"/>
      <c r="AC507" s="106"/>
      <c r="AD507" s="106"/>
      <c r="AE507" s="106"/>
      <c r="AF507" s="106"/>
      <c r="AG507" s="106"/>
      <c r="AH507" s="106"/>
      <c r="AI507" s="106"/>
      <c r="AJ507" s="106"/>
      <c r="AK507" s="106"/>
      <c r="AL507" s="106"/>
      <c r="AM507" s="106"/>
      <c r="AN507" s="106"/>
      <c r="AO507" s="106"/>
      <c r="AP507" s="106"/>
      <c r="AQ507" s="106"/>
      <c r="AR507" s="106"/>
      <c r="AS507" s="106"/>
      <c r="AT507" s="106"/>
      <c r="AU507" s="106"/>
      <c r="AV507" s="106"/>
      <c r="AW507" s="106"/>
      <c r="AX507" s="106"/>
      <c r="AY507" s="106"/>
      <c r="AZ507" s="106"/>
      <c r="BA507" s="106"/>
      <c r="BB507" s="106"/>
      <c r="BC507" s="106"/>
      <c r="BD507" s="106"/>
      <c r="BE507" s="106"/>
      <c r="BF507" s="106"/>
      <c r="BG507" s="106"/>
      <c r="BH507" s="106"/>
      <c r="BI507" s="106"/>
    </row>
    <row r="508" spans="1:61" ht="15" customHeight="1">
      <c r="A508" s="106"/>
      <c r="B508" s="106"/>
      <c r="C508" s="106"/>
      <c r="D508" s="301"/>
      <c r="E508" s="301"/>
      <c r="F508" s="106"/>
      <c r="G508" s="106"/>
      <c r="H508" s="106"/>
      <c r="I508" s="106"/>
      <c r="J508" s="106"/>
      <c r="K508" s="106"/>
      <c r="L508" s="106"/>
      <c r="M508" s="106"/>
      <c r="N508" s="106"/>
      <c r="O508" s="106"/>
      <c r="P508" s="106"/>
      <c r="Q508" s="106"/>
      <c r="R508" s="106"/>
      <c r="S508" s="106"/>
      <c r="T508" s="106"/>
      <c r="U508" s="106"/>
      <c r="V508" s="106"/>
      <c r="W508" s="106"/>
      <c r="X508" s="106"/>
      <c r="Y508" s="106"/>
      <c r="Z508" s="106"/>
      <c r="AA508" s="106"/>
      <c r="AB508" s="106"/>
      <c r="AC508" s="106"/>
      <c r="AD508" s="106"/>
      <c r="AE508" s="106"/>
      <c r="AF508" s="106"/>
      <c r="AG508" s="106"/>
      <c r="AH508" s="106"/>
      <c r="AI508" s="106"/>
      <c r="AJ508" s="106"/>
      <c r="AK508" s="106"/>
      <c r="AL508" s="106"/>
      <c r="AM508" s="106"/>
      <c r="AN508" s="106"/>
      <c r="AO508" s="106"/>
      <c r="AP508" s="106"/>
      <c r="AQ508" s="106"/>
      <c r="AR508" s="106"/>
      <c r="AS508" s="106"/>
      <c r="AT508" s="106"/>
      <c r="AU508" s="106"/>
      <c r="AV508" s="106"/>
      <c r="AW508" s="106"/>
      <c r="AX508" s="106"/>
      <c r="AY508" s="106"/>
      <c r="AZ508" s="106"/>
      <c r="BA508" s="106"/>
      <c r="BB508" s="106"/>
      <c r="BC508" s="106"/>
      <c r="BD508" s="106"/>
      <c r="BE508" s="106"/>
      <c r="BF508" s="106"/>
      <c r="BG508" s="106"/>
      <c r="BH508" s="106"/>
      <c r="BI508" s="106"/>
    </row>
    <row r="509" spans="1:61" ht="15" customHeight="1">
      <c r="A509" s="106"/>
      <c r="B509" s="106"/>
      <c r="C509" s="106"/>
      <c r="D509" s="301"/>
      <c r="E509" s="301"/>
      <c r="F509" s="106"/>
      <c r="G509" s="106"/>
      <c r="H509" s="106"/>
      <c r="I509" s="106"/>
      <c r="J509" s="106"/>
      <c r="K509" s="106"/>
      <c r="L509" s="106"/>
      <c r="M509" s="106"/>
      <c r="N509" s="106"/>
      <c r="O509" s="106"/>
      <c r="P509" s="106"/>
      <c r="Q509" s="106"/>
      <c r="R509" s="106"/>
      <c r="S509" s="106"/>
      <c r="T509" s="106"/>
      <c r="U509" s="106"/>
      <c r="V509" s="106"/>
      <c r="W509" s="106"/>
      <c r="X509" s="106"/>
      <c r="Y509" s="106"/>
      <c r="Z509" s="106"/>
      <c r="AA509" s="106"/>
      <c r="AB509" s="106"/>
      <c r="AC509" s="106"/>
      <c r="AD509" s="106"/>
      <c r="AE509" s="106"/>
      <c r="AF509" s="106"/>
      <c r="AG509" s="106"/>
      <c r="AH509" s="106"/>
      <c r="AI509" s="106"/>
      <c r="AJ509" s="106"/>
      <c r="AK509" s="106"/>
      <c r="AL509" s="106"/>
      <c r="AM509" s="106"/>
      <c r="AN509" s="106"/>
      <c r="AO509" s="106"/>
      <c r="AP509" s="106"/>
      <c r="AQ509" s="106"/>
      <c r="AR509" s="106"/>
      <c r="AS509" s="106"/>
      <c r="AT509" s="106"/>
      <c r="AU509" s="106"/>
      <c r="AV509" s="106"/>
      <c r="AW509" s="106"/>
      <c r="AX509" s="106"/>
      <c r="AY509" s="106"/>
      <c r="AZ509" s="106"/>
      <c r="BA509" s="106"/>
      <c r="BB509" s="106"/>
      <c r="BC509" s="106"/>
      <c r="BD509" s="106"/>
      <c r="BE509" s="106"/>
      <c r="BF509" s="106"/>
      <c r="BG509" s="106"/>
      <c r="BH509" s="106"/>
      <c r="BI509" s="106"/>
    </row>
    <row r="510" spans="1:61" ht="15" customHeight="1">
      <c r="A510" s="106"/>
      <c r="B510" s="106"/>
      <c r="C510" s="106"/>
      <c r="D510" s="301"/>
      <c r="E510" s="301"/>
      <c r="F510" s="106"/>
      <c r="G510" s="106"/>
      <c r="H510" s="106"/>
      <c r="I510" s="106"/>
      <c r="J510" s="106"/>
      <c r="K510" s="106"/>
      <c r="L510" s="106"/>
      <c r="M510" s="106"/>
      <c r="N510" s="106"/>
      <c r="O510" s="106"/>
      <c r="P510" s="106"/>
      <c r="Q510" s="106"/>
      <c r="R510" s="106"/>
      <c r="S510" s="106"/>
      <c r="T510" s="106"/>
      <c r="U510" s="106"/>
      <c r="V510" s="106"/>
      <c r="W510" s="106"/>
      <c r="X510" s="106"/>
      <c r="Y510" s="106"/>
      <c r="Z510" s="106"/>
      <c r="AA510" s="106"/>
      <c r="AB510" s="106"/>
      <c r="AC510" s="106"/>
      <c r="AD510" s="106"/>
      <c r="AE510" s="106"/>
      <c r="AF510" s="106"/>
      <c r="AG510" s="106"/>
      <c r="AH510" s="106"/>
      <c r="AI510" s="106"/>
      <c r="AJ510" s="106"/>
      <c r="AK510" s="106"/>
      <c r="AL510" s="106"/>
      <c r="AM510" s="106"/>
      <c r="AN510" s="106"/>
      <c r="AO510" s="106"/>
      <c r="AP510" s="106"/>
      <c r="AQ510" s="106"/>
      <c r="AR510" s="106"/>
      <c r="AS510" s="106"/>
      <c r="AT510" s="106"/>
      <c r="AU510" s="106"/>
      <c r="AV510" s="106"/>
      <c r="AW510" s="106"/>
      <c r="AX510" s="106"/>
      <c r="AY510" s="106"/>
      <c r="AZ510" s="106"/>
      <c r="BA510" s="106"/>
      <c r="BB510" s="106"/>
      <c r="BC510" s="106"/>
      <c r="BD510" s="106"/>
      <c r="BE510" s="106"/>
      <c r="BF510" s="106"/>
      <c r="BG510" s="106"/>
      <c r="BH510" s="106"/>
      <c r="BI510" s="106"/>
    </row>
    <row r="511" spans="1:61" ht="15" customHeight="1">
      <c r="A511" s="106"/>
      <c r="B511" s="106"/>
      <c r="C511" s="106"/>
      <c r="D511" s="301"/>
      <c r="E511" s="301"/>
      <c r="F511" s="106"/>
      <c r="G511" s="106"/>
      <c r="H511" s="106"/>
      <c r="I511" s="106"/>
      <c r="J511" s="106"/>
      <c r="K511" s="106"/>
      <c r="L511" s="106"/>
      <c r="M511" s="106"/>
      <c r="N511" s="106"/>
      <c r="O511" s="106"/>
      <c r="P511" s="106"/>
      <c r="Q511" s="106"/>
      <c r="R511" s="106"/>
      <c r="S511" s="106"/>
      <c r="T511" s="106"/>
      <c r="U511" s="106"/>
      <c r="V511" s="106"/>
      <c r="W511" s="106"/>
      <c r="X511" s="106"/>
      <c r="Y511" s="106"/>
      <c r="Z511" s="106"/>
      <c r="AA511" s="106"/>
      <c r="AB511" s="106"/>
      <c r="AC511" s="106"/>
      <c r="AD511" s="106"/>
      <c r="AE511" s="106"/>
      <c r="AF511" s="106"/>
      <c r="AG511" s="106"/>
      <c r="AH511" s="106"/>
      <c r="AI511" s="106"/>
      <c r="AJ511" s="106"/>
      <c r="AK511" s="106"/>
      <c r="AL511" s="106"/>
      <c r="AM511" s="106"/>
      <c r="AN511" s="106"/>
      <c r="AO511" s="106"/>
      <c r="AP511" s="106"/>
      <c r="AQ511" s="106"/>
      <c r="AR511" s="106"/>
      <c r="AS511" s="106"/>
      <c r="AT511" s="106"/>
      <c r="AU511" s="106"/>
      <c r="AV511" s="106"/>
      <c r="AW511" s="106"/>
      <c r="AX511" s="106"/>
      <c r="AY511" s="106"/>
      <c r="AZ511" s="106"/>
      <c r="BA511" s="106"/>
      <c r="BB511" s="106"/>
      <c r="BC511" s="106"/>
      <c r="BD511" s="106"/>
      <c r="BE511" s="106"/>
      <c r="BF511" s="106"/>
      <c r="BG511" s="106"/>
      <c r="BH511" s="106"/>
      <c r="BI511" s="106"/>
    </row>
    <row r="512" spans="1:61" ht="15" customHeight="1">
      <c r="A512" s="106"/>
      <c r="B512" s="106"/>
      <c r="C512" s="106"/>
      <c r="D512" s="301"/>
      <c r="E512" s="301"/>
      <c r="F512" s="106"/>
      <c r="G512" s="106"/>
      <c r="H512" s="106"/>
      <c r="I512" s="106"/>
      <c r="J512" s="106"/>
      <c r="K512" s="106"/>
      <c r="L512" s="106"/>
      <c r="M512" s="106"/>
      <c r="N512" s="106"/>
      <c r="O512" s="106"/>
      <c r="P512" s="106"/>
      <c r="Q512" s="106"/>
      <c r="R512" s="106"/>
      <c r="S512" s="106"/>
      <c r="T512" s="106"/>
      <c r="U512" s="106"/>
      <c r="V512" s="106"/>
      <c r="W512" s="106"/>
      <c r="X512" s="106"/>
      <c r="Y512" s="106"/>
      <c r="Z512" s="106"/>
      <c r="AA512" s="106"/>
      <c r="AB512" s="106"/>
      <c r="AC512" s="106"/>
      <c r="AD512" s="106"/>
      <c r="AE512" s="106"/>
      <c r="AF512" s="106"/>
      <c r="AG512" s="106"/>
      <c r="AH512" s="106"/>
      <c r="AI512" s="106"/>
      <c r="AJ512" s="106"/>
      <c r="AK512" s="106"/>
      <c r="AL512" s="106"/>
      <c r="AM512" s="106"/>
      <c r="AN512" s="106"/>
      <c r="AO512" s="106"/>
      <c r="AP512" s="106"/>
      <c r="AQ512" s="106"/>
      <c r="AR512" s="106"/>
      <c r="AS512" s="106"/>
      <c r="AT512" s="106"/>
      <c r="AU512" s="106"/>
      <c r="AV512" s="106"/>
      <c r="AW512" s="106"/>
      <c r="AX512" s="106"/>
      <c r="AY512" s="106"/>
      <c r="AZ512" s="106"/>
      <c r="BA512" s="106"/>
      <c r="BB512" s="106"/>
      <c r="BC512" s="106"/>
      <c r="BD512" s="106"/>
      <c r="BE512" s="106"/>
      <c r="BF512" s="106"/>
      <c r="BG512" s="106"/>
      <c r="BH512" s="106"/>
      <c r="BI512" s="106"/>
    </row>
    <row r="513" spans="1:61" ht="15" customHeight="1">
      <c r="A513" s="106"/>
      <c r="B513" s="106"/>
      <c r="C513" s="106"/>
      <c r="D513" s="301"/>
      <c r="E513" s="301"/>
      <c r="F513" s="106"/>
      <c r="G513" s="106"/>
      <c r="H513" s="106"/>
      <c r="I513" s="106"/>
      <c r="J513" s="106"/>
      <c r="K513" s="106"/>
      <c r="L513" s="106"/>
      <c r="M513" s="106"/>
      <c r="N513" s="106"/>
      <c r="O513" s="106"/>
      <c r="P513" s="106"/>
      <c r="Q513" s="106"/>
      <c r="R513" s="106"/>
      <c r="S513" s="106"/>
      <c r="T513" s="106"/>
      <c r="U513" s="106"/>
      <c r="V513" s="106"/>
      <c r="W513" s="106"/>
      <c r="X513" s="106"/>
      <c r="Y513" s="106"/>
      <c r="Z513" s="106"/>
      <c r="AA513" s="106"/>
      <c r="AB513" s="106"/>
      <c r="AC513" s="106"/>
      <c r="AD513" s="106"/>
      <c r="AE513" s="106"/>
      <c r="AF513" s="106"/>
      <c r="AG513" s="106"/>
      <c r="AH513" s="106"/>
      <c r="AI513" s="106"/>
      <c r="AJ513" s="106"/>
      <c r="AK513" s="106"/>
      <c r="AL513" s="106"/>
      <c r="AM513" s="106"/>
      <c r="AN513" s="106"/>
      <c r="AO513" s="106"/>
      <c r="AP513" s="106"/>
      <c r="AQ513" s="106"/>
      <c r="AR513" s="106"/>
      <c r="AS513" s="106"/>
      <c r="AT513" s="106"/>
      <c r="AU513" s="106"/>
      <c r="AV513" s="106"/>
      <c r="AW513" s="106"/>
      <c r="AX513" s="106"/>
      <c r="AY513" s="106"/>
      <c r="AZ513" s="106"/>
      <c r="BA513" s="106"/>
      <c r="BB513" s="106"/>
      <c r="BC513" s="106"/>
      <c r="BD513" s="106"/>
      <c r="BE513" s="106"/>
      <c r="BF513" s="106"/>
      <c r="BG513" s="106"/>
      <c r="BH513" s="106"/>
      <c r="BI513" s="106"/>
    </row>
    <row r="514" spans="1:61" ht="15" customHeight="1">
      <c r="A514" s="106"/>
      <c r="B514" s="106"/>
      <c r="C514" s="106"/>
      <c r="D514" s="301"/>
      <c r="E514" s="301"/>
      <c r="F514" s="106"/>
      <c r="G514" s="106"/>
      <c r="H514" s="106"/>
      <c r="I514" s="106"/>
      <c r="J514" s="106"/>
      <c r="K514" s="106"/>
      <c r="L514" s="106"/>
      <c r="M514" s="106"/>
      <c r="N514" s="106"/>
      <c r="O514" s="106"/>
      <c r="P514" s="106"/>
      <c r="Q514" s="106"/>
      <c r="R514" s="106"/>
      <c r="S514" s="106"/>
      <c r="T514" s="106"/>
      <c r="U514" s="106"/>
      <c r="V514" s="106"/>
      <c r="W514" s="106"/>
      <c r="X514" s="106"/>
      <c r="Y514" s="106"/>
      <c r="Z514" s="106"/>
      <c r="AA514" s="106"/>
      <c r="AB514" s="106"/>
      <c r="AC514" s="106"/>
      <c r="AD514" s="106"/>
      <c r="AE514" s="106"/>
      <c r="AF514" s="106"/>
      <c r="AG514" s="106"/>
      <c r="AH514" s="106"/>
      <c r="AI514" s="106"/>
      <c r="AJ514" s="106"/>
      <c r="AK514" s="106"/>
      <c r="AL514" s="106"/>
      <c r="AM514" s="106"/>
      <c r="AN514" s="106"/>
      <c r="AO514" s="106"/>
      <c r="AP514" s="106"/>
      <c r="AQ514" s="106"/>
      <c r="AR514" s="106"/>
      <c r="AS514" s="106"/>
      <c r="AT514" s="106"/>
      <c r="AU514" s="106"/>
      <c r="AV514" s="106"/>
      <c r="AW514" s="106"/>
      <c r="AX514" s="106"/>
      <c r="AY514" s="106"/>
      <c r="AZ514" s="106"/>
      <c r="BA514" s="106"/>
      <c r="BB514" s="106"/>
      <c r="BC514" s="106"/>
      <c r="BD514" s="106"/>
      <c r="BE514" s="106"/>
      <c r="BF514" s="106"/>
      <c r="BG514" s="106"/>
      <c r="BH514" s="106"/>
      <c r="BI514" s="106"/>
    </row>
    <row r="515" spans="1:61" ht="15" customHeight="1">
      <c r="A515" s="106"/>
      <c r="B515" s="106"/>
      <c r="C515" s="106"/>
      <c r="D515" s="301"/>
      <c r="E515" s="301"/>
      <c r="F515" s="106"/>
      <c r="G515" s="106"/>
      <c r="H515" s="106"/>
      <c r="I515" s="106"/>
      <c r="J515" s="106"/>
      <c r="K515" s="106"/>
      <c r="L515" s="106"/>
      <c r="M515" s="106"/>
      <c r="N515" s="106"/>
      <c r="O515" s="106"/>
      <c r="P515" s="106"/>
      <c r="Q515" s="106"/>
      <c r="R515" s="106"/>
      <c r="S515" s="106"/>
      <c r="T515" s="106"/>
      <c r="U515" s="106"/>
      <c r="V515" s="106"/>
      <c r="W515" s="106"/>
      <c r="X515" s="106"/>
      <c r="Y515" s="106"/>
      <c r="Z515" s="106"/>
      <c r="AA515" s="106"/>
      <c r="AB515" s="106"/>
      <c r="AC515" s="106"/>
      <c r="AD515" s="106"/>
      <c r="AE515" s="106"/>
      <c r="AF515" s="106"/>
      <c r="AG515" s="106"/>
      <c r="AH515" s="106"/>
      <c r="AI515" s="106"/>
      <c r="AJ515" s="106"/>
      <c r="AK515" s="106"/>
      <c r="AL515" s="106"/>
      <c r="AM515" s="106"/>
      <c r="AN515" s="106"/>
      <c r="AO515" s="106"/>
      <c r="AP515" s="106"/>
      <c r="AQ515" s="106"/>
      <c r="AR515" s="106"/>
      <c r="AS515" s="106"/>
      <c r="AT515" s="106"/>
      <c r="AU515" s="106"/>
      <c r="AV515" s="106"/>
      <c r="AW515" s="106"/>
      <c r="AX515" s="106"/>
      <c r="AY515" s="106"/>
      <c r="AZ515" s="106"/>
      <c r="BA515" s="106"/>
      <c r="BB515" s="106"/>
      <c r="BC515" s="106"/>
      <c r="BD515" s="106"/>
      <c r="BE515" s="106"/>
      <c r="BF515" s="106"/>
      <c r="BG515" s="106"/>
      <c r="BH515" s="106"/>
      <c r="BI515" s="106"/>
    </row>
    <row r="516" spans="1:61" ht="15" customHeight="1">
      <c r="A516" s="106"/>
      <c r="B516" s="106"/>
      <c r="C516" s="106"/>
      <c r="D516" s="301"/>
      <c r="E516" s="301"/>
      <c r="F516" s="106"/>
      <c r="G516" s="106"/>
      <c r="H516" s="106"/>
      <c r="I516" s="106"/>
      <c r="J516" s="106"/>
      <c r="K516" s="106"/>
      <c r="L516" s="106"/>
      <c r="M516" s="106"/>
      <c r="N516" s="106"/>
      <c r="O516" s="106"/>
      <c r="P516" s="106"/>
      <c r="Q516" s="106"/>
      <c r="R516" s="106"/>
      <c r="S516" s="106"/>
      <c r="T516" s="106"/>
      <c r="U516" s="106"/>
      <c r="V516" s="106"/>
      <c r="W516" s="106"/>
      <c r="X516" s="106"/>
      <c r="Y516" s="106"/>
      <c r="Z516" s="106"/>
      <c r="AA516" s="106"/>
      <c r="AB516" s="106"/>
      <c r="AC516" s="106"/>
      <c r="AD516" s="106"/>
      <c r="AE516" s="106"/>
      <c r="AF516" s="106"/>
      <c r="AG516" s="106"/>
      <c r="AH516" s="106"/>
      <c r="AI516" s="106"/>
      <c r="AJ516" s="106"/>
      <c r="AK516" s="106"/>
      <c r="AL516" s="106"/>
      <c r="AM516" s="106"/>
      <c r="AN516" s="106"/>
      <c r="AO516" s="106"/>
      <c r="AP516" s="106"/>
      <c r="AQ516" s="106"/>
      <c r="AR516" s="106"/>
      <c r="AS516" s="106"/>
      <c r="AT516" s="106"/>
      <c r="AU516" s="106"/>
      <c r="AV516" s="106"/>
      <c r="AW516" s="106"/>
      <c r="AX516" s="106"/>
      <c r="AY516" s="106"/>
      <c r="AZ516" s="106"/>
      <c r="BA516" s="106"/>
      <c r="BB516" s="106"/>
      <c r="BC516" s="106"/>
      <c r="BD516" s="106"/>
      <c r="BE516" s="106"/>
      <c r="BF516" s="106"/>
      <c r="BG516" s="106"/>
      <c r="BH516" s="106"/>
      <c r="BI516" s="106"/>
    </row>
    <row r="517" spans="1:61" ht="15" customHeight="1">
      <c r="A517" s="106"/>
      <c r="B517" s="106"/>
      <c r="C517" s="106"/>
      <c r="D517" s="301"/>
      <c r="E517" s="301"/>
      <c r="F517" s="106"/>
      <c r="G517" s="106"/>
      <c r="H517" s="106"/>
      <c r="I517" s="106"/>
      <c r="J517" s="106"/>
      <c r="K517" s="106"/>
      <c r="L517" s="106"/>
      <c r="M517" s="106"/>
      <c r="N517" s="106"/>
      <c r="O517" s="106"/>
      <c r="P517" s="106"/>
      <c r="Q517" s="106"/>
      <c r="R517" s="106"/>
      <c r="S517" s="106"/>
      <c r="T517" s="106"/>
      <c r="U517" s="106"/>
      <c r="V517" s="106"/>
      <c r="W517" s="106"/>
      <c r="X517" s="106"/>
      <c r="Y517" s="106"/>
      <c r="Z517" s="106"/>
      <c r="AA517" s="106"/>
      <c r="AB517" s="106"/>
      <c r="AC517" s="106"/>
      <c r="AD517" s="106"/>
      <c r="AE517" s="106"/>
      <c r="AF517" s="106"/>
      <c r="AG517" s="106"/>
      <c r="AH517" s="106"/>
      <c r="AI517" s="106"/>
      <c r="AJ517" s="106"/>
      <c r="AK517" s="106"/>
      <c r="AL517" s="106"/>
      <c r="AM517" s="106"/>
      <c r="AN517" s="106"/>
      <c r="AO517" s="106"/>
      <c r="AP517" s="106"/>
      <c r="AQ517" s="106"/>
      <c r="AR517" s="106"/>
      <c r="AS517" s="106"/>
      <c r="AT517" s="106"/>
      <c r="AU517" s="106"/>
      <c r="AV517" s="106"/>
      <c r="AW517" s="106"/>
      <c r="AX517" s="106"/>
      <c r="AY517" s="106"/>
      <c r="AZ517" s="106"/>
      <c r="BA517" s="106"/>
      <c r="BB517" s="106"/>
      <c r="BC517" s="106"/>
      <c r="BD517" s="106"/>
      <c r="BE517" s="106"/>
      <c r="BF517" s="106"/>
      <c r="BG517" s="106"/>
      <c r="BH517" s="106"/>
      <c r="BI517" s="106"/>
    </row>
    <row r="518" spans="1:61" ht="15" customHeight="1">
      <c r="A518" s="106"/>
      <c r="B518" s="106"/>
      <c r="C518" s="106"/>
      <c r="D518" s="301"/>
      <c r="E518" s="301"/>
      <c r="F518" s="106"/>
      <c r="G518" s="106"/>
      <c r="H518" s="106"/>
      <c r="I518" s="106"/>
      <c r="J518" s="106"/>
      <c r="K518" s="106"/>
      <c r="L518" s="106"/>
      <c r="M518" s="106"/>
      <c r="N518" s="106"/>
      <c r="O518" s="106"/>
      <c r="P518" s="106"/>
      <c r="Q518" s="106"/>
      <c r="R518" s="106"/>
      <c r="S518" s="106"/>
      <c r="T518" s="106"/>
      <c r="U518" s="106"/>
      <c r="V518" s="106"/>
      <c r="W518" s="106"/>
      <c r="X518" s="106"/>
      <c r="Y518" s="106"/>
      <c r="Z518" s="106"/>
      <c r="AA518" s="106"/>
      <c r="AB518" s="106"/>
      <c r="AC518" s="106"/>
      <c r="AD518" s="106"/>
      <c r="AE518" s="106"/>
      <c r="AF518" s="106"/>
      <c r="AG518" s="106"/>
      <c r="AH518" s="106"/>
      <c r="AI518" s="106"/>
      <c r="AJ518" s="106"/>
      <c r="AK518" s="106"/>
      <c r="AL518" s="106"/>
      <c r="AM518" s="106"/>
      <c r="AN518" s="106"/>
      <c r="AO518" s="106"/>
      <c r="AP518" s="106"/>
      <c r="AQ518" s="106"/>
      <c r="AR518" s="106"/>
      <c r="AS518" s="106"/>
      <c r="AT518" s="106"/>
      <c r="AU518" s="106"/>
      <c r="AV518" s="106"/>
      <c r="AW518" s="106"/>
      <c r="AX518" s="106"/>
      <c r="AY518" s="106"/>
      <c r="AZ518" s="106"/>
      <c r="BA518" s="106"/>
      <c r="BB518" s="106"/>
      <c r="BC518" s="106"/>
      <c r="BD518" s="106"/>
      <c r="BE518" s="106"/>
      <c r="BF518" s="106"/>
      <c r="BG518" s="106"/>
      <c r="BH518" s="106"/>
      <c r="BI518" s="106"/>
    </row>
    <row r="519" spans="1:61" ht="15" customHeight="1">
      <c r="A519" s="106"/>
      <c r="B519" s="106"/>
      <c r="C519" s="106"/>
      <c r="D519" s="301"/>
      <c r="E519" s="301"/>
      <c r="F519" s="106"/>
      <c r="G519" s="106"/>
      <c r="H519" s="106"/>
      <c r="I519" s="106"/>
      <c r="J519" s="106"/>
      <c r="K519" s="106"/>
      <c r="L519" s="106"/>
      <c r="M519" s="106"/>
      <c r="N519" s="106"/>
      <c r="O519" s="106"/>
      <c r="P519" s="106"/>
      <c r="Q519" s="106"/>
      <c r="R519" s="106"/>
      <c r="S519" s="106"/>
      <c r="T519" s="106"/>
      <c r="U519" s="106"/>
      <c r="V519" s="106"/>
      <c r="W519" s="106"/>
      <c r="X519" s="106"/>
      <c r="Y519" s="106"/>
      <c r="Z519" s="106"/>
      <c r="AA519" s="106"/>
      <c r="AB519" s="106"/>
      <c r="AC519" s="106"/>
      <c r="AD519" s="106"/>
      <c r="AE519" s="106"/>
      <c r="AF519" s="106"/>
      <c r="AG519" s="106"/>
      <c r="AH519" s="106"/>
      <c r="AI519" s="106"/>
      <c r="AJ519" s="106"/>
      <c r="AK519" s="106"/>
      <c r="AL519" s="106"/>
      <c r="AM519" s="106"/>
      <c r="AN519" s="106"/>
      <c r="AO519" s="106"/>
      <c r="AP519" s="106"/>
      <c r="AQ519" s="106"/>
      <c r="AR519" s="106"/>
      <c r="AS519" s="106"/>
      <c r="AT519" s="106"/>
      <c r="AU519" s="106"/>
      <c r="AV519" s="106"/>
      <c r="AW519" s="106"/>
      <c r="AX519" s="106"/>
      <c r="AY519" s="106"/>
      <c r="AZ519" s="106"/>
      <c r="BA519" s="106"/>
      <c r="BB519" s="106"/>
      <c r="BC519" s="106"/>
      <c r="BD519" s="106"/>
      <c r="BE519" s="106"/>
      <c r="BF519" s="106"/>
      <c r="BG519" s="106"/>
      <c r="BH519" s="106"/>
      <c r="BI519" s="106"/>
    </row>
    <row r="520" spans="1:61" ht="15" customHeight="1">
      <c r="A520" s="106"/>
      <c r="B520" s="106"/>
      <c r="C520" s="106"/>
      <c r="D520" s="301"/>
      <c r="E520" s="301"/>
      <c r="F520" s="106"/>
      <c r="G520" s="106"/>
      <c r="H520" s="106"/>
      <c r="I520" s="106"/>
      <c r="J520" s="106"/>
      <c r="K520" s="106"/>
      <c r="L520" s="106"/>
      <c r="M520" s="106"/>
      <c r="N520" s="106"/>
      <c r="O520" s="106"/>
      <c r="P520" s="106"/>
      <c r="Q520" s="106"/>
      <c r="R520" s="106"/>
      <c r="S520" s="106"/>
      <c r="T520" s="106"/>
      <c r="U520" s="106"/>
      <c r="V520" s="106"/>
      <c r="W520" s="106"/>
      <c r="X520" s="106"/>
      <c r="Y520" s="106"/>
      <c r="Z520" s="106"/>
      <c r="AA520" s="106"/>
      <c r="AB520" s="106"/>
      <c r="AC520" s="106"/>
      <c r="AD520" s="106"/>
      <c r="AE520" s="106"/>
      <c r="AF520" s="106"/>
      <c r="AG520" s="106"/>
      <c r="AH520" s="106"/>
      <c r="AI520" s="106"/>
      <c r="AJ520" s="106"/>
      <c r="AK520" s="106"/>
      <c r="AL520" s="106"/>
      <c r="AM520" s="106"/>
      <c r="AN520" s="106"/>
      <c r="AO520" s="106"/>
      <c r="AP520" s="106"/>
      <c r="AQ520" s="106"/>
      <c r="AR520" s="106"/>
      <c r="AS520" s="106"/>
      <c r="AT520" s="106"/>
      <c r="AU520" s="106"/>
      <c r="AV520" s="106"/>
      <c r="AW520" s="106"/>
      <c r="AX520" s="106"/>
      <c r="AY520" s="106"/>
      <c r="AZ520" s="106"/>
      <c r="BA520" s="106"/>
      <c r="BB520" s="106"/>
      <c r="BC520" s="106"/>
      <c r="BD520" s="106"/>
      <c r="BE520" s="106"/>
      <c r="BF520" s="106"/>
      <c r="BG520" s="106"/>
      <c r="BH520" s="106"/>
      <c r="BI520" s="106"/>
    </row>
    <row r="521" spans="1:61" ht="15" customHeight="1">
      <c r="A521" s="106"/>
      <c r="B521" s="106"/>
      <c r="C521" s="106"/>
      <c r="D521" s="301"/>
      <c r="E521" s="301"/>
      <c r="F521" s="106"/>
      <c r="G521" s="106"/>
      <c r="H521" s="106"/>
      <c r="I521" s="106"/>
      <c r="J521" s="106"/>
      <c r="K521" s="106"/>
      <c r="L521" s="106"/>
      <c r="M521" s="106"/>
      <c r="N521" s="106"/>
      <c r="O521" s="106"/>
      <c r="P521" s="106"/>
      <c r="Q521" s="106"/>
      <c r="R521" s="106"/>
      <c r="S521" s="106"/>
      <c r="T521" s="106"/>
      <c r="U521" s="106"/>
      <c r="V521" s="106"/>
      <c r="W521" s="106"/>
      <c r="X521" s="106"/>
      <c r="Y521" s="106"/>
      <c r="Z521" s="106"/>
      <c r="AA521" s="106"/>
      <c r="AB521" s="106"/>
      <c r="AC521" s="106"/>
      <c r="AD521" s="106"/>
      <c r="AE521" s="106"/>
      <c r="AF521" s="106"/>
      <c r="AG521" s="106"/>
      <c r="AH521" s="106"/>
      <c r="AI521" s="106"/>
      <c r="AJ521" s="106"/>
      <c r="AK521" s="106"/>
      <c r="AL521" s="106"/>
      <c r="AM521" s="106"/>
      <c r="AN521" s="106"/>
      <c r="AO521" s="106"/>
      <c r="AP521" s="106"/>
      <c r="AQ521" s="106"/>
      <c r="AR521" s="106"/>
      <c r="AS521" s="106"/>
      <c r="AT521" s="106"/>
      <c r="AU521" s="106"/>
      <c r="AV521" s="106"/>
      <c r="AW521" s="106"/>
      <c r="AX521" s="106"/>
      <c r="AY521" s="106"/>
      <c r="AZ521" s="106"/>
      <c r="BA521" s="106"/>
      <c r="BB521" s="106"/>
      <c r="BC521" s="106"/>
      <c r="BD521" s="106"/>
      <c r="BE521" s="106"/>
      <c r="BF521" s="106"/>
      <c r="BG521" s="106"/>
      <c r="BH521" s="106"/>
      <c r="BI521" s="106"/>
    </row>
    <row r="522" spans="1:61" ht="15" customHeight="1">
      <c r="A522" s="106"/>
      <c r="B522" s="106"/>
      <c r="C522" s="106"/>
      <c r="D522" s="301"/>
      <c r="E522" s="301"/>
      <c r="F522" s="106"/>
      <c r="G522" s="106"/>
      <c r="H522" s="106"/>
      <c r="I522" s="106"/>
      <c r="J522" s="106"/>
      <c r="K522" s="106"/>
      <c r="L522" s="106"/>
      <c r="M522" s="106"/>
      <c r="N522" s="106"/>
      <c r="O522" s="106"/>
      <c r="P522" s="106"/>
      <c r="Q522" s="106"/>
      <c r="R522" s="106"/>
      <c r="S522" s="106"/>
      <c r="T522" s="106"/>
      <c r="U522" s="106"/>
      <c r="V522" s="106"/>
      <c r="W522" s="106"/>
      <c r="X522" s="106"/>
      <c r="Y522" s="106"/>
      <c r="Z522" s="106"/>
      <c r="AA522" s="106"/>
      <c r="AB522" s="106"/>
      <c r="AC522" s="106"/>
      <c r="AD522" s="106"/>
      <c r="AE522" s="106"/>
      <c r="AF522" s="106"/>
      <c r="AG522" s="106"/>
      <c r="AH522" s="106"/>
      <c r="AI522" s="106"/>
      <c r="AJ522" s="106"/>
      <c r="AK522" s="106"/>
      <c r="AL522" s="106"/>
      <c r="AM522" s="106"/>
      <c r="AN522" s="106"/>
      <c r="AO522" s="106"/>
      <c r="AP522" s="106"/>
      <c r="AQ522" s="106"/>
      <c r="AR522" s="106"/>
      <c r="AS522" s="106"/>
      <c r="AT522" s="106"/>
      <c r="AU522" s="106"/>
      <c r="AV522" s="106"/>
      <c r="AW522" s="106"/>
      <c r="AX522" s="106"/>
      <c r="AY522" s="106"/>
      <c r="AZ522" s="106"/>
      <c r="BA522" s="106"/>
      <c r="BB522" s="106"/>
      <c r="BC522" s="106"/>
      <c r="BD522" s="106"/>
      <c r="BE522" s="106"/>
      <c r="BF522" s="106"/>
      <c r="BG522" s="106"/>
      <c r="BH522" s="106"/>
      <c r="BI522" s="106"/>
    </row>
    <row r="523" spans="1:61" ht="15" customHeight="1">
      <c r="A523" s="106"/>
      <c r="B523" s="106"/>
      <c r="C523" s="106"/>
      <c r="D523" s="301"/>
      <c r="E523" s="301"/>
      <c r="F523" s="106"/>
      <c r="G523" s="106"/>
      <c r="H523" s="106"/>
      <c r="I523" s="106"/>
      <c r="J523" s="106"/>
      <c r="K523" s="106"/>
      <c r="L523" s="106"/>
      <c r="M523" s="106"/>
      <c r="N523" s="106"/>
      <c r="O523" s="106"/>
      <c r="P523" s="106"/>
      <c r="Q523" s="106"/>
      <c r="R523" s="106"/>
      <c r="S523" s="106"/>
      <c r="T523" s="106"/>
      <c r="U523" s="106"/>
      <c r="V523" s="106"/>
      <c r="W523" s="106"/>
      <c r="X523" s="106"/>
      <c r="Y523" s="106"/>
      <c r="Z523" s="106"/>
      <c r="AA523" s="106"/>
      <c r="AB523" s="106"/>
      <c r="AC523" s="106"/>
      <c r="AD523" s="106"/>
      <c r="AE523" s="106"/>
      <c r="AF523" s="106"/>
      <c r="AG523" s="106"/>
      <c r="AH523" s="106"/>
      <c r="AI523" s="106"/>
      <c r="AJ523" s="106"/>
      <c r="AK523" s="106"/>
      <c r="AL523" s="106"/>
      <c r="AM523" s="106"/>
      <c r="AN523" s="106"/>
      <c r="AO523" s="106"/>
      <c r="AP523" s="106"/>
      <c r="AQ523" s="106"/>
      <c r="AR523" s="106"/>
      <c r="AS523" s="106"/>
      <c r="AT523" s="106"/>
      <c r="AU523" s="106"/>
      <c r="AV523" s="106"/>
      <c r="AW523" s="106"/>
      <c r="AX523" s="106"/>
      <c r="AY523" s="106"/>
      <c r="AZ523" s="106"/>
      <c r="BA523" s="106"/>
      <c r="BB523" s="106"/>
      <c r="BC523" s="106"/>
      <c r="BD523" s="106"/>
      <c r="BE523" s="106"/>
      <c r="BF523" s="106"/>
      <c r="BG523" s="106"/>
      <c r="BH523" s="106"/>
      <c r="BI523" s="106"/>
    </row>
    <row r="524" spans="1:61" ht="15" customHeight="1">
      <c r="A524" s="106"/>
      <c r="B524" s="106"/>
      <c r="C524" s="106"/>
      <c r="D524" s="301"/>
      <c r="E524" s="301"/>
      <c r="F524" s="106"/>
      <c r="G524" s="106"/>
      <c r="H524" s="106"/>
      <c r="I524" s="106"/>
      <c r="J524" s="106"/>
      <c r="K524" s="106"/>
      <c r="L524" s="106"/>
      <c r="M524" s="106"/>
      <c r="N524" s="106"/>
      <c r="O524" s="106"/>
      <c r="P524" s="106"/>
      <c r="Q524" s="106"/>
      <c r="R524" s="106"/>
      <c r="S524" s="106"/>
      <c r="T524" s="106"/>
      <c r="U524" s="106"/>
      <c r="V524" s="106"/>
      <c r="W524" s="106"/>
      <c r="X524" s="106"/>
      <c r="Y524" s="106"/>
      <c r="Z524" s="106"/>
      <c r="AA524" s="106"/>
      <c r="AB524" s="106"/>
      <c r="AC524" s="106"/>
      <c r="AD524" s="106"/>
      <c r="AE524" s="106"/>
      <c r="AF524" s="106"/>
      <c r="AG524" s="106"/>
      <c r="AH524" s="106"/>
      <c r="AI524" s="106"/>
      <c r="AJ524" s="106"/>
      <c r="AK524" s="106"/>
      <c r="AL524" s="106"/>
      <c r="AM524" s="106"/>
      <c r="AN524" s="106"/>
      <c r="AO524" s="106"/>
      <c r="AP524" s="106"/>
      <c r="AQ524" s="106"/>
      <c r="AR524" s="106"/>
      <c r="AS524" s="106"/>
      <c r="AT524" s="106"/>
      <c r="AU524" s="106"/>
      <c r="AV524" s="106"/>
      <c r="AW524" s="106"/>
      <c r="AX524" s="106"/>
      <c r="AY524" s="106"/>
      <c r="AZ524" s="106"/>
      <c r="BA524" s="106"/>
      <c r="BB524" s="106"/>
      <c r="BC524" s="106"/>
      <c r="BD524" s="106"/>
      <c r="BE524" s="106"/>
      <c r="BF524" s="106"/>
      <c r="BG524" s="106"/>
      <c r="BH524" s="106"/>
      <c r="BI524" s="106"/>
    </row>
    <row r="525" spans="1:61" ht="15" customHeight="1">
      <c r="A525" s="106"/>
      <c r="B525" s="106"/>
      <c r="C525" s="106"/>
      <c r="D525" s="301"/>
      <c r="E525" s="301"/>
      <c r="F525" s="106"/>
      <c r="G525" s="106"/>
      <c r="H525" s="106"/>
      <c r="I525" s="106"/>
      <c r="J525" s="106"/>
      <c r="K525" s="106"/>
      <c r="L525" s="106"/>
      <c r="M525" s="106"/>
      <c r="N525" s="106"/>
      <c r="O525" s="106"/>
      <c r="P525" s="106"/>
      <c r="Q525" s="106"/>
      <c r="R525" s="106"/>
      <c r="S525" s="106"/>
      <c r="T525" s="106"/>
      <c r="U525" s="106"/>
      <c r="V525" s="106"/>
      <c r="W525" s="106"/>
      <c r="X525" s="106"/>
      <c r="Y525" s="106"/>
      <c r="Z525" s="106"/>
      <c r="AA525" s="106"/>
      <c r="AB525" s="106"/>
      <c r="AC525" s="106"/>
      <c r="AD525" s="106"/>
      <c r="AE525" s="106"/>
      <c r="AF525" s="106"/>
      <c r="AG525" s="106"/>
      <c r="AH525" s="106"/>
      <c r="AI525" s="106"/>
      <c r="AJ525" s="106"/>
      <c r="AK525" s="106"/>
      <c r="AL525" s="106"/>
      <c r="AM525" s="106"/>
      <c r="AN525" s="106"/>
      <c r="AO525" s="106"/>
      <c r="AP525" s="106"/>
      <c r="AQ525" s="106"/>
      <c r="AR525" s="106"/>
      <c r="AS525" s="106"/>
      <c r="AT525" s="106"/>
      <c r="AU525" s="106"/>
      <c r="AV525" s="106"/>
      <c r="AW525" s="106"/>
      <c r="AX525" s="106"/>
      <c r="AY525" s="106"/>
      <c r="AZ525" s="106"/>
      <c r="BA525" s="106"/>
      <c r="BB525" s="106"/>
      <c r="BC525" s="106"/>
      <c r="BD525" s="106"/>
      <c r="BE525" s="106"/>
      <c r="BF525" s="106"/>
      <c r="BG525" s="106"/>
      <c r="BH525" s="106"/>
      <c r="BI525" s="106"/>
    </row>
    <row r="526" spans="1:61" ht="15" customHeight="1">
      <c r="A526" s="106"/>
      <c r="B526" s="106"/>
      <c r="C526" s="106"/>
      <c r="D526" s="301"/>
      <c r="E526" s="301"/>
      <c r="F526" s="106"/>
      <c r="G526" s="106"/>
      <c r="H526" s="106"/>
      <c r="I526" s="106"/>
      <c r="J526" s="106"/>
      <c r="K526" s="106"/>
      <c r="L526" s="106"/>
      <c r="M526" s="106"/>
      <c r="N526" s="106"/>
      <c r="O526" s="106"/>
      <c r="P526" s="106"/>
      <c r="Q526" s="106"/>
      <c r="R526" s="106"/>
      <c r="S526" s="106"/>
      <c r="T526" s="106"/>
      <c r="U526" s="106"/>
      <c r="V526" s="106"/>
      <c r="W526" s="106"/>
      <c r="X526" s="106"/>
      <c r="Y526" s="106"/>
      <c r="Z526" s="106"/>
      <c r="AA526" s="106"/>
      <c r="AB526" s="106"/>
      <c r="AC526" s="106"/>
      <c r="AD526" s="106"/>
      <c r="AE526" s="106"/>
      <c r="AF526" s="106"/>
      <c r="AG526" s="106"/>
      <c r="AH526" s="106"/>
      <c r="AI526" s="106"/>
      <c r="AJ526" s="106"/>
      <c r="AK526" s="106"/>
      <c r="AL526" s="106"/>
      <c r="AM526" s="106"/>
      <c r="AN526" s="106"/>
      <c r="AO526" s="106"/>
      <c r="AP526" s="106"/>
      <c r="AQ526" s="106"/>
      <c r="AR526" s="106"/>
      <c r="AS526" s="106"/>
      <c r="AT526" s="106"/>
      <c r="AU526" s="106"/>
      <c r="AV526" s="106"/>
      <c r="AW526" s="106"/>
      <c r="AX526" s="106"/>
      <c r="AY526" s="106"/>
      <c r="AZ526" s="106"/>
      <c r="BA526" s="106"/>
      <c r="BB526" s="106"/>
      <c r="BC526" s="106"/>
      <c r="BD526" s="106"/>
      <c r="BE526" s="106"/>
      <c r="BF526" s="106"/>
      <c r="BG526" s="106"/>
      <c r="BH526" s="106"/>
      <c r="BI526" s="106"/>
    </row>
    <row r="527" spans="1:61" ht="15" customHeight="1">
      <c r="A527" s="106"/>
      <c r="B527" s="106"/>
      <c r="C527" s="106"/>
      <c r="D527" s="301"/>
      <c r="E527" s="301"/>
      <c r="F527" s="106"/>
      <c r="G527" s="106"/>
      <c r="H527" s="106"/>
      <c r="I527" s="106"/>
      <c r="J527" s="106"/>
      <c r="K527" s="106"/>
      <c r="L527" s="106"/>
      <c r="M527" s="106"/>
      <c r="N527" s="106"/>
      <c r="O527" s="106"/>
      <c r="P527" s="106"/>
      <c r="Q527" s="106"/>
      <c r="R527" s="106"/>
      <c r="S527" s="106"/>
      <c r="T527" s="106"/>
      <c r="U527" s="106"/>
      <c r="V527" s="106"/>
      <c r="W527" s="106"/>
      <c r="X527" s="106"/>
      <c r="Y527" s="106"/>
      <c r="Z527" s="106"/>
      <c r="AA527" s="106"/>
      <c r="AB527" s="106"/>
      <c r="AC527" s="106"/>
      <c r="AD527" s="106"/>
      <c r="AE527" s="106"/>
      <c r="AF527" s="106"/>
      <c r="AG527" s="106"/>
      <c r="AH527" s="106"/>
      <c r="AI527" s="106"/>
      <c r="AJ527" s="106"/>
      <c r="AK527" s="106"/>
      <c r="AL527" s="106"/>
      <c r="AM527" s="106"/>
      <c r="AN527" s="106"/>
      <c r="AO527" s="106"/>
      <c r="AP527" s="106"/>
      <c r="AQ527" s="106"/>
      <c r="AR527" s="106"/>
      <c r="AS527" s="106"/>
      <c r="AT527" s="106"/>
      <c r="AU527" s="106"/>
      <c r="AV527" s="106"/>
      <c r="AW527" s="106"/>
      <c r="AX527" s="106"/>
      <c r="AY527" s="106"/>
      <c r="AZ527" s="106"/>
      <c r="BA527" s="106"/>
      <c r="BB527" s="106"/>
      <c r="BC527" s="106"/>
      <c r="BD527" s="106"/>
      <c r="BE527" s="106"/>
      <c r="BF527" s="106"/>
      <c r="BG527" s="106"/>
      <c r="BH527" s="106"/>
      <c r="BI527" s="106"/>
    </row>
    <row r="528" spans="1:61" ht="15" customHeight="1">
      <c r="A528" s="106"/>
      <c r="B528" s="106"/>
      <c r="C528" s="106"/>
      <c r="D528" s="301"/>
      <c r="E528" s="301"/>
      <c r="F528" s="106"/>
      <c r="G528" s="106"/>
      <c r="H528" s="106"/>
      <c r="I528" s="106"/>
      <c r="J528" s="106"/>
      <c r="K528" s="106"/>
      <c r="L528" s="106"/>
      <c r="M528" s="106"/>
      <c r="N528" s="106"/>
      <c r="O528" s="106"/>
      <c r="P528" s="106"/>
      <c r="Q528" s="106"/>
      <c r="R528" s="106"/>
      <c r="S528" s="106"/>
      <c r="T528" s="106"/>
      <c r="U528" s="106"/>
      <c r="V528" s="106"/>
      <c r="W528" s="106"/>
      <c r="X528" s="106"/>
      <c r="Y528" s="106"/>
      <c r="Z528" s="106"/>
      <c r="AA528" s="106"/>
      <c r="AB528" s="106"/>
      <c r="AC528" s="106"/>
      <c r="AD528" s="106"/>
      <c r="AE528" s="106"/>
      <c r="AF528" s="106"/>
      <c r="AG528" s="106"/>
      <c r="AH528" s="106"/>
      <c r="AI528" s="106"/>
      <c r="AJ528" s="106"/>
      <c r="AK528" s="106"/>
      <c r="AL528" s="106"/>
      <c r="AM528" s="106"/>
      <c r="AN528" s="106"/>
      <c r="AO528" s="106"/>
      <c r="AP528" s="106"/>
      <c r="AQ528" s="106"/>
      <c r="AR528" s="106"/>
      <c r="AS528" s="106"/>
      <c r="AT528" s="106"/>
      <c r="AU528" s="106"/>
      <c r="AV528" s="106"/>
      <c r="AW528" s="106"/>
      <c r="AX528" s="106"/>
      <c r="AY528" s="106"/>
      <c r="AZ528" s="106"/>
      <c r="BA528" s="106"/>
      <c r="BB528" s="106"/>
      <c r="BC528" s="106"/>
      <c r="BD528" s="106"/>
      <c r="BE528" s="106"/>
      <c r="BF528" s="106"/>
      <c r="BG528" s="106"/>
      <c r="BH528" s="106"/>
      <c r="BI528" s="106"/>
    </row>
    <row r="529" spans="1:61" ht="15" customHeight="1">
      <c r="A529" s="106"/>
      <c r="B529" s="106"/>
      <c r="C529" s="106"/>
      <c r="D529" s="301"/>
      <c r="E529" s="301"/>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c r="AD529" s="106"/>
      <c r="AE529" s="106"/>
      <c r="AF529" s="106"/>
      <c r="AG529" s="106"/>
      <c r="AH529" s="106"/>
      <c r="AI529" s="106"/>
      <c r="AJ529" s="106"/>
      <c r="AK529" s="106"/>
      <c r="AL529" s="106"/>
      <c r="AM529" s="106"/>
      <c r="AN529" s="106"/>
      <c r="AO529" s="106"/>
      <c r="AP529" s="106"/>
      <c r="AQ529" s="106"/>
      <c r="AR529" s="106"/>
      <c r="AS529" s="106"/>
      <c r="AT529" s="106"/>
      <c r="AU529" s="106"/>
      <c r="AV529" s="106"/>
      <c r="AW529" s="106"/>
      <c r="AX529" s="106"/>
      <c r="AY529" s="106"/>
      <c r="AZ529" s="106"/>
      <c r="BA529" s="106"/>
      <c r="BB529" s="106"/>
      <c r="BC529" s="106"/>
      <c r="BD529" s="106"/>
      <c r="BE529" s="106"/>
      <c r="BF529" s="106"/>
      <c r="BG529" s="106"/>
      <c r="BH529" s="106"/>
      <c r="BI529" s="106"/>
    </row>
    <row r="530" spans="1:61" ht="15" customHeight="1">
      <c r="A530" s="106"/>
      <c r="B530" s="106"/>
      <c r="C530" s="106"/>
      <c r="D530" s="301"/>
      <c r="E530" s="301"/>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c r="AD530" s="106"/>
      <c r="AE530" s="106"/>
      <c r="AF530" s="106"/>
      <c r="AG530" s="106"/>
      <c r="AH530" s="106"/>
      <c r="AI530" s="106"/>
      <c r="AJ530" s="106"/>
      <c r="AK530" s="106"/>
      <c r="AL530" s="106"/>
      <c r="AM530" s="106"/>
      <c r="AN530" s="106"/>
      <c r="AO530" s="106"/>
      <c r="AP530" s="106"/>
      <c r="AQ530" s="106"/>
      <c r="AR530" s="106"/>
      <c r="AS530" s="106"/>
      <c r="AT530" s="106"/>
      <c r="AU530" s="106"/>
      <c r="AV530" s="106"/>
      <c r="AW530" s="106"/>
      <c r="AX530" s="106"/>
      <c r="AY530" s="106"/>
      <c r="AZ530" s="106"/>
      <c r="BA530" s="106"/>
      <c r="BB530" s="106"/>
      <c r="BC530" s="106"/>
      <c r="BD530" s="106"/>
      <c r="BE530" s="106"/>
      <c r="BF530" s="106"/>
      <c r="BG530" s="106"/>
      <c r="BH530" s="106"/>
      <c r="BI530" s="106"/>
    </row>
    <row r="531" spans="1:61" ht="15" customHeight="1">
      <c r="A531" s="106"/>
      <c r="B531" s="106"/>
      <c r="C531" s="106"/>
      <c r="D531" s="301"/>
      <c r="E531" s="301"/>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c r="AD531" s="106"/>
      <c r="AE531" s="106"/>
      <c r="AF531" s="106"/>
      <c r="AG531" s="106"/>
      <c r="AH531" s="106"/>
      <c r="AI531" s="106"/>
      <c r="AJ531" s="106"/>
      <c r="AK531" s="106"/>
      <c r="AL531" s="106"/>
      <c r="AM531" s="106"/>
      <c r="AN531" s="106"/>
      <c r="AO531" s="106"/>
      <c r="AP531" s="106"/>
      <c r="AQ531" s="106"/>
      <c r="AR531" s="106"/>
      <c r="AS531" s="106"/>
      <c r="AT531" s="106"/>
      <c r="AU531" s="106"/>
      <c r="AV531" s="106"/>
      <c r="AW531" s="106"/>
      <c r="AX531" s="106"/>
      <c r="AY531" s="106"/>
      <c r="AZ531" s="106"/>
      <c r="BA531" s="106"/>
      <c r="BB531" s="106"/>
      <c r="BC531" s="106"/>
      <c r="BD531" s="106"/>
      <c r="BE531" s="106"/>
      <c r="BF531" s="106"/>
      <c r="BG531" s="106"/>
      <c r="BH531" s="106"/>
      <c r="BI531" s="106"/>
    </row>
    <row r="532" spans="1:61" ht="15" customHeight="1">
      <c r="A532" s="106"/>
      <c r="B532" s="106"/>
      <c r="C532" s="106"/>
      <c r="D532" s="301"/>
      <c r="E532" s="301"/>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c r="AD532" s="106"/>
      <c r="AE532" s="106"/>
      <c r="AF532" s="106"/>
      <c r="AG532" s="106"/>
      <c r="AH532" s="106"/>
      <c r="AI532" s="106"/>
      <c r="AJ532" s="106"/>
      <c r="AK532" s="106"/>
      <c r="AL532" s="106"/>
      <c r="AM532" s="106"/>
      <c r="AN532" s="106"/>
      <c r="AO532" s="106"/>
      <c r="AP532" s="106"/>
      <c r="AQ532" s="106"/>
      <c r="AR532" s="106"/>
      <c r="AS532" s="106"/>
      <c r="AT532" s="106"/>
      <c r="AU532" s="106"/>
      <c r="AV532" s="106"/>
      <c r="AW532" s="106"/>
      <c r="AX532" s="106"/>
      <c r="AY532" s="106"/>
      <c r="AZ532" s="106"/>
      <c r="BA532" s="106"/>
      <c r="BB532" s="106"/>
      <c r="BC532" s="106"/>
      <c r="BD532" s="106"/>
      <c r="BE532" s="106"/>
      <c r="BF532" s="106"/>
      <c r="BG532" s="106"/>
      <c r="BH532" s="106"/>
      <c r="BI532" s="106"/>
    </row>
    <row r="533" spans="1:61" ht="15" customHeight="1">
      <c r="A533" s="106"/>
      <c r="B533" s="106"/>
      <c r="C533" s="106"/>
      <c r="D533" s="301"/>
      <c r="E533" s="301"/>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c r="AD533" s="106"/>
      <c r="AE533" s="106"/>
      <c r="AF533" s="106"/>
      <c r="AG533" s="106"/>
      <c r="AH533" s="106"/>
      <c r="AI533" s="106"/>
      <c r="AJ533" s="106"/>
      <c r="AK533" s="106"/>
      <c r="AL533" s="106"/>
      <c r="AM533" s="106"/>
      <c r="AN533" s="106"/>
      <c r="AO533" s="106"/>
      <c r="AP533" s="106"/>
      <c r="AQ533" s="106"/>
      <c r="AR533" s="106"/>
      <c r="AS533" s="106"/>
      <c r="AT533" s="106"/>
      <c r="AU533" s="106"/>
      <c r="AV533" s="106"/>
      <c r="AW533" s="106"/>
      <c r="AX533" s="106"/>
      <c r="AY533" s="106"/>
      <c r="AZ533" s="106"/>
      <c r="BA533" s="106"/>
      <c r="BB533" s="106"/>
      <c r="BC533" s="106"/>
      <c r="BD533" s="106"/>
      <c r="BE533" s="106"/>
      <c r="BF533" s="106"/>
      <c r="BG533" s="106"/>
      <c r="BH533" s="106"/>
      <c r="BI533" s="106"/>
    </row>
    <row r="534" spans="1:61" ht="15" customHeight="1">
      <c r="A534" s="106"/>
      <c r="B534" s="106"/>
      <c r="C534" s="106"/>
      <c r="D534" s="301"/>
      <c r="E534" s="301"/>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c r="AD534" s="106"/>
      <c r="AE534" s="106"/>
      <c r="AF534" s="106"/>
      <c r="AG534" s="106"/>
      <c r="AH534" s="106"/>
      <c r="AI534" s="106"/>
      <c r="AJ534" s="106"/>
      <c r="AK534" s="106"/>
      <c r="AL534" s="106"/>
      <c r="AM534" s="106"/>
      <c r="AN534" s="106"/>
      <c r="AO534" s="106"/>
      <c r="AP534" s="106"/>
      <c r="AQ534" s="106"/>
      <c r="AR534" s="106"/>
      <c r="AS534" s="106"/>
      <c r="AT534" s="106"/>
      <c r="AU534" s="106"/>
      <c r="AV534" s="106"/>
      <c r="AW534" s="106"/>
      <c r="AX534" s="106"/>
      <c r="AY534" s="106"/>
      <c r="AZ534" s="106"/>
      <c r="BA534" s="106"/>
      <c r="BB534" s="106"/>
      <c r="BC534" s="106"/>
      <c r="BD534" s="106"/>
      <c r="BE534" s="106"/>
      <c r="BF534" s="106"/>
      <c r="BG534" s="106"/>
      <c r="BH534" s="106"/>
      <c r="BI534" s="106"/>
    </row>
    <row r="535" spans="1:61" ht="15" customHeight="1">
      <c r="A535" s="106"/>
      <c r="B535" s="106"/>
      <c r="C535" s="106"/>
      <c r="D535" s="301"/>
      <c r="E535" s="301"/>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c r="AD535" s="106"/>
      <c r="AE535" s="106"/>
      <c r="AF535" s="106"/>
      <c r="AG535" s="106"/>
      <c r="AH535" s="106"/>
      <c r="AI535" s="106"/>
      <c r="AJ535" s="106"/>
      <c r="AK535" s="106"/>
      <c r="AL535" s="106"/>
      <c r="AM535" s="106"/>
      <c r="AN535" s="106"/>
      <c r="AO535" s="106"/>
      <c r="AP535" s="106"/>
      <c r="AQ535" s="106"/>
      <c r="AR535" s="106"/>
      <c r="AS535" s="106"/>
      <c r="AT535" s="106"/>
      <c r="AU535" s="106"/>
      <c r="AV535" s="106"/>
      <c r="AW535" s="106"/>
      <c r="AX535" s="106"/>
      <c r="AY535" s="106"/>
      <c r="AZ535" s="106"/>
      <c r="BA535" s="106"/>
      <c r="BB535" s="106"/>
      <c r="BC535" s="106"/>
      <c r="BD535" s="106"/>
      <c r="BE535" s="106"/>
      <c r="BF535" s="106"/>
      <c r="BG535" s="106"/>
      <c r="BH535" s="106"/>
      <c r="BI535" s="106"/>
    </row>
    <row r="536" spans="1:61" ht="15" customHeight="1">
      <c r="A536" s="106"/>
      <c r="B536" s="106"/>
      <c r="C536" s="106"/>
      <c r="D536" s="301"/>
      <c r="E536" s="301"/>
      <c r="F536" s="106"/>
      <c r="G536" s="106"/>
      <c r="H536" s="106"/>
      <c r="I536" s="106"/>
      <c r="J536" s="106"/>
      <c r="K536" s="106"/>
      <c r="L536" s="106"/>
      <c r="M536" s="106"/>
      <c r="N536" s="106"/>
      <c r="O536" s="106"/>
      <c r="P536" s="106"/>
      <c r="Q536" s="106"/>
      <c r="R536" s="106"/>
      <c r="S536" s="106"/>
      <c r="T536" s="106"/>
      <c r="U536" s="106"/>
      <c r="V536" s="106"/>
      <c r="W536" s="106"/>
      <c r="X536" s="106"/>
      <c r="Y536" s="106"/>
      <c r="Z536" s="106"/>
      <c r="AA536" s="106"/>
      <c r="AB536" s="106"/>
      <c r="AC536" s="106"/>
      <c r="AD536" s="106"/>
      <c r="AE536" s="106"/>
      <c r="AF536" s="106"/>
      <c r="AG536" s="106"/>
      <c r="AH536" s="106"/>
      <c r="AI536" s="106"/>
      <c r="AJ536" s="106"/>
      <c r="AK536" s="106"/>
      <c r="AL536" s="106"/>
      <c r="AM536" s="106"/>
      <c r="AN536" s="106"/>
      <c r="AO536" s="106"/>
      <c r="AP536" s="106"/>
      <c r="AQ536" s="106"/>
      <c r="AR536" s="106"/>
      <c r="AS536" s="106"/>
      <c r="AT536" s="106"/>
      <c r="AU536" s="106"/>
      <c r="AV536" s="106"/>
      <c r="AW536" s="106"/>
      <c r="AX536" s="106"/>
      <c r="AY536" s="106"/>
      <c r="AZ536" s="106"/>
      <c r="BA536" s="106"/>
      <c r="BB536" s="106"/>
      <c r="BC536" s="106"/>
      <c r="BD536" s="106"/>
      <c r="BE536" s="106"/>
      <c r="BF536" s="106"/>
      <c r="BG536" s="106"/>
      <c r="BH536" s="106"/>
      <c r="BI536" s="106"/>
    </row>
    <row r="537" spans="1:61" ht="15" customHeight="1">
      <c r="A537" s="106"/>
      <c r="B537" s="106"/>
      <c r="C537" s="106"/>
      <c r="D537" s="301"/>
      <c r="E537" s="301"/>
      <c r="F537" s="106"/>
      <c r="G537" s="106"/>
      <c r="H537" s="106"/>
      <c r="I537" s="106"/>
      <c r="J537" s="106"/>
      <c r="K537" s="106"/>
      <c r="L537" s="106"/>
      <c r="M537" s="106"/>
      <c r="N537" s="106"/>
      <c r="O537" s="106"/>
      <c r="P537" s="106"/>
      <c r="Q537" s="106"/>
      <c r="R537" s="106"/>
      <c r="S537" s="106"/>
      <c r="T537" s="106"/>
      <c r="U537" s="106"/>
      <c r="V537" s="106"/>
      <c r="W537" s="106"/>
      <c r="X537" s="106"/>
      <c r="Y537" s="106"/>
      <c r="Z537" s="106"/>
      <c r="AA537" s="106"/>
      <c r="AB537" s="106"/>
      <c r="AC537" s="106"/>
      <c r="AD537" s="106"/>
      <c r="AE537" s="106"/>
      <c r="AF537" s="106"/>
      <c r="AG537" s="106"/>
      <c r="AH537" s="106"/>
      <c r="AI537" s="106"/>
      <c r="AJ537" s="106"/>
      <c r="AK537" s="106"/>
      <c r="AL537" s="106"/>
      <c r="AM537" s="106"/>
      <c r="AN537" s="106"/>
      <c r="AO537" s="106"/>
      <c r="AP537" s="106"/>
      <c r="AQ537" s="106"/>
      <c r="AR537" s="106"/>
      <c r="AS537" s="106"/>
      <c r="AT537" s="106"/>
      <c r="AU537" s="106"/>
      <c r="AV537" s="106"/>
      <c r="AW537" s="106"/>
      <c r="AX537" s="106"/>
      <c r="AY537" s="106"/>
      <c r="AZ537" s="106"/>
      <c r="BA537" s="106"/>
      <c r="BB537" s="106"/>
      <c r="BC537" s="106"/>
      <c r="BD537" s="106"/>
      <c r="BE537" s="106"/>
      <c r="BF537" s="106"/>
      <c r="BG537" s="106"/>
      <c r="BH537" s="106"/>
      <c r="BI537" s="106"/>
    </row>
    <row r="538" spans="1:61" ht="15" customHeight="1">
      <c r="A538" s="106"/>
      <c r="B538" s="106"/>
      <c r="C538" s="106"/>
      <c r="D538" s="301"/>
      <c r="E538" s="301"/>
      <c r="F538" s="106"/>
      <c r="G538" s="106"/>
      <c r="H538" s="106"/>
      <c r="I538" s="106"/>
      <c r="J538" s="106"/>
      <c r="K538" s="106"/>
      <c r="L538" s="106"/>
      <c r="M538" s="106"/>
      <c r="N538" s="106"/>
      <c r="O538" s="106"/>
      <c r="P538" s="106"/>
      <c r="Q538" s="106"/>
      <c r="R538" s="106"/>
      <c r="S538" s="106"/>
      <c r="T538" s="106"/>
      <c r="U538" s="106"/>
      <c r="V538" s="106"/>
      <c r="W538" s="106"/>
      <c r="X538" s="106"/>
      <c r="Y538" s="106"/>
      <c r="Z538" s="106"/>
      <c r="AA538" s="106"/>
      <c r="AB538" s="106"/>
      <c r="AC538" s="106"/>
      <c r="AD538" s="106"/>
      <c r="AE538" s="106"/>
      <c r="AF538" s="106"/>
      <c r="AG538" s="106"/>
      <c r="AH538" s="106"/>
      <c r="AI538" s="106"/>
      <c r="AJ538" s="106"/>
      <c r="AK538" s="106"/>
      <c r="AL538" s="106"/>
      <c r="AM538" s="106"/>
      <c r="AN538" s="106"/>
      <c r="AO538" s="106"/>
      <c r="AP538" s="106"/>
      <c r="AQ538" s="106"/>
      <c r="AR538" s="106"/>
      <c r="AS538" s="106"/>
      <c r="AT538" s="106"/>
      <c r="AU538" s="106"/>
      <c r="AV538" s="106"/>
      <c r="AW538" s="106"/>
      <c r="AX538" s="106"/>
      <c r="AY538" s="106"/>
      <c r="AZ538" s="106"/>
      <c r="BA538" s="106"/>
      <c r="BB538" s="106"/>
      <c r="BC538" s="106"/>
      <c r="BD538" s="106"/>
      <c r="BE538" s="106"/>
      <c r="BF538" s="106"/>
      <c r="BG538" s="106"/>
      <c r="BH538" s="106"/>
      <c r="BI538" s="106"/>
    </row>
    <row r="539" spans="1:61" ht="15" customHeight="1">
      <c r="A539" s="106"/>
      <c r="B539" s="106"/>
      <c r="C539" s="106"/>
      <c r="D539" s="301"/>
      <c r="E539" s="301"/>
      <c r="F539" s="106"/>
      <c r="G539" s="106"/>
      <c r="H539" s="106"/>
      <c r="I539" s="106"/>
      <c r="J539" s="106"/>
      <c r="K539" s="106"/>
      <c r="L539" s="106"/>
      <c r="M539" s="106"/>
      <c r="N539" s="106"/>
      <c r="O539" s="106"/>
      <c r="P539" s="106"/>
      <c r="Q539" s="106"/>
      <c r="R539" s="106"/>
      <c r="S539" s="106"/>
      <c r="T539" s="106"/>
      <c r="U539" s="106"/>
      <c r="V539" s="106"/>
      <c r="W539" s="106"/>
      <c r="X539" s="106"/>
      <c r="Y539" s="106"/>
      <c r="Z539" s="106"/>
      <c r="AA539" s="106"/>
      <c r="AB539" s="106"/>
      <c r="AC539" s="106"/>
      <c r="AD539" s="106"/>
      <c r="AE539" s="106"/>
      <c r="AF539" s="106"/>
      <c r="AG539" s="106"/>
      <c r="AH539" s="106"/>
      <c r="AI539" s="106"/>
      <c r="AJ539" s="106"/>
      <c r="AK539" s="106"/>
      <c r="AL539" s="106"/>
      <c r="AM539" s="106"/>
      <c r="AN539" s="106"/>
      <c r="AO539" s="106"/>
      <c r="AP539" s="106"/>
      <c r="AQ539" s="106"/>
      <c r="AR539" s="106"/>
      <c r="AS539" s="106"/>
      <c r="AT539" s="106"/>
      <c r="AU539" s="106"/>
      <c r="AV539" s="106"/>
      <c r="AW539" s="106"/>
      <c r="AX539" s="106"/>
      <c r="AY539" s="106"/>
      <c r="AZ539" s="106"/>
      <c r="BA539" s="106"/>
      <c r="BB539" s="106"/>
      <c r="BC539" s="106"/>
      <c r="BD539" s="106"/>
      <c r="BE539" s="106"/>
      <c r="BF539" s="106"/>
      <c r="BG539" s="106"/>
      <c r="BH539" s="106"/>
      <c r="BI539" s="106"/>
    </row>
    <row r="540" spans="1:61" ht="15" customHeight="1">
      <c r="A540" s="106"/>
      <c r="B540" s="106"/>
      <c r="C540" s="106"/>
      <c r="D540" s="301"/>
      <c r="E540" s="301"/>
      <c r="F540" s="106"/>
      <c r="G540" s="106"/>
      <c r="H540" s="106"/>
      <c r="I540" s="106"/>
      <c r="J540" s="106"/>
      <c r="K540" s="106"/>
      <c r="L540" s="106"/>
      <c r="M540" s="106"/>
      <c r="N540" s="106"/>
      <c r="O540" s="106"/>
      <c r="P540" s="106"/>
      <c r="Q540" s="106"/>
      <c r="R540" s="106"/>
      <c r="S540" s="106"/>
      <c r="T540" s="106"/>
      <c r="U540" s="106"/>
      <c r="V540" s="106"/>
      <c r="W540" s="106"/>
      <c r="X540" s="106"/>
      <c r="Y540" s="106"/>
      <c r="Z540" s="106"/>
      <c r="AA540" s="106"/>
      <c r="AB540" s="106"/>
      <c r="AC540" s="106"/>
      <c r="AD540" s="106"/>
      <c r="AE540" s="106"/>
      <c r="AF540" s="106"/>
      <c r="AG540" s="106"/>
      <c r="AH540" s="106"/>
      <c r="AI540" s="106"/>
      <c r="AJ540" s="106"/>
      <c r="AK540" s="106"/>
      <c r="AL540" s="106"/>
      <c r="AM540" s="106"/>
      <c r="AN540" s="106"/>
      <c r="AO540" s="106"/>
      <c r="AP540" s="106"/>
      <c r="AQ540" s="106"/>
      <c r="AR540" s="106"/>
      <c r="AS540" s="106"/>
      <c r="AT540" s="106"/>
      <c r="AU540" s="106"/>
      <c r="AV540" s="106"/>
      <c r="AW540" s="106"/>
      <c r="AX540" s="106"/>
      <c r="AY540" s="106"/>
      <c r="AZ540" s="106"/>
      <c r="BA540" s="106"/>
      <c r="BB540" s="106"/>
      <c r="BC540" s="106"/>
      <c r="BD540" s="106"/>
      <c r="BE540" s="106"/>
      <c r="BF540" s="106"/>
      <c r="BG540" s="106"/>
      <c r="BH540" s="106"/>
      <c r="BI540" s="106"/>
    </row>
    <row r="541" spans="1:61" ht="15" customHeight="1">
      <c r="A541" s="106"/>
      <c r="B541" s="106"/>
      <c r="C541" s="106"/>
      <c r="D541" s="301"/>
      <c r="E541" s="301"/>
      <c r="F541" s="106"/>
      <c r="G541" s="106"/>
      <c r="H541" s="106"/>
      <c r="I541" s="106"/>
      <c r="J541" s="106"/>
      <c r="K541" s="106"/>
      <c r="L541" s="106"/>
      <c r="M541" s="106"/>
      <c r="N541" s="106"/>
      <c r="O541" s="106"/>
      <c r="P541" s="106"/>
      <c r="Q541" s="106"/>
      <c r="R541" s="106"/>
      <c r="S541" s="106"/>
      <c r="T541" s="106"/>
      <c r="U541" s="106"/>
      <c r="V541" s="106"/>
      <c r="W541" s="106"/>
      <c r="X541" s="106"/>
      <c r="Y541" s="106"/>
      <c r="Z541" s="106"/>
      <c r="AA541" s="106"/>
      <c r="AB541" s="106"/>
      <c r="AC541" s="106"/>
      <c r="AD541" s="106"/>
      <c r="AE541" s="106"/>
      <c r="AF541" s="106"/>
      <c r="AG541" s="106"/>
      <c r="AH541" s="106"/>
      <c r="AI541" s="106"/>
      <c r="AJ541" s="106"/>
      <c r="AK541" s="106"/>
      <c r="AL541" s="106"/>
      <c r="AM541" s="106"/>
      <c r="AN541" s="106"/>
      <c r="AO541" s="106"/>
      <c r="AP541" s="106"/>
      <c r="AQ541" s="106"/>
      <c r="AR541" s="106"/>
      <c r="AS541" s="106"/>
      <c r="AT541" s="106"/>
      <c r="AU541" s="106"/>
      <c r="AV541" s="106"/>
      <c r="AW541" s="106"/>
      <c r="AX541" s="106"/>
      <c r="AY541" s="106"/>
      <c r="AZ541" s="106"/>
      <c r="BA541" s="106"/>
      <c r="BB541" s="106"/>
      <c r="BC541" s="106"/>
      <c r="BD541" s="106"/>
      <c r="BE541" s="106"/>
      <c r="BF541" s="106"/>
      <c r="BG541" s="106"/>
      <c r="BH541" s="106"/>
      <c r="BI541" s="106"/>
    </row>
    <row r="542" spans="1:61" ht="15" customHeight="1">
      <c r="A542" s="106"/>
      <c r="B542" s="106"/>
      <c r="C542" s="106"/>
      <c r="D542" s="301"/>
      <c r="E542" s="301"/>
      <c r="F542" s="106"/>
      <c r="G542" s="106"/>
      <c r="H542" s="106"/>
      <c r="I542" s="106"/>
      <c r="J542" s="106"/>
      <c r="K542" s="106"/>
      <c r="L542" s="106"/>
      <c r="M542" s="106"/>
      <c r="N542" s="106"/>
      <c r="O542" s="106"/>
      <c r="P542" s="106"/>
      <c r="Q542" s="106"/>
      <c r="R542" s="106"/>
      <c r="S542" s="106"/>
      <c r="T542" s="106"/>
      <c r="U542" s="106"/>
      <c r="V542" s="106"/>
      <c r="W542" s="106"/>
      <c r="X542" s="106"/>
      <c r="Y542" s="106"/>
      <c r="Z542" s="106"/>
      <c r="AA542" s="106"/>
      <c r="AB542" s="106"/>
      <c r="AC542" s="106"/>
      <c r="AD542" s="106"/>
      <c r="AE542" s="106"/>
      <c r="AF542" s="106"/>
      <c r="AG542" s="106"/>
      <c r="AH542" s="106"/>
      <c r="AI542" s="106"/>
      <c r="AJ542" s="106"/>
      <c r="AK542" s="106"/>
      <c r="AL542" s="106"/>
      <c r="AM542" s="106"/>
      <c r="AN542" s="106"/>
      <c r="AO542" s="106"/>
      <c r="AP542" s="106"/>
      <c r="AQ542" s="106"/>
      <c r="AR542" s="106"/>
      <c r="AS542" s="106"/>
      <c r="AT542" s="106"/>
      <c r="AU542" s="106"/>
      <c r="AV542" s="106"/>
      <c r="AW542" s="106"/>
      <c r="AX542" s="106"/>
      <c r="AY542" s="106"/>
      <c r="AZ542" s="106"/>
      <c r="BA542" s="106"/>
      <c r="BB542" s="106"/>
      <c r="BC542" s="106"/>
      <c r="BD542" s="106"/>
      <c r="BE542" s="106"/>
      <c r="BF542" s="106"/>
      <c r="BG542" s="106"/>
      <c r="BH542" s="106"/>
      <c r="BI542" s="106"/>
    </row>
    <row r="543" spans="1:61" ht="15" customHeight="1">
      <c r="A543" s="106"/>
      <c r="B543" s="106"/>
      <c r="C543" s="106"/>
      <c r="D543" s="301"/>
      <c r="E543" s="301"/>
      <c r="F543" s="106"/>
      <c r="G543" s="106"/>
      <c r="H543" s="106"/>
      <c r="I543" s="106"/>
      <c r="J543" s="106"/>
      <c r="K543" s="106"/>
      <c r="L543" s="106"/>
      <c r="M543" s="106"/>
      <c r="N543" s="106"/>
      <c r="O543" s="106"/>
      <c r="P543" s="106"/>
      <c r="Q543" s="106"/>
      <c r="R543" s="106"/>
      <c r="S543" s="106"/>
      <c r="T543" s="106"/>
      <c r="U543" s="106"/>
      <c r="V543" s="106"/>
      <c r="W543" s="106"/>
      <c r="X543" s="106"/>
      <c r="Y543" s="106"/>
      <c r="Z543" s="106"/>
      <c r="AA543" s="106"/>
      <c r="AB543" s="106"/>
      <c r="AC543" s="106"/>
      <c r="AD543" s="106"/>
      <c r="AE543" s="106"/>
      <c r="AF543" s="106"/>
      <c r="AG543" s="106"/>
      <c r="AH543" s="106"/>
      <c r="AI543" s="106"/>
      <c r="AJ543" s="106"/>
      <c r="AK543" s="106"/>
      <c r="AL543" s="106"/>
      <c r="AM543" s="106"/>
      <c r="AN543" s="106"/>
      <c r="AO543" s="106"/>
      <c r="AP543" s="106"/>
      <c r="AQ543" s="106"/>
      <c r="AR543" s="106"/>
      <c r="AS543" s="106"/>
      <c r="AT543" s="106"/>
      <c r="AU543" s="106"/>
      <c r="AV543" s="106"/>
      <c r="AW543" s="106"/>
      <c r="AX543" s="106"/>
      <c r="AY543" s="106"/>
      <c r="AZ543" s="106"/>
      <c r="BA543" s="106"/>
      <c r="BB543" s="106"/>
      <c r="BC543" s="106"/>
      <c r="BD543" s="106"/>
      <c r="BE543" s="106"/>
      <c r="BF543" s="106"/>
      <c r="BG543" s="106"/>
      <c r="BH543" s="106"/>
      <c r="BI543" s="106"/>
    </row>
    <row r="544" spans="1:61" ht="15" customHeight="1">
      <c r="A544" s="106"/>
      <c r="B544" s="106"/>
      <c r="C544" s="106"/>
      <c r="D544" s="301"/>
      <c r="E544" s="301"/>
      <c r="F544" s="106"/>
      <c r="G544" s="106"/>
      <c r="H544" s="106"/>
      <c r="I544" s="106"/>
      <c r="J544" s="106"/>
      <c r="K544" s="106"/>
      <c r="L544" s="106"/>
      <c r="M544" s="106"/>
      <c r="N544" s="106"/>
      <c r="O544" s="106"/>
      <c r="P544" s="106"/>
      <c r="Q544" s="106"/>
      <c r="R544" s="106"/>
      <c r="S544" s="106"/>
      <c r="T544" s="106"/>
      <c r="U544" s="106"/>
      <c r="V544" s="106"/>
      <c r="W544" s="106"/>
      <c r="X544" s="106"/>
      <c r="Y544" s="106"/>
      <c r="Z544" s="106"/>
      <c r="AA544" s="106"/>
      <c r="AB544" s="106"/>
      <c r="AC544" s="106"/>
      <c r="AD544" s="106"/>
      <c r="AE544" s="106"/>
      <c r="AF544" s="106"/>
      <c r="AG544" s="106"/>
      <c r="AH544" s="106"/>
      <c r="AI544" s="106"/>
      <c r="AJ544" s="106"/>
      <c r="AK544" s="106"/>
      <c r="AL544" s="106"/>
      <c r="AM544" s="106"/>
      <c r="AN544" s="106"/>
      <c r="AO544" s="106"/>
      <c r="AP544" s="106"/>
      <c r="AQ544" s="106"/>
      <c r="AR544" s="106"/>
      <c r="AS544" s="106"/>
      <c r="AT544" s="106"/>
      <c r="AU544" s="106"/>
      <c r="AV544" s="106"/>
      <c r="AW544" s="106"/>
      <c r="AX544" s="106"/>
      <c r="AY544" s="106"/>
      <c r="AZ544" s="106"/>
      <c r="BA544" s="106"/>
      <c r="BB544" s="106"/>
      <c r="BC544" s="106"/>
      <c r="BD544" s="106"/>
      <c r="BE544" s="106"/>
      <c r="BF544" s="106"/>
      <c r="BG544" s="106"/>
      <c r="BH544" s="106"/>
      <c r="BI544" s="106"/>
    </row>
    <row r="545" spans="1:61" ht="15" customHeight="1">
      <c r="A545" s="106"/>
      <c r="B545" s="106"/>
      <c r="C545" s="106"/>
      <c r="D545" s="301"/>
      <c r="E545" s="301"/>
      <c r="F545" s="106"/>
      <c r="G545" s="106"/>
      <c r="H545" s="106"/>
      <c r="I545" s="106"/>
      <c r="J545" s="106"/>
      <c r="K545" s="106"/>
      <c r="L545" s="106"/>
      <c r="M545" s="106"/>
      <c r="N545" s="106"/>
      <c r="O545" s="106"/>
      <c r="P545" s="106"/>
      <c r="Q545" s="106"/>
      <c r="R545" s="106"/>
      <c r="S545" s="106"/>
      <c r="T545" s="106"/>
      <c r="U545" s="106"/>
      <c r="V545" s="106"/>
      <c r="W545" s="106"/>
      <c r="X545" s="106"/>
      <c r="Y545" s="106"/>
      <c r="Z545" s="106"/>
      <c r="AA545" s="106"/>
      <c r="AB545" s="106"/>
      <c r="AC545" s="106"/>
      <c r="AD545" s="106"/>
      <c r="AE545" s="106"/>
      <c r="AF545" s="106"/>
      <c r="AG545" s="106"/>
      <c r="AH545" s="106"/>
      <c r="AI545" s="106"/>
      <c r="AJ545" s="106"/>
      <c r="AK545" s="106"/>
      <c r="AL545" s="106"/>
      <c r="AM545" s="106"/>
      <c r="AN545" s="106"/>
      <c r="AO545" s="106"/>
      <c r="AP545" s="106"/>
      <c r="AQ545" s="106"/>
      <c r="AR545" s="106"/>
      <c r="AS545" s="106"/>
      <c r="AT545" s="106"/>
      <c r="AU545" s="106"/>
      <c r="AV545" s="106"/>
      <c r="AW545" s="106"/>
      <c r="AX545" s="106"/>
      <c r="AY545" s="106"/>
      <c r="AZ545" s="106"/>
      <c r="BA545" s="106"/>
      <c r="BB545" s="106"/>
      <c r="BC545" s="106"/>
      <c r="BD545" s="106"/>
      <c r="BE545" s="106"/>
      <c r="BF545" s="106"/>
      <c r="BG545" s="106"/>
      <c r="BH545" s="106"/>
      <c r="BI545" s="106"/>
    </row>
    <row r="546" spans="1:61" ht="15" customHeight="1">
      <c r="A546" s="106"/>
      <c r="B546" s="106"/>
      <c r="C546" s="106"/>
      <c r="D546" s="301"/>
      <c r="E546" s="301"/>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c r="AD546" s="106"/>
      <c r="AE546" s="106"/>
      <c r="AF546" s="106"/>
      <c r="AG546" s="106"/>
      <c r="AH546" s="106"/>
      <c r="AI546" s="106"/>
      <c r="AJ546" s="106"/>
      <c r="AK546" s="106"/>
      <c r="AL546" s="106"/>
      <c r="AM546" s="106"/>
      <c r="AN546" s="106"/>
      <c r="AO546" s="106"/>
      <c r="AP546" s="106"/>
      <c r="AQ546" s="106"/>
      <c r="AR546" s="106"/>
      <c r="AS546" s="106"/>
      <c r="AT546" s="106"/>
      <c r="AU546" s="106"/>
      <c r="AV546" s="106"/>
      <c r="AW546" s="106"/>
      <c r="AX546" s="106"/>
      <c r="AY546" s="106"/>
      <c r="AZ546" s="106"/>
      <c r="BA546" s="106"/>
      <c r="BB546" s="106"/>
      <c r="BC546" s="106"/>
      <c r="BD546" s="106"/>
      <c r="BE546" s="106"/>
      <c r="BF546" s="106"/>
      <c r="BG546" s="106"/>
      <c r="BH546" s="106"/>
      <c r="BI546" s="106"/>
    </row>
    <row r="547" spans="1:61" ht="15" customHeight="1">
      <c r="A547" s="106"/>
      <c r="B547" s="106"/>
      <c r="C547" s="106"/>
      <c r="D547" s="301"/>
      <c r="E547" s="301"/>
      <c r="F547" s="106"/>
      <c r="G547" s="106"/>
      <c r="H547" s="106"/>
      <c r="I547" s="106"/>
      <c r="J547" s="106"/>
      <c r="K547" s="106"/>
      <c r="L547" s="106"/>
      <c r="M547" s="106"/>
      <c r="N547" s="106"/>
      <c r="O547" s="106"/>
      <c r="P547" s="106"/>
      <c r="Q547" s="106"/>
      <c r="R547" s="106"/>
      <c r="S547" s="106"/>
      <c r="T547" s="106"/>
      <c r="U547" s="106"/>
      <c r="V547" s="106"/>
      <c r="W547" s="106"/>
      <c r="X547" s="106"/>
      <c r="Y547" s="106"/>
      <c r="Z547" s="106"/>
      <c r="AA547" s="106"/>
      <c r="AB547" s="106"/>
      <c r="AC547" s="106"/>
      <c r="AD547" s="106"/>
      <c r="AE547" s="106"/>
      <c r="AF547" s="106"/>
      <c r="AG547" s="106"/>
      <c r="AH547" s="106"/>
      <c r="AI547" s="106"/>
      <c r="AJ547" s="106"/>
      <c r="AK547" s="106"/>
      <c r="AL547" s="106"/>
      <c r="AM547" s="106"/>
      <c r="AN547" s="106"/>
      <c r="AO547" s="106"/>
      <c r="AP547" s="106"/>
      <c r="AQ547" s="106"/>
      <c r="AR547" s="106"/>
      <c r="AS547" s="106"/>
      <c r="AT547" s="106"/>
      <c r="AU547" s="106"/>
      <c r="AV547" s="106"/>
      <c r="AW547" s="106"/>
      <c r="AX547" s="106"/>
      <c r="AY547" s="106"/>
      <c r="AZ547" s="106"/>
      <c r="BA547" s="106"/>
      <c r="BB547" s="106"/>
      <c r="BC547" s="106"/>
      <c r="BD547" s="106"/>
      <c r="BE547" s="106"/>
      <c r="BF547" s="106"/>
      <c r="BG547" s="106"/>
      <c r="BH547" s="106"/>
      <c r="BI547" s="106"/>
    </row>
    <row r="548" spans="1:61" ht="15" customHeight="1">
      <c r="A548" s="106"/>
      <c r="B548" s="106"/>
      <c r="C548" s="106"/>
      <c r="D548" s="301"/>
      <c r="E548" s="301"/>
      <c r="F548" s="106"/>
      <c r="G548" s="106"/>
      <c r="H548" s="106"/>
      <c r="I548" s="106"/>
      <c r="J548" s="106"/>
      <c r="K548" s="106"/>
      <c r="L548" s="106"/>
      <c r="M548" s="106"/>
      <c r="N548" s="106"/>
      <c r="O548" s="106"/>
      <c r="P548" s="106"/>
      <c r="Q548" s="106"/>
      <c r="R548" s="106"/>
      <c r="S548" s="106"/>
      <c r="T548" s="106"/>
      <c r="U548" s="106"/>
      <c r="V548" s="106"/>
      <c r="W548" s="106"/>
      <c r="X548" s="106"/>
      <c r="Y548" s="106"/>
      <c r="Z548" s="106"/>
      <c r="AA548" s="106"/>
      <c r="AB548" s="106"/>
      <c r="AC548" s="106"/>
      <c r="AD548" s="106"/>
      <c r="AE548" s="106"/>
      <c r="AF548" s="106"/>
      <c r="AG548" s="106"/>
      <c r="AH548" s="106"/>
      <c r="AI548" s="106"/>
      <c r="AJ548" s="106"/>
      <c r="AK548" s="106"/>
      <c r="AL548" s="106"/>
      <c r="AM548" s="106"/>
      <c r="AN548" s="106"/>
      <c r="AO548" s="106"/>
      <c r="AP548" s="106"/>
      <c r="AQ548" s="106"/>
      <c r="AR548" s="106"/>
      <c r="AS548" s="106"/>
      <c r="AT548" s="106"/>
      <c r="AU548" s="106"/>
      <c r="AV548" s="106"/>
      <c r="AW548" s="106"/>
      <c r="AX548" s="106"/>
      <c r="AY548" s="106"/>
      <c r="AZ548" s="106"/>
      <c r="BA548" s="106"/>
      <c r="BB548" s="106"/>
      <c r="BC548" s="106"/>
      <c r="BD548" s="106"/>
      <c r="BE548" s="106"/>
      <c r="BF548" s="106"/>
      <c r="BG548" s="106"/>
      <c r="BH548" s="106"/>
      <c r="BI548" s="106"/>
    </row>
    <row r="549" spans="1:61" ht="15" customHeight="1">
      <c r="A549" s="106"/>
      <c r="B549" s="106"/>
      <c r="C549" s="106"/>
      <c r="D549" s="301"/>
      <c r="E549" s="301"/>
      <c r="F549" s="106"/>
      <c r="G549" s="106"/>
      <c r="H549" s="106"/>
      <c r="I549" s="106"/>
      <c r="J549" s="106"/>
      <c r="K549" s="106"/>
      <c r="L549" s="106"/>
      <c r="M549" s="106"/>
      <c r="N549" s="106"/>
      <c r="O549" s="106"/>
      <c r="P549" s="106"/>
      <c r="Q549" s="106"/>
      <c r="R549" s="106"/>
      <c r="S549" s="106"/>
      <c r="T549" s="106"/>
      <c r="U549" s="106"/>
      <c r="V549" s="106"/>
      <c r="W549" s="106"/>
      <c r="X549" s="106"/>
      <c r="Y549" s="106"/>
      <c r="Z549" s="106"/>
      <c r="AA549" s="106"/>
      <c r="AB549" s="106"/>
      <c r="AC549" s="106"/>
      <c r="AD549" s="106"/>
      <c r="AE549" s="106"/>
      <c r="AF549" s="106"/>
      <c r="AG549" s="106"/>
      <c r="AH549" s="106"/>
      <c r="AI549" s="106"/>
      <c r="AJ549" s="106"/>
      <c r="AK549" s="106"/>
      <c r="AL549" s="106"/>
      <c r="AM549" s="106"/>
      <c r="AN549" s="106"/>
      <c r="AO549" s="106"/>
      <c r="AP549" s="106"/>
      <c r="AQ549" s="106"/>
      <c r="AR549" s="106"/>
      <c r="AS549" s="106"/>
      <c r="AT549" s="106"/>
      <c r="AU549" s="106"/>
      <c r="AV549" s="106"/>
      <c r="AW549" s="106"/>
      <c r="AX549" s="106"/>
      <c r="AY549" s="106"/>
      <c r="AZ549" s="106"/>
      <c r="BA549" s="106"/>
      <c r="BB549" s="106"/>
      <c r="BC549" s="106"/>
      <c r="BD549" s="106"/>
      <c r="BE549" s="106"/>
      <c r="BF549" s="106"/>
      <c r="BG549" s="106"/>
      <c r="BH549" s="106"/>
      <c r="BI549" s="106"/>
    </row>
    <row r="550" spans="1:61" ht="15" customHeight="1">
      <c r="A550" s="106"/>
      <c r="B550" s="106"/>
      <c r="C550" s="106"/>
      <c r="D550" s="301"/>
      <c r="E550" s="301"/>
      <c r="F550" s="106"/>
      <c r="G550" s="106"/>
      <c r="H550" s="106"/>
      <c r="I550" s="106"/>
      <c r="J550" s="106"/>
      <c r="K550" s="106"/>
      <c r="L550" s="106"/>
      <c r="M550" s="106"/>
      <c r="N550" s="106"/>
      <c r="O550" s="106"/>
      <c r="P550" s="106"/>
      <c r="Q550" s="106"/>
      <c r="R550" s="106"/>
      <c r="S550" s="106"/>
      <c r="T550" s="106"/>
      <c r="U550" s="106"/>
      <c r="V550" s="106"/>
      <c r="W550" s="106"/>
      <c r="X550" s="106"/>
      <c r="Y550" s="106"/>
      <c r="Z550" s="106"/>
      <c r="AA550" s="106"/>
      <c r="AB550" s="106"/>
      <c r="AC550" s="106"/>
      <c r="AD550" s="106"/>
      <c r="AE550" s="106"/>
      <c r="AF550" s="106"/>
      <c r="AG550" s="106"/>
      <c r="AH550" s="106"/>
      <c r="AI550" s="106"/>
      <c r="AJ550" s="106"/>
      <c r="AK550" s="106"/>
      <c r="AL550" s="106"/>
      <c r="AM550" s="106"/>
      <c r="AN550" s="106"/>
      <c r="AO550" s="106"/>
      <c r="AP550" s="106"/>
      <c r="AQ550" s="106"/>
      <c r="AR550" s="106"/>
      <c r="AS550" s="106"/>
      <c r="AT550" s="106"/>
      <c r="AU550" s="106"/>
      <c r="AV550" s="106"/>
      <c r="AW550" s="106"/>
      <c r="AX550" s="106"/>
      <c r="AY550" s="106"/>
      <c r="AZ550" s="106"/>
      <c r="BA550" s="106"/>
      <c r="BB550" s="106"/>
      <c r="BC550" s="106"/>
      <c r="BD550" s="106"/>
      <c r="BE550" s="106"/>
      <c r="BF550" s="106"/>
      <c r="BG550" s="106"/>
      <c r="BH550" s="106"/>
      <c r="BI550" s="106"/>
    </row>
    <row r="551" spans="1:61" ht="15" customHeight="1">
      <c r="A551" s="106"/>
      <c r="B551" s="106"/>
      <c r="C551" s="106"/>
      <c r="D551" s="301"/>
      <c r="E551" s="301"/>
      <c r="F551" s="106"/>
      <c r="G551" s="106"/>
      <c r="H551" s="106"/>
      <c r="I551" s="106"/>
      <c r="J551" s="106"/>
      <c r="K551" s="106"/>
      <c r="L551" s="106"/>
      <c r="M551" s="106"/>
      <c r="N551" s="106"/>
      <c r="O551" s="106"/>
      <c r="P551" s="106"/>
      <c r="Q551" s="106"/>
      <c r="R551" s="106"/>
      <c r="S551" s="106"/>
      <c r="T551" s="106"/>
      <c r="U551" s="106"/>
      <c r="V551" s="106"/>
      <c r="W551" s="106"/>
      <c r="X551" s="106"/>
      <c r="Y551" s="106"/>
      <c r="Z551" s="106"/>
      <c r="AA551" s="106"/>
      <c r="AB551" s="106"/>
      <c r="AC551" s="106"/>
      <c r="AD551" s="106"/>
      <c r="AE551" s="106"/>
      <c r="AF551" s="106"/>
      <c r="AG551" s="106"/>
      <c r="AH551" s="106"/>
      <c r="AI551" s="106"/>
      <c r="AJ551" s="106"/>
      <c r="AK551" s="106"/>
      <c r="AL551" s="106"/>
      <c r="AM551" s="106"/>
      <c r="AN551" s="106"/>
      <c r="AO551" s="106"/>
      <c r="AP551" s="106"/>
      <c r="AQ551" s="106"/>
      <c r="AR551" s="106"/>
      <c r="AS551" s="106"/>
      <c r="AT551" s="106"/>
      <c r="AU551" s="106"/>
      <c r="AV551" s="106"/>
      <c r="AW551" s="106"/>
      <c r="AX551" s="106"/>
      <c r="AY551" s="106"/>
      <c r="AZ551" s="106"/>
      <c r="BA551" s="106"/>
      <c r="BB551" s="106"/>
      <c r="BC551" s="106"/>
      <c r="BD551" s="106"/>
      <c r="BE551" s="106"/>
      <c r="BF551" s="106"/>
      <c r="BG551" s="106"/>
      <c r="BH551" s="106"/>
      <c r="BI551" s="106"/>
    </row>
    <row r="552" spans="1:61" ht="15" customHeight="1">
      <c r="A552" s="106"/>
      <c r="B552" s="106"/>
      <c r="C552" s="106"/>
      <c r="D552" s="301"/>
      <c r="E552" s="301"/>
      <c r="F552" s="106"/>
      <c r="G552" s="106"/>
      <c r="H552" s="106"/>
      <c r="I552" s="106"/>
      <c r="J552" s="106"/>
      <c r="K552" s="106"/>
      <c r="L552" s="106"/>
      <c r="M552" s="106"/>
      <c r="N552" s="106"/>
      <c r="O552" s="106"/>
      <c r="P552" s="106"/>
      <c r="Q552" s="106"/>
      <c r="R552" s="106"/>
      <c r="S552" s="106"/>
      <c r="T552" s="106"/>
      <c r="U552" s="106"/>
      <c r="V552" s="106"/>
      <c r="W552" s="106"/>
      <c r="X552" s="106"/>
      <c r="Y552" s="106"/>
      <c r="Z552" s="106"/>
      <c r="AA552" s="106"/>
      <c r="AB552" s="106"/>
      <c r="AC552" s="106"/>
      <c r="AD552" s="106"/>
      <c r="AE552" s="106"/>
      <c r="AF552" s="106"/>
      <c r="AG552" s="106"/>
      <c r="AH552" s="106"/>
      <c r="AI552" s="106"/>
      <c r="AJ552" s="106"/>
      <c r="AK552" s="106"/>
      <c r="AL552" s="106"/>
      <c r="AM552" s="106"/>
      <c r="AN552" s="106"/>
      <c r="AO552" s="106"/>
      <c r="AP552" s="106"/>
      <c r="AQ552" s="106"/>
      <c r="AR552" s="106"/>
      <c r="AS552" s="106"/>
      <c r="AT552" s="106"/>
      <c r="AU552" s="106"/>
      <c r="AV552" s="106"/>
      <c r="AW552" s="106"/>
      <c r="AX552" s="106"/>
      <c r="AY552" s="106"/>
      <c r="AZ552" s="106"/>
      <c r="BA552" s="106"/>
      <c r="BB552" s="106"/>
      <c r="BC552" s="106"/>
      <c r="BD552" s="106"/>
      <c r="BE552" s="106"/>
      <c r="BF552" s="106"/>
      <c r="BG552" s="106"/>
      <c r="BH552" s="106"/>
      <c r="BI552" s="106"/>
    </row>
    <row r="553" spans="1:61" ht="15" customHeight="1">
      <c r="A553" s="106"/>
      <c r="B553" s="106"/>
      <c r="C553" s="106"/>
      <c r="D553" s="301"/>
      <c r="E553" s="301"/>
      <c r="F553" s="106"/>
      <c r="G553" s="106"/>
      <c r="H553" s="106"/>
      <c r="I553" s="106"/>
      <c r="J553" s="106"/>
      <c r="K553" s="106"/>
      <c r="L553" s="106"/>
      <c r="M553" s="106"/>
      <c r="N553" s="106"/>
      <c r="O553" s="106"/>
      <c r="P553" s="106"/>
      <c r="Q553" s="106"/>
      <c r="R553" s="106"/>
      <c r="S553" s="106"/>
      <c r="T553" s="106"/>
      <c r="U553" s="106"/>
      <c r="V553" s="106"/>
      <c r="W553" s="106"/>
      <c r="X553" s="106"/>
      <c r="Y553" s="106"/>
      <c r="Z553" s="106"/>
      <c r="AA553" s="106"/>
      <c r="AB553" s="106"/>
      <c r="AC553" s="106"/>
      <c r="AD553" s="106"/>
      <c r="AE553" s="106"/>
      <c r="AF553" s="106"/>
      <c r="AG553" s="106"/>
      <c r="AH553" s="106"/>
      <c r="AI553" s="106"/>
      <c r="AJ553" s="106"/>
      <c r="AK553" s="106"/>
      <c r="AL553" s="106"/>
      <c r="AM553" s="106"/>
      <c r="AN553" s="106"/>
      <c r="AO553" s="106"/>
      <c r="AP553" s="106"/>
      <c r="AQ553" s="106"/>
      <c r="AR553" s="106"/>
      <c r="AS553" s="106"/>
      <c r="AT553" s="106"/>
      <c r="AU553" s="106"/>
      <c r="AV553" s="106"/>
      <c r="AW553" s="106"/>
      <c r="AX553" s="106"/>
      <c r="AY553" s="106"/>
      <c r="AZ553" s="106"/>
      <c r="BA553" s="106"/>
      <c r="BB553" s="106"/>
      <c r="BC553" s="106"/>
      <c r="BD553" s="106"/>
      <c r="BE553" s="106"/>
      <c r="BF553" s="106"/>
      <c r="BG553" s="106"/>
      <c r="BH553" s="106"/>
      <c r="BI553" s="106"/>
    </row>
    <row r="554" spans="1:61" ht="15" customHeight="1">
      <c r="A554" s="106"/>
      <c r="B554" s="106"/>
      <c r="C554" s="106"/>
      <c r="D554" s="301"/>
      <c r="E554" s="301"/>
      <c r="F554" s="106"/>
      <c r="G554" s="106"/>
      <c r="H554" s="106"/>
      <c r="I554" s="106"/>
      <c r="J554" s="106"/>
      <c r="K554" s="106"/>
      <c r="L554" s="106"/>
      <c r="M554" s="106"/>
      <c r="N554" s="106"/>
      <c r="O554" s="106"/>
      <c r="P554" s="106"/>
      <c r="Q554" s="106"/>
      <c r="R554" s="106"/>
      <c r="S554" s="106"/>
      <c r="T554" s="106"/>
      <c r="U554" s="106"/>
      <c r="V554" s="106"/>
      <c r="W554" s="106"/>
      <c r="X554" s="106"/>
      <c r="Y554" s="106"/>
      <c r="Z554" s="106"/>
      <c r="AA554" s="106"/>
      <c r="AB554" s="106"/>
      <c r="AC554" s="106"/>
      <c r="AD554" s="106"/>
      <c r="AE554" s="106"/>
      <c r="AF554" s="106"/>
      <c r="AG554" s="106"/>
      <c r="AH554" s="106"/>
      <c r="AI554" s="106"/>
      <c r="AJ554" s="106"/>
      <c r="AK554" s="106"/>
      <c r="AL554" s="106"/>
      <c r="AM554" s="106"/>
      <c r="AN554" s="106"/>
      <c r="AO554" s="106"/>
      <c r="AP554" s="106"/>
      <c r="AQ554" s="106"/>
      <c r="AR554" s="106"/>
      <c r="AS554" s="106"/>
      <c r="AT554" s="106"/>
      <c r="AU554" s="106"/>
      <c r="AV554" s="106"/>
      <c r="AW554" s="106"/>
      <c r="AX554" s="106"/>
      <c r="AY554" s="106"/>
      <c r="AZ554" s="106"/>
      <c r="BA554" s="106"/>
      <c r="BB554" s="106"/>
      <c r="BC554" s="106"/>
      <c r="BD554" s="106"/>
      <c r="BE554" s="106"/>
      <c r="BF554" s="106"/>
      <c r="BG554" s="106"/>
      <c r="BH554" s="106"/>
      <c r="BI554" s="106"/>
    </row>
    <row r="555" spans="1:61" ht="15" customHeight="1">
      <c r="A555" s="106"/>
      <c r="B555" s="106"/>
      <c r="C555" s="106"/>
      <c r="D555" s="301"/>
      <c r="E555" s="301"/>
      <c r="F555" s="106"/>
      <c r="G555" s="106"/>
      <c r="H555" s="106"/>
      <c r="I555" s="106"/>
      <c r="J555" s="106"/>
      <c r="K555" s="106"/>
      <c r="L555" s="106"/>
      <c r="M555" s="106"/>
      <c r="N555" s="106"/>
      <c r="O555" s="106"/>
      <c r="P555" s="106"/>
      <c r="Q555" s="106"/>
      <c r="R555" s="106"/>
      <c r="S555" s="106"/>
      <c r="T555" s="106"/>
      <c r="U555" s="106"/>
      <c r="V555" s="106"/>
      <c r="W555" s="106"/>
      <c r="X555" s="106"/>
      <c r="Y555" s="106"/>
      <c r="Z555" s="106"/>
      <c r="AA555" s="106"/>
      <c r="AB555" s="106"/>
      <c r="AC555" s="106"/>
      <c r="AD555" s="106"/>
      <c r="AE555" s="106"/>
      <c r="AF555" s="106"/>
      <c r="AG555" s="106"/>
      <c r="AH555" s="106"/>
      <c r="AI555" s="106"/>
      <c r="AJ555" s="106"/>
      <c r="AK555" s="106"/>
      <c r="AL555" s="106"/>
      <c r="AM555" s="106"/>
      <c r="AN555" s="106"/>
      <c r="AO555" s="106"/>
      <c r="AP555" s="106"/>
      <c r="AQ555" s="106"/>
      <c r="AR555" s="106"/>
      <c r="AS555" s="106"/>
      <c r="AT555" s="106"/>
      <c r="AU555" s="106"/>
      <c r="AV555" s="106"/>
      <c r="AW555" s="106"/>
      <c r="AX555" s="106"/>
      <c r="AY555" s="106"/>
      <c r="AZ555" s="106"/>
      <c r="BA555" s="106"/>
      <c r="BB555" s="106"/>
      <c r="BC555" s="106"/>
      <c r="BD555" s="106"/>
      <c r="BE555" s="106"/>
      <c r="BF555" s="106"/>
      <c r="BG555" s="106"/>
      <c r="BH555" s="106"/>
      <c r="BI555" s="106"/>
    </row>
    <row r="556" spans="1:61" ht="15" customHeight="1">
      <c r="A556" s="106"/>
      <c r="B556" s="106"/>
      <c r="C556" s="106"/>
      <c r="D556" s="301"/>
      <c r="E556" s="301"/>
      <c r="F556" s="106"/>
      <c r="G556" s="106"/>
      <c r="H556" s="106"/>
      <c r="I556" s="106"/>
      <c r="J556" s="106"/>
      <c r="K556" s="106"/>
      <c r="L556" s="106"/>
      <c r="M556" s="106"/>
      <c r="N556" s="106"/>
      <c r="O556" s="106"/>
      <c r="P556" s="106"/>
      <c r="Q556" s="106"/>
      <c r="R556" s="106"/>
      <c r="S556" s="106"/>
      <c r="T556" s="106"/>
      <c r="U556" s="106"/>
      <c r="V556" s="106"/>
      <c r="W556" s="106"/>
      <c r="X556" s="106"/>
      <c r="Y556" s="106"/>
      <c r="Z556" s="106"/>
      <c r="AA556" s="106"/>
      <c r="AB556" s="106"/>
      <c r="AC556" s="106"/>
      <c r="AD556" s="106"/>
      <c r="AE556" s="106"/>
      <c r="AF556" s="106"/>
      <c r="AG556" s="106"/>
      <c r="AH556" s="106"/>
      <c r="AI556" s="106"/>
      <c r="AJ556" s="106"/>
      <c r="AK556" s="106"/>
      <c r="AL556" s="106"/>
      <c r="AM556" s="106"/>
      <c r="AN556" s="106"/>
      <c r="AO556" s="106"/>
      <c r="AP556" s="106"/>
      <c r="AQ556" s="106"/>
      <c r="AR556" s="106"/>
      <c r="AS556" s="106"/>
      <c r="AT556" s="106"/>
      <c r="AU556" s="106"/>
      <c r="AV556" s="106"/>
      <c r="AW556" s="106"/>
      <c r="AX556" s="106"/>
      <c r="AY556" s="106"/>
      <c r="AZ556" s="106"/>
      <c r="BA556" s="106"/>
      <c r="BB556" s="106"/>
      <c r="BC556" s="106"/>
      <c r="BD556" s="106"/>
      <c r="BE556" s="106"/>
      <c r="BF556" s="106"/>
      <c r="BG556" s="106"/>
      <c r="BH556" s="106"/>
      <c r="BI556" s="106"/>
    </row>
    <row r="557" spans="1:61" ht="15" customHeight="1">
      <c r="A557" s="106"/>
      <c r="B557" s="106"/>
      <c r="C557" s="106"/>
      <c r="D557" s="301"/>
      <c r="E557" s="301"/>
      <c r="F557" s="106"/>
      <c r="G557" s="106"/>
      <c r="H557" s="106"/>
      <c r="I557" s="106"/>
      <c r="J557" s="106"/>
      <c r="K557" s="106"/>
      <c r="L557" s="106"/>
      <c r="M557" s="106"/>
      <c r="N557" s="106"/>
      <c r="O557" s="106"/>
      <c r="P557" s="106"/>
      <c r="Q557" s="106"/>
      <c r="R557" s="106"/>
      <c r="S557" s="106"/>
      <c r="T557" s="106"/>
      <c r="U557" s="106"/>
      <c r="V557" s="106"/>
      <c r="W557" s="106"/>
      <c r="X557" s="106"/>
      <c r="Y557" s="106"/>
      <c r="Z557" s="106"/>
      <c r="AA557" s="106"/>
      <c r="AB557" s="106"/>
      <c r="AC557" s="106"/>
      <c r="AD557" s="106"/>
      <c r="AE557" s="106"/>
      <c r="AF557" s="106"/>
      <c r="AG557" s="106"/>
      <c r="AH557" s="106"/>
      <c r="AI557" s="106"/>
      <c r="AJ557" s="106"/>
      <c r="AK557" s="106"/>
      <c r="AL557" s="106"/>
      <c r="AM557" s="106"/>
      <c r="AN557" s="106"/>
      <c r="AO557" s="106"/>
      <c r="AP557" s="106"/>
      <c r="AQ557" s="106"/>
      <c r="AR557" s="106"/>
      <c r="AS557" s="106"/>
      <c r="AT557" s="106"/>
      <c r="AU557" s="106"/>
      <c r="AV557" s="106"/>
      <c r="AW557" s="106"/>
      <c r="AX557" s="106"/>
      <c r="AY557" s="106"/>
      <c r="AZ557" s="106"/>
      <c r="BA557" s="106"/>
      <c r="BB557" s="106"/>
      <c r="BC557" s="106"/>
      <c r="BD557" s="106"/>
      <c r="BE557" s="106"/>
      <c r="BF557" s="106"/>
      <c r="BG557" s="106"/>
      <c r="BH557" s="106"/>
      <c r="BI557" s="106"/>
    </row>
    <row r="558" spans="1:61" ht="15" customHeight="1">
      <c r="A558" s="106"/>
      <c r="B558" s="106"/>
      <c r="C558" s="106"/>
      <c r="D558" s="301"/>
      <c r="E558" s="301"/>
      <c r="F558" s="106"/>
      <c r="G558" s="106"/>
      <c r="H558" s="106"/>
      <c r="I558" s="106"/>
      <c r="J558" s="106"/>
      <c r="K558" s="106"/>
      <c r="L558" s="106"/>
      <c r="M558" s="106"/>
      <c r="N558" s="106"/>
      <c r="O558" s="106"/>
      <c r="P558" s="106"/>
      <c r="Q558" s="106"/>
      <c r="R558" s="106"/>
      <c r="S558" s="106"/>
      <c r="T558" s="106"/>
      <c r="U558" s="106"/>
      <c r="V558" s="106"/>
      <c r="W558" s="106"/>
      <c r="X558" s="106"/>
      <c r="Y558" s="106"/>
      <c r="Z558" s="106"/>
      <c r="AA558" s="106"/>
      <c r="AB558" s="106"/>
      <c r="AC558" s="106"/>
      <c r="AD558" s="106"/>
      <c r="AE558" s="106"/>
      <c r="AF558" s="106"/>
      <c r="AG558" s="106"/>
      <c r="AH558" s="106"/>
      <c r="AI558" s="106"/>
      <c r="AJ558" s="106"/>
      <c r="AK558" s="106"/>
      <c r="AL558" s="106"/>
      <c r="AM558" s="106"/>
      <c r="AN558" s="106"/>
      <c r="AO558" s="106"/>
      <c r="AP558" s="106"/>
      <c r="AQ558" s="106"/>
      <c r="AR558" s="106"/>
      <c r="AS558" s="106"/>
      <c r="AT558" s="106"/>
      <c r="AU558" s="106"/>
      <c r="AV558" s="106"/>
      <c r="AW558" s="106"/>
      <c r="AX558" s="106"/>
      <c r="AY558" s="106"/>
      <c r="AZ558" s="106"/>
      <c r="BA558" s="106"/>
      <c r="BB558" s="106"/>
      <c r="BC558" s="106"/>
      <c r="BD558" s="106"/>
      <c r="BE558" s="106"/>
      <c r="BF558" s="106"/>
      <c r="BG558" s="106"/>
      <c r="BH558" s="106"/>
      <c r="BI558" s="106"/>
    </row>
    <row r="559" spans="1:61" ht="15" customHeight="1">
      <c r="A559" s="106"/>
      <c r="B559" s="106"/>
      <c r="C559" s="106"/>
      <c r="D559" s="301"/>
      <c r="E559" s="301"/>
      <c r="F559" s="106"/>
      <c r="G559" s="106"/>
      <c r="H559" s="106"/>
      <c r="I559" s="106"/>
      <c r="J559" s="106"/>
      <c r="K559" s="106"/>
      <c r="L559" s="106"/>
      <c r="M559" s="106"/>
      <c r="N559" s="106"/>
      <c r="O559" s="106"/>
      <c r="P559" s="106"/>
      <c r="Q559" s="106"/>
      <c r="R559" s="106"/>
      <c r="S559" s="106"/>
      <c r="T559" s="106"/>
      <c r="U559" s="106"/>
      <c r="V559" s="106"/>
      <c r="W559" s="106"/>
      <c r="X559" s="106"/>
      <c r="Y559" s="106"/>
      <c r="Z559" s="106"/>
      <c r="AA559" s="106"/>
      <c r="AB559" s="106"/>
      <c r="AC559" s="106"/>
      <c r="AD559" s="106"/>
      <c r="AE559" s="106"/>
      <c r="AF559" s="106"/>
      <c r="AG559" s="106"/>
      <c r="AH559" s="106"/>
      <c r="AI559" s="106"/>
      <c r="AJ559" s="106"/>
      <c r="AK559" s="106"/>
      <c r="AL559" s="106"/>
      <c r="AM559" s="106"/>
      <c r="AN559" s="106"/>
      <c r="AO559" s="106"/>
      <c r="AP559" s="106"/>
      <c r="AQ559" s="106"/>
      <c r="AR559" s="106"/>
      <c r="AS559" s="106"/>
      <c r="AT559" s="106"/>
      <c r="AU559" s="106"/>
      <c r="AV559" s="106"/>
      <c r="AW559" s="106"/>
      <c r="AX559" s="106"/>
      <c r="AY559" s="106"/>
      <c r="AZ559" s="106"/>
      <c r="BA559" s="106"/>
      <c r="BB559" s="106"/>
      <c r="BC559" s="106"/>
      <c r="BD559" s="106"/>
      <c r="BE559" s="106"/>
      <c r="BF559" s="106"/>
      <c r="BG559" s="106"/>
      <c r="BH559" s="106"/>
      <c r="BI559" s="106"/>
    </row>
    <row r="560" spans="1:61" ht="15" customHeight="1">
      <c r="A560" s="106"/>
      <c r="B560" s="106"/>
      <c r="C560" s="106"/>
      <c r="D560" s="301"/>
      <c r="E560" s="301"/>
      <c r="F560" s="106"/>
      <c r="G560" s="106"/>
      <c r="H560" s="106"/>
      <c r="I560" s="106"/>
      <c r="J560" s="106"/>
      <c r="K560" s="106"/>
      <c r="L560" s="106"/>
      <c r="M560" s="106"/>
      <c r="N560" s="106"/>
      <c r="O560" s="106"/>
      <c r="P560" s="106"/>
      <c r="Q560" s="106"/>
      <c r="R560" s="106"/>
      <c r="S560" s="106"/>
      <c r="T560" s="106"/>
      <c r="U560" s="106"/>
      <c r="V560" s="106"/>
      <c r="W560" s="106"/>
      <c r="X560" s="106"/>
      <c r="Y560" s="106"/>
      <c r="Z560" s="106"/>
      <c r="AA560" s="106"/>
      <c r="AB560" s="106"/>
      <c r="AC560" s="106"/>
      <c r="AD560" s="106"/>
      <c r="AE560" s="106"/>
      <c r="AF560" s="106"/>
      <c r="AG560" s="106"/>
      <c r="AH560" s="106"/>
      <c r="AI560" s="106"/>
      <c r="AJ560" s="106"/>
      <c r="AK560" s="106"/>
      <c r="AL560" s="106"/>
      <c r="AM560" s="106"/>
      <c r="AN560" s="106"/>
      <c r="AO560" s="106"/>
      <c r="AP560" s="106"/>
      <c r="AQ560" s="106"/>
      <c r="AR560" s="106"/>
      <c r="AS560" s="106"/>
      <c r="AT560" s="106"/>
      <c r="AU560" s="106"/>
      <c r="AV560" s="106"/>
      <c r="AW560" s="106"/>
      <c r="AX560" s="106"/>
      <c r="AY560" s="106"/>
      <c r="AZ560" s="106"/>
      <c r="BA560" s="106"/>
      <c r="BB560" s="106"/>
      <c r="BC560" s="106"/>
      <c r="BD560" s="106"/>
      <c r="BE560" s="106"/>
      <c r="BF560" s="106"/>
      <c r="BG560" s="106"/>
      <c r="BH560" s="106"/>
      <c r="BI560" s="106"/>
    </row>
    <row r="561" spans="1:61" ht="15" customHeight="1">
      <c r="A561" s="106"/>
      <c r="B561" s="106"/>
      <c r="C561" s="106"/>
      <c r="D561" s="301"/>
      <c r="E561" s="301"/>
      <c r="F561" s="106"/>
      <c r="G561" s="106"/>
      <c r="H561" s="106"/>
      <c r="I561" s="106"/>
      <c r="J561" s="106"/>
      <c r="K561" s="106"/>
      <c r="L561" s="106"/>
      <c r="M561" s="106"/>
      <c r="N561" s="106"/>
      <c r="O561" s="106"/>
      <c r="P561" s="106"/>
      <c r="Q561" s="106"/>
      <c r="R561" s="106"/>
      <c r="S561" s="106"/>
      <c r="T561" s="106"/>
      <c r="U561" s="106"/>
      <c r="V561" s="106"/>
      <c r="W561" s="106"/>
      <c r="X561" s="106"/>
      <c r="Y561" s="106"/>
      <c r="Z561" s="106"/>
      <c r="AA561" s="106"/>
      <c r="AB561" s="106"/>
      <c r="AC561" s="106"/>
      <c r="AD561" s="106"/>
      <c r="AE561" s="106"/>
      <c r="AF561" s="106"/>
      <c r="AG561" s="106"/>
      <c r="AH561" s="106"/>
      <c r="AI561" s="106"/>
      <c r="AJ561" s="106"/>
      <c r="AK561" s="106"/>
      <c r="AL561" s="106"/>
      <c r="AM561" s="106"/>
      <c r="AN561" s="106"/>
      <c r="AO561" s="106"/>
      <c r="AP561" s="106"/>
      <c r="AQ561" s="106"/>
      <c r="AR561" s="106"/>
      <c r="AS561" s="106"/>
      <c r="AT561" s="106"/>
      <c r="AU561" s="106"/>
      <c r="AV561" s="106"/>
      <c r="AW561" s="106"/>
      <c r="AX561" s="106"/>
      <c r="AY561" s="106"/>
      <c r="AZ561" s="106"/>
      <c r="BA561" s="106"/>
      <c r="BB561" s="106"/>
      <c r="BC561" s="106"/>
      <c r="BD561" s="106"/>
      <c r="BE561" s="106"/>
      <c r="BF561" s="106"/>
      <c r="BG561" s="106"/>
      <c r="BH561" s="106"/>
      <c r="BI561" s="106"/>
    </row>
    <row r="562" spans="1:61" ht="15" customHeight="1">
      <c r="A562" s="106"/>
      <c r="B562" s="106"/>
      <c r="C562" s="106"/>
      <c r="D562" s="301"/>
      <c r="E562" s="301"/>
      <c r="F562" s="106"/>
      <c r="G562" s="106"/>
      <c r="H562" s="106"/>
      <c r="I562" s="106"/>
      <c r="J562" s="106"/>
      <c r="K562" s="106"/>
      <c r="L562" s="106"/>
      <c r="M562" s="106"/>
      <c r="N562" s="106"/>
      <c r="O562" s="106"/>
      <c r="P562" s="106"/>
      <c r="Q562" s="106"/>
      <c r="R562" s="106"/>
      <c r="S562" s="106"/>
      <c r="T562" s="106"/>
      <c r="U562" s="106"/>
      <c r="V562" s="106"/>
      <c r="W562" s="106"/>
      <c r="X562" s="106"/>
      <c r="Y562" s="106"/>
      <c r="Z562" s="106"/>
      <c r="AA562" s="106"/>
      <c r="AB562" s="106"/>
      <c r="AC562" s="106"/>
      <c r="AD562" s="106"/>
      <c r="AE562" s="106"/>
      <c r="AF562" s="106"/>
      <c r="AG562" s="106"/>
      <c r="AH562" s="106"/>
      <c r="AI562" s="106"/>
      <c r="AJ562" s="106"/>
      <c r="AK562" s="106"/>
      <c r="AL562" s="106"/>
      <c r="AM562" s="106"/>
      <c r="AN562" s="106"/>
      <c r="AO562" s="106"/>
      <c r="AP562" s="106"/>
      <c r="AQ562" s="106"/>
      <c r="AR562" s="106"/>
      <c r="AS562" s="106"/>
      <c r="AT562" s="106"/>
      <c r="AU562" s="106"/>
      <c r="AV562" s="106"/>
      <c r="AW562" s="106"/>
      <c r="AX562" s="106"/>
      <c r="AY562" s="106"/>
      <c r="AZ562" s="106"/>
      <c r="BA562" s="106"/>
      <c r="BB562" s="106"/>
      <c r="BC562" s="106"/>
      <c r="BD562" s="106"/>
      <c r="BE562" s="106"/>
      <c r="BF562" s="106"/>
      <c r="BG562" s="106"/>
      <c r="BH562" s="106"/>
      <c r="BI562" s="106"/>
    </row>
    <row r="563" spans="1:61" ht="15" customHeight="1">
      <c r="A563" s="106"/>
      <c r="B563" s="106"/>
      <c r="C563" s="106"/>
      <c r="D563" s="301"/>
      <c r="E563" s="301"/>
      <c r="F563" s="106"/>
      <c r="G563" s="106"/>
      <c r="H563" s="106"/>
      <c r="I563" s="106"/>
      <c r="J563" s="106"/>
      <c r="K563" s="106"/>
      <c r="L563" s="106"/>
      <c r="M563" s="106"/>
      <c r="N563" s="106"/>
      <c r="O563" s="106"/>
      <c r="P563" s="106"/>
      <c r="Q563" s="106"/>
      <c r="R563" s="106"/>
      <c r="S563" s="106"/>
      <c r="T563" s="106"/>
      <c r="U563" s="106"/>
      <c r="V563" s="106"/>
      <c r="W563" s="106"/>
      <c r="X563" s="106"/>
      <c r="Y563" s="106"/>
      <c r="Z563" s="106"/>
      <c r="AA563" s="106"/>
      <c r="AB563" s="106"/>
      <c r="AC563" s="106"/>
      <c r="AD563" s="106"/>
      <c r="AE563" s="106"/>
      <c r="AF563" s="106"/>
      <c r="AG563" s="106"/>
      <c r="AH563" s="106"/>
      <c r="AI563" s="106"/>
      <c r="AJ563" s="106"/>
      <c r="AK563" s="106"/>
      <c r="AL563" s="106"/>
      <c r="AM563" s="106"/>
      <c r="AN563" s="106"/>
      <c r="AO563" s="106"/>
      <c r="AP563" s="106"/>
      <c r="AQ563" s="106"/>
      <c r="AR563" s="106"/>
      <c r="AS563" s="106"/>
      <c r="AT563" s="106"/>
      <c r="AU563" s="106"/>
      <c r="AV563" s="106"/>
      <c r="AW563" s="106"/>
      <c r="AX563" s="106"/>
      <c r="AY563" s="106"/>
      <c r="AZ563" s="106"/>
      <c r="BA563" s="106"/>
      <c r="BB563" s="106"/>
      <c r="BC563" s="106"/>
      <c r="BD563" s="106"/>
      <c r="BE563" s="106"/>
      <c r="BF563" s="106"/>
      <c r="BG563" s="106"/>
      <c r="BH563" s="106"/>
      <c r="BI563" s="106"/>
    </row>
    <row r="564" spans="1:61" ht="15" customHeight="1">
      <c r="A564" s="106"/>
      <c r="B564" s="106"/>
      <c r="C564" s="106"/>
      <c r="D564" s="301"/>
      <c r="E564" s="301"/>
      <c r="F564" s="106"/>
      <c r="G564" s="106"/>
      <c r="H564" s="106"/>
      <c r="I564" s="106"/>
      <c r="J564" s="106"/>
      <c r="K564" s="106"/>
      <c r="L564" s="106"/>
      <c r="M564" s="106"/>
      <c r="N564" s="106"/>
      <c r="O564" s="106"/>
      <c r="P564" s="106"/>
      <c r="Q564" s="106"/>
      <c r="R564" s="106"/>
      <c r="S564" s="106"/>
      <c r="T564" s="106"/>
      <c r="U564" s="106"/>
      <c r="V564" s="106"/>
      <c r="W564" s="106"/>
      <c r="X564" s="106"/>
      <c r="Y564" s="106"/>
      <c r="Z564" s="106"/>
      <c r="AA564" s="106"/>
      <c r="AB564" s="106"/>
      <c r="AC564" s="106"/>
      <c r="AD564" s="106"/>
      <c r="AE564" s="106"/>
      <c r="AF564" s="106"/>
      <c r="AG564" s="106"/>
      <c r="AH564" s="106"/>
      <c r="AI564" s="106"/>
      <c r="AJ564" s="106"/>
      <c r="AK564" s="106"/>
      <c r="AL564" s="106"/>
      <c r="AM564" s="106"/>
      <c r="AN564" s="106"/>
      <c r="AO564" s="106"/>
      <c r="AP564" s="106"/>
      <c r="AQ564" s="106"/>
      <c r="AR564" s="106"/>
      <c r="AS564" s="106"/>
      <c r="AT564" s="106"/>
      <c r="AU564" s="106"/>
      <c r="AV564" s="106"/>
      <c r="AW564" s="106"/>
      <c r="AX564" s="106"/>
      <c r="AY564" s="106"/>
      <c r="AZ564" s="106"/>
      <c r="BA564" s="106"/>
      <c r="BB564" s="106"/>
      <c r="BC564" s="106"/>
      <c r="BD564" s="106"/>
      <c r="BE564" s="106"/>
      <c r="BF564" s="106"/>
      <c r="BG564" s="106"/>
      <c r="BH564" s="106"/>
      <c r="BI564" s="106"/>
    </row>
    <row r="565" spans="1:61" ht="15" customHeight="1">
      <c r="A565" s="106"/>
      <c r="B565" s="106"/>
      <c r="C565" s="106"/>
      <c r="D565" s="301"/>
      <c r="E565" s="182" t="s">
        <v>1209</v>
      </c>
      <c r="F565" s="106"/>
      <c r="G565" s="106"/>
      <c r="H565" s="106"/>
      <c r="I565" s="106"/>
      <c r="J565" s="106"/>
      <c r="K565" s="106"/>
      <c r="L565" s="106"/>
      <c r="M565" s="106"/>
      <c r="N565" s="106"/>
      <c r="O565" s="106"/>
      <c r="P565" s="106"/>
      <c r="Q565" s="106"/>
      <c r="R565" s="106"/>
      <c r="S565" s="106"/>
      <c r="T565" s="106"/>
      <c r="U565" s="106"/>
      <c r="V565" s="106"/>
      <c r="W565" s="106"/>
      <c r="X565" s="106"/>
      <c r="Y565" s="106"/>
      <c r="Z565" s="106"/>
      <c r="AA565" s="106"/>
      <c r="AB565" s="106"/>
      <c r="AC565" s="106"/>
      <c r="AD565" s="106"/>
      <c r="AE565" s="106"/>
      <c r="AF565" s="106"/>
      <c r="AG565" s="106"/>
      <c r="AH565" s="106"/>
      <c r="AI565" s="106"/>
      <c r="AJ565" s="106"/>
      <c r="AK565" s="106"/>
      <c r="AL565" s="106"/>
      <c r="AM565" s="106"/>
      <c r="AN565" s="106"/>
      <c r="AO565" s="106"/>
      <c r="AP565" s="106"/>
      <c r="AQ565" s="106"/>
      <c r="AR565" s="106"/>
      <c r="AS565" s="106"/>
      <c r="AT565" s="106"/>
      <c r="AU565" s="106"/>
      <c r="AV565" s="106"/>
      <c r="AW565" s="106"/>
      <c r="AX565" s="106"/>
      <c r="AY565" s="106"/>
      <c r="AZ565" s="106"/>
      <c r="BA565" s="106"/>
      <c r="BB565" s="106"/>
      <c r="BC565" s="106"/>
      <c r="BD565" s="106"/>
      <c r="BE565" s="106"/>
      <c r="BF565" s="106"/>
      <c r="BG565" s="106"/>
      <c r="BH565" s="106"/>
      <c r="BI565" s="106"/>
    </row>
    <row r="566" spans="1:61" ht="15" customHeight="1">
      <c r="A566" s="106"/>
      <c r="B566" s="106"/>
      <c r="C566" s="106"/>
      <c r="D566" s="301"/>
      <c r="E566" s="301"/>
      <c r="F566" s="106"/>
      <c r="G566" s="106"/>
      <c r="H566" s="106"/>
      <c r="I566" s="106"/>
      <c r="J566" s="106"/>
      <c r="K566" s="106"/>
      <c r="L566" s="106"/>
      <c r="M566" s="106"/>
      <c r="N566" s="106"/>
      <c r="O566" s="106"/>
      <c r="P566" s="106"/>
      <c r="Q566" s="106"/>
      <c r="R566" s="106"/>
      <c r="S566" s="106"/>
      <c r="T566" s="106"/>
      <c r="U566" s="106"/>
      <c r="V566" s="106"/>
      <c r="W566" s="106"/>
      <c r="X566" s="106"/>
      <c r="Y566" s="106"/>
      <c r="Z566" s="106"/>
      <c r="AA566" s="106"/>
      <c r="AB566" s="106"/>
      <c r="AC566" s="106"/>
      <c r="AD566" s="106"/>
      <c r="AE566" s="106"/>
      <c r="AF566" s="106"/>
      <c r="AG566" s="106"/>
      <c r="AH566" s="106"/>
      <c r="AI566" s="106"/>
      <c r="AJ566" s="106"/>
      <c r="AK566" s="106"/>
      <c r="AL566" s="106"/>
      <c r="AM566" s="106"/>
      <c r="AN566" s="106"/>
      <c r="AO566" s="106"/>
      <c r="AP566" s="106"/>
      <c r="AQ566" s="106"/>
      <c r="AR566" s="106"/>
      <c r="AS566" s="106"/>
      <c r="AT566" s="106"/>
      <c r="AU566" s="106"/>
      <c r="AV566" s="106"/>
      <c r="AW566" s="106"/>
      <c r="AX566" s="106"/>
      <c r="AY566" s="106"/>
      <c r="AZ566" s="106"/>
      <c r="BA566" s="106"/>
      <c r="BB566" s="106"/>
      <c r="BC566" s="106"/>
      <c r="BD566" s="106"/>
      <c r="BE566" s="106"/>
      <c r="BF566" s="106"/>
      <c r="BG566" s="106"/>
      <c r="BH566" s="106"/>
      <c r="BI566" s="106"/>
    </row>
    <row r="567" spans="1:61" ht="15" customHeight="1">
      <c r="A567" s="106"/>
      <c r="B567" s="106"/>
      <c r="C567" s="106"/>
      <c r="D567" s="301"/>
      <c r="E567" s="301"/>
      <c r="F567" s="106"/>
      <c r="G567" s="106"/>
      <c r="H567" s="106"/>
      <c r="I567" s="106"/>
      <c r="J567" s="106"/>
      <c r="K567" s="106"/>
      <c r="L567" s="106"/>
      <c r="M567" s="106"/>
      <c r="N567" s="106"/>
      <c r="O567" s="106"/>
      <c r="P567" s="106"/>
      <c r="Q567" s="106"/>
      <c r="R567" s="106"/>
      <c r="S567" s="106"/>
      <c r="T567" s="106"/>
      <c r="U567" s="106"/>
      <c r="V567" s="106"/>
      <c r="W567" s="106"/>
      <c r="X567" s="106"/>
      <c r="Y567" s="106"/>
      <c r="Z567" s="106"/>
      <c r="AA567" s="106"/>
      <c r="AB567" s="106"/>
      <c r="AC567" s="106"/>
      <c r="AD567" s="106"/>
      <c r="AE567" s="106"/>
      <c r="AF567" s="106"/>
      <c r="AG567" s="106"/>
      <c r="AH567" s="106"/>
      <c r="AI567" s="106"/>
      <c r="AJ567" s="106"/>
      <c r="AK567" s="106"/>
      <c r="AL567" s="106"/>
      <c r="AM567" s="106"/>
      <c r="AN567" s="106"/>
      <c r="AO567" s="106"/>
      <c r="AP567" s="106"/>
      <c r="AQ567" s="106"/>
      <c r="AR567" s="106"/>
      <c r="AS567" s="106"/>
      <c r="AT567" s="106"/>
      <c r="AU567" s="106"/>
      <c r="AV567" s="106"/>
      <c r="AW567" s="106"/>
      <c r="AX567" s="106"/>
      <c r="AY567" s="106"/>
      <c r="AZ567" s="106"/>
      <c r="BA567" s="106"/>
      <c r="BB567" s="106"/>
      <c r="BC567" s="106"/>
      <c r="BD567" s="106"/>
      <c r="BE567" s="106"/>
      <c r="BF567" s="106"/>
      <c r="BG567" s="106"/>
      <c r="BH567" s="106"/>
      <c r="BI567" s="106"/>
    </row>
    <row r="568" spans="1:61" ht="15" customHeight="1">
      <c r="A568" s="106"/>
      <c r="B568" s="106"/>
      <c r="C568" s="106"/>
      <c r="D568" s="301"/>
      <c r="E568" s="301"/>
      <c r="F568" s="106"/>
      <c r="G568" s="106"/>
      <c r="H568" s="106"/>
      <c r="I568" s="106"/>
      <c r="J568" s="106"/>
      <c r="K568" s="106"/>
      <c r="L568" s="106"/>
      <c r="M568" s="106"/>
      <c r="N568" s="106"/>
      <c r="O568" s="106"/>
      <c r="P568" s="106"/>
      <c r="Q568" s="106"/>
      <c r="R568" s="106"/>
      <c r="S568" s="106"/>
      <c r="T568" s="106"/>
      <c r="U568" s="106"/>
      <c r="V568" s="106"/>
      <c r="W568" s="106"/>
      <c r="X568" s="106"/>
      <c r="Y568" s="106"/>
      <c r="Z568" s="106"/>
      <c r="AA568" s="106"/>
      <c r="AB568" s="106"/>
      <c r="AC568" s="106"/>
      <c r="AD568" s="106"/>
      <c r="AE568" s="106"/>
      <c r="AF568" s="106"/>
      <c r="AG568" s="106"/>
      <c r="AH568" s="106"/>
      <c r="AI568" s="106"/>
      <c r="AJ568" s="106"/>
      <c r="AK568" s="106"/>
      <c r="AL568" s="106"/>
      <c r="AM568" s="106"/>
      <c r="AN568" s="106"/>
      <c r="AO568" s="106"/>
      <c r="AP568" s="106"/>
      <c r="AQ568" s="106"/>
      <c r="AR568" s="106"/>
      <c r="AS568" s="106"/>
      <c r="AT568" s="106"/>
      <c r="AU568" s="106"/>
      <c r="AV568" s="106"/>
      <c r="AW568" s="106"/>
      <c r="AX568" s="106"/>
      <c r="AY568" s="106"/>
      <c r="AZ568" s="106"/>
      <c r="BA568" s="106"/>
      <c r="BB568" s="106"/>
      <c r="BC568" s="106"/>
      <c r="BD568" s="106"/>
      <c r="BE568" s="106"/>
      <c r="BF568" s="106"/>
      <c r="BG568" s="106"/>
      <c r="BH568" s="106"/>
      <c r="BI568" s="106"/>
    </row>
    <row r="569" spans="1:61" ht="15" customHeight="1">
      <c r="A569" s="106"/>
      <c r="B569" s="106"/>
      <c r="C569" s="182" t="s">
        <v>1210</v>
      </c>
      <c r="D569" s="301"/>
      <c r="E569" s="301"/>
      <c r="F569" s="106"/>
      <c r="G569" s="106"/>
      <c r="H569" s="106"/>
      <c r="I569" s="106"/>
      <c r="J569" s="106"/>
      <c r="K569" s="106"/>
      <c r="L569" s="106"/>
      <c r="M569" s="106"/>
      <c r="N569" s="106"/>
      <c r="O569" s="106"/>
      <c r="P569" s="106"/>
      <c r="Q569" s="106"/>
      <c r="R569" s="106"/>
      <c r="S569" s="106"/>
      <c r="T569" s="106"/>
      <c r="U569" s="106"/>
      <c r="V569" s="106"/>
      <c r="W569" s="106"/>
      <c r="X569" s="106"/>
      <c r="Y569" s="106"/>
      <c r="Z569" s="106"/>
      <c r="AA569" s="106"/>
      <c r="AB569" s="106"/>
      <c r="AC569" s="106"/>
      <c r="AD569" s="106"/>
      <c r="AE569" s="106"/>
      <c r="AF569" s="106"/>
      <c r="AG569" s="106"/>
      <c r="AH569" s="106"/>
      <c r="AI569" s="106"/>
      <c r="AJ569" s="106"/>
      <c r="AK569" s="106"/>
      <c r="AL569" s="106"/>
      <c r="AM569" s="106"/>
      <c r="AN569" s="106"/>
      <c r="AO569" s="106"/>
      <c r="AP569" s="106"/>
      <c r="AQ569" s="106"/>
      <c r="AR569" s="106"/>
      <c r="AS569" s="106"/>
      <c r="AT569" s="106"/>
      <c r="AU569" s="106"/>
      <c r="AV569" s="106"/>
      <c r="AW569" s="106"/>
      <c r="AX569" s="106"/>
      <c r="AY569" s="106"/>
      <c r="AZ569" s="106"/>
      <c r="BA569" s="106"/>
      <c r="BB569" s="106"/>
      <c r="BC569" s="106"/>
      <c r="BD569" s="106"/>
      <c r="BE569" s="106"/>
      <c r="BF569" s="106"/>
      <c r="BG569" s="106"/>
      <c r="BH569" s="106"/>
      <c r="BI569" s="106"/>
    </row>
    <row r="570" spans="1:61" ht="15" customHeight="1">
      <c r="A570" s="106"/>
      <c r="B570" s="106"/>
      <c r="C570" s="106"/>
      <c r="D570" s="301"/>
      <c r="E570" s="301"/>
      <c r="F570" s="106"/>
      <c r="G570" s="106"/>
      <c r="H570" s="106"/>
      <c r="I570" s="106"/>
      <c r="J570" s="106"/>
      <c r="K570" s="106"/>
      <c r="L570" s="106"/>
      <c r="M570" s="106"/>
      <c r="N570" s="106"/>
      <c r="O570" s="106"/>
      <c r="P570" s="106"/>
      <c r="Q570" s="106"/>
      <c r="R570" s="106"/>
      <c r="S570" s="106"/>
      <c r="T570" s="106"/>
      <c r="U570" s="106"/>
      <c r="V570" s="106"/>
      <c r="W570" s="106"/>
      <c r="X570" s="106"/>
      <c r="Y570" s="106"/>
      <c r="Z570" s="106"/>
      <c r="AA570" s="106"/>
      <c r="AB570" s="106"/>
      <c r="AC570" s="106"/>
      <c r="AD570" s="106"/>
      <c r="AE570" s="106"/>
      <c r="AF570" s="106"/>
      <c r="AG570" s="106"/>
      <c r="AH570" s="106"/>
      <c r="AI570" s="106"/>
      <c r="AJ570" s="106"/>
      <c r="AK570" s="106"/>
      <c r="AL570" s="106"/>
      <c r="AM570" s="106"/>
      <c r="AN570" s="106"/>
      <c r="AO570" s="106"/>
      <c r="AP570" s="106"/>
      <c r="AQ570" s="106"/>
      <c r="AR570" s="106"/>
      <c r="AS570" s="106"/>
      <c r="AT570" s="106"/>
      <c r="AU570" s="106"/>
      <c r="AV570" s="106"/>
      <c r="AW570" s="106"/>
      <c r="AX570" s="106"/>
      <c r="AY570" s="106"/>
      <c r="AZ570" s="106"/>
      <c r="BA570" s="106"/>
      <c r="BB570" s="106"/>
      <c r="BC570" s="106"/>
      <c r="BD570" s="106"/>
      <c r="BE570" s="106"/>
      <c r="BF570" s="106"/>
      <c r="BG570" s="106"/>
      <c r="BH570" s="106"/>
      <c r="BI570" s="106"/>
    </row>
    <row r="571" spans="1:61" ht="15" customHeight="1">
      <c r="A571" s="106"/>
      <c r="B571" s="106"/>
      <c r="C571" s="106"/>
      <c r="D571" s="301"/>
      <c r="E571" s="301"/>
      <c r="F571" s="106"/>
      <c r="G571" s="106"/>
      <c r="H571" s="106"/>
      <c r="I571" s="106"/>
      <c r="J571" s="106"/>
      <c r="K571" s="106"/>
      <c r="L571" s="106"/>
      <c r="M571" s="106"/>
      <c r="N571" s="106"/>
      <c r="O571" s="106"/>
      <c r="P571" s="106"/>
      <c r="Q571" s="106"/>
      <c r="R571" s="106"/>
      <c r="S571" s="106"/>
      <c r="T571" s="106"/>
      <c r="U571" s="106"/>
      <c r="V571" s="106"/>
      <c r="W571" s="106"/>
      <c r="X571" s="106"/>
      <c r="Y571" s="106"/>
      <c r="Z571" s="106"/>
      <c r="AA571" s="106"/>
      <c r="AB571" s="106"/>
      <c r="AC571" s="106"/>
      <c r="AD571" s="106"/>
      <c r="AE571" s="106"/>
      <c r="AF571" s="106"/>
      <c r="AG571" s="106"/>
      <c r="AH571" s="106"/>
      <c r="AI571" s="106"/>
      <c r="AJ571" s="106"/>
      <c r="AK571" s="106"/>
      <c r="AL571" s="106"/>
      <c r="AM571" s="106"/>
      <c r="AN571" s="106"/>
      <c r="AO571" s="106"/>
      <c r="AP571" s="106"/>
      <c r="AQ571" s="106"/>
      <c r="AR571" s="106"/>
      <c r="AS571" s="106"/>
      <c r="AT571" s="106"/>
      <c r="AU571" s="106"/>
      <c r="AV571" s="106"/>
      <c r="AW571" s="106"/>
      <c r="AX571" s="106"/>
      <c r="AY571" s="106"/>
      <c r="AZ571" s="106"/>
      <c r="BA571" s="106"/>
      <c r="BB571" s="106"/>
      <c r="BC571" s="106"/>
      <c r="BD571" s="106"/>
      <c r="BE571" s="106"/>
      <c r="BF571" s="106"/>
      <c r="BG571" s="106"/>
      <c r="BH571" s="106"/>
      <c r="BI571" s="106"/>
    </row>
    <row r="572" spans="1:61" ht="15" customHeight="1">
      <c r="A572" s="106"/>
      <c r="B572" s="106"/>
      <c r="C572" s="106"/>
      <c r="D572" s="301"/>
      <c r="E572" s="301"/>
      <c r="F572" s="106"/>
      <c r="G572" s="106"/>
      <c r="H572" s="106"/>
      <c r="I572" s="106"/>
      <c r="J572" s="106"/>
      <c r="K572" s="106"/>
      <c r="L572" s="106"/>
      <c r="M572" s="106"/>
      <c r="N572" s="106"/>
      <c r="O572" s="106"/>
      <c r="P572" s="106"/>
      <c r="Q572" s="106"/>
      <c r="R572" s="106"/>
      <c r="S572" s="106"/>
      <c r="T572" s="106"/>
      <c r="U572" s="106"/>
      <c r="V572" s="106"/>
      <c r="W572" s="106"/>
      <c r="X572" s="106"/>
      <c r="Y572" s="106"/>
      <c r="Z572" s="106"/>
      <c r="AA572" s="106"/>
      <c r="AB572" s="106"/>
      <c r="AC572" s="106"/>
      <c r="AD572" s="106"/>
      <c r="AE572" s="106"/>
      <c r="AF572" s="106"/>
      <c r="AG572" s="106"/>
      <c r="AH572" s="106"/>
      <c r="AI572" s="106"/>
      <c r="AJ572" s="106"/>
      <c r="AK572" s="106"/>
      <c r="AL572" s="106"/>
      <c r="AM572" s="106"/>
      <c r="AN572" s="106"/>
      <c r="AO572" s="106"/>
      <c r="AP572" s="106"/>
      <c r="AQ572" s="106"/>
      <c r="AR572" s="106"/>
      <c r="AS572" s="106"/>
      <c r="AT572" s="106"/>
      <c r="AU572" s="106"/>
      <c r="AV572" s="106"/>
      <c r="AW572" s="106"/>
      <c r="AX572" s="106"/>
      <c r="AY572" s="106"/>
      <c r="AZ572" s="106"/>
      <c r="BA572" s="106"/>
      <c r="BB572" s="106"/>
      <c r="BC572" s="106"/>
      <c r="BD572" s="106"/>
      <c r="BE572" s="106"/>
      <c r="BF572" s="106"/>
      <c r="BG572" s="106"/>
      <c r="BH572" s="106"/>
      <c r="BI572" s="106"/>
    </row>
    <row r="573" spans="1:61" ht="15" customHeight="1">
      <c r="A573" s="106"/>
      <c r="B573" s="182" t="s">
        <v>1211</v>
      </c>
      <c r="C573" s="106"/>
      <c r="D573" s="301"/>
      <c r="E573" s="301"/>
      <c r="F573" s="106"/>
      <c r="G573" s="106"/>
      <c r="H573" s="106"/>
      <c r="I573" s="106"/>
      <c r="J573" s="106"/>
      <c r="K573" s="106"/>
      <c r="L573" s="106"/>
      <c r="M573" s="106"/>
      <c r="N573" s="106"/>
      <c r="O573" s="106"/>
      <c r="P573" s="106"/>
      <c r="Q573" s="106"/>
      <c r="R573" s="106"/>
      <c r="S573" s="106"/>
      <c r="T573" s="106"/>
      <c r="U573" s="106"/>
      <c r="V573" s="106"/>
      <c r="W573" s="106"/>
      <c r="X573" s="106"/>
      <c r="Y573" s="106"/>
      <c r="Z573" s="106"/>
      <c r="AA573" s="106"/>
      <c r="AB573" s="106"/>
      <c r="AC573" s="106"/>
      <c r="AD573" s="106"/>
      <c r="AE573" s="106"/>
      <c r="AF573" s="106"/>
      <c r="AG573" s="106"/>
      <c r="AH573" s="106"/>
      <c r="AI573" s="106"/>
      <c r="AJ573" s="106"/>
      <c r="AK573" s="106"/>
      <c r="AL573" s="106"/>
      <c r="AM573" s="106"/>
      <c r="AN573" s="106"/>
      <c r="AO573" s="106"/>
      <c r="AP573" s="106"/>
      <c r="AQ573" s="106"/>
      <c r="AR573" s="106"/>
      <c r="AS573" s="106"/>
      <c r="AT573" s="106"/>
      <c r="AU573" s="106"/>
      <c r="AV573" s="106"/>
      <c r="AW573" s="106"/>
      <c r="AX573" s="106"/>
      <c r="AY573" s="106"/>
      <c r="AZ573" s="106"/>
      <c r="BA573" s="106"/>
      <c r="BB573" s="106"/>
      <c r="BC573" s="106"/>
      <c r="BD573" s="106"/>
      <c r="BE573" s="106"/>
      <c r="BF573" s="106"/>
      <c r="BG573" s="106"/>
      <c r="BH573" s="106"/>
      <c r="BI573" s="106"/>
    </row>
    <row r="574" spans="1:61" ht="15" customHeight="1">
      <c r="A574" s="106"/>
      <c r="B574" s="182" t="s">
        <v>1212</v>
      </c>
      <c r="C574" s="106"/>
      <c r="D574" s="301"/>
      <c r="E574" s="301"/>
      <c r="F574" s="106"/>
      <c r="G574" s="106"/>
      <c r="H574" s="106"/>
      <c r="I574" s="106"/>
      <c r="J574" s="106"/>
      <c r="K574" s="106"/>
      <c r="L574" s="106"/>
      <c r="M574" s="106"/>
      <c r="N574" s="106"/>
      <c r="O574" s="106"/>
      <c r="P574" s="106"/>
      <c r="Q574" s="106"/>
      <c r="R574" s="106"/>
      <c r="S574" s="106"/>
      <c r="T574" s="106"/>
      <c r="U574" s="106"/>
      <c r="V574" s="106"/>
      <c r="W574" s="106"/>
      <c r="X574" s="106"/>
      <c r="Y574" s="106"/>
      <c r="Z574" s="106"/>
      <c r="AA574" s="106"/>
      <c r="AB574" s="106"/>
      <c r="AC574" s="106"/>
      <c r="AD574" s="106"/>
      <c r="AE574" s="106"/>
      <c r="AF574" s="106"/>
      <c r="AG574" s="106"/>
      <c r="AH574" s="106"/>
      <c r="AI574" s="106"/>
      <c r="AJ574" s="106"/>
      <c r="AK574" s="106"/>
      <c r="AL574" s="106"/>
      <c r="AM574" s="106"/>
      <c r="AN574" s="106"/>
      <c r="AO574" s="106"/>
      <c r="AP574" s="106"/>
      <c r="AQ574" s="106"/>
      <c r="AR574" s="106"/>
      <c r="AS574" s="106"/>
      <c r="AT574" s="106"/>
      <c r="AU574" s="106"/>
      <c r="AV574" s="106"/>
      <c r="AW574" s="106"/>
      <c r="AX574" s="106"/>
      <c r="AY574" s="106"/>
      <c r="AZ574" s="106"/>
      <c r="BA574" s="106"/>
      <c r="BB574" s="106"/>
      <c r="BC574" s="106"/>
      <c r="BD574" s="106"/>
      <c r="BE574" s="106"/>
      <c r="BF574" s="106"/>
      <c r="BG574" s="106"/>
      <c r="BH574" s="106"/>
      <c r="BI574" s="106"/>
    </row>
    <row r="575" spans="1:61" ht="15" customHeight="1">
      <c r="A575" s="106"/>
      <c r="B575" s="182" t="s">
        <v>1213</v>
      </c>
      <c r="C575" s="106"/>
      <c r="D575" s="301"/>
      <c r="E575" s="301"/>
      <c r="F575" s="106"/>
      <c r="G575" s="106"/>
      <c r="H575" s="106"/>
      <c r="I575" s="106"/>
      <c r="J575" s="106"/>
      <c r="K575" s="106"/>
      <c r="L575" s="106"/>
      <c r="M575" s="106"/>
      <c r="N575" s="106"/>
      <c r="O575" s="106"/>
      <c r="P575" s="106"/>
      <c r="Q575" s="106"/>
      <c r="R575" s="106"/>
      <c r="S575" s="106"/>
      <c r="T575" s="106"/>
      <c r="U575" s="106"/>
      <c r="V575" s="106"/>
      <c r="W575" s="106"/>
      <c r="X575" s="106"/>
      <c r="Y575" s="106"/>
      <c r="Z575" s="106"/>
      <c r="AA575" s="106"/>
      <c r="AB575" s="106"/>
      <c r="AC575" s="106"/>
      <c r="AD575" s="106"/>
      <c r="AE575" s="106"/>
      <c r="AF575" s="106"/>
      <c r="AG575" s="106"/>
      <c r="AH575" s="106"/>
      <c r="AI575" s="106"/>
      <c r="AJ575" s="106"/>
      <c r="AK575" s="106"/>
      <c r="AL575" s="106"/>
      <c r="AM575" s="106"/>
      <c r="AN575" s="106"/>
      <c r="AO575" s="106"/>
      <c r="AP575" s="106"/>
      <c r="AQ575" s="106"/>
      <c r="AR575" s="106"/>
      <c r="AS575" s="106"/>
      <c r="AT575" s="106"/>
      <c r="AU575" s="106"/>
      <c r="AV575" s="106"/>
      <c r="AW575" s="106"/>
      <c r="AX575" s="106"/>
      <c r="AY575" s="106"/>
      <c r="AZ575" s="106"/>
      <c r="BA575" s="106"/>
      <c r="BB575" s="106"/>
      <c r="BC575" s="106"/>
      <c r="BD575" s="106"/>
      <c r="BE575" s="106"/>
      <c r="BF575" s="106"/>
      <c r="BG575" s="106"/>
      <c r="BH575" s="106"/>
      <c r="BI575" s="106"/>
    </row>
    <row r="576" spans="1:61" ht="15" customHeight="1">
      <c r="A576" s="106"/>
      <c r="B576" s="106"/>
      <c r="C576" s="106"/>
      <c r="D576" s="301"/>
      <c r="E576" s="301"/>
      <c r="F576" s="106"/>
      <c r="G576" s="106"/>
      <c r="H576" s="106"/>
      <c r="I576" s="106"/>
      <c r="J576" s="106"/>
      <c r="K576" s="106"/>
      <c r="L576" s="106"/>
      <c r="M576" s="106"/>
      <c r="N576" s="106"/>
      <c r="O576" s="106"/>
      <c r="P576" s="106"/>
      <c r="Q576" s="106"/>
      <c r="R576" s="106"/>
      <c r="S576" s="106"/>
      <c r="T576" s="106"/>
      <c r="U576" s="106"/>
      <c r="V576" s="106"/>
      <c r="W576" s="106"/>
      <c r="X576" s="106"/>
      <c r="Y576" s="106"/>
      <c r="Z576" s="106"/>
      <c r="AA576" s="106"/>
      <c r="AB576" s="106"/>
      <c r="AC576" s="106"/>
      <c r="AD576" s="106"/>
      <c r="AE576" s="106"/>
      <c r="AF576" s="106"/>
      <c r="AG576" s="106"/>
      <c r="AH576" s="106"/>
      <c r="AI576" s="106"/>
      <c r="AJ576" s="106"/>
      <c r="AK576" s="106"/>
      <c r="AL576" s="106"/>
      <c r="AM576" s="106"/>
      <c r="AN576" s="106"/>
      <c r="AO576" s="106"/>
      <c r="AP576" s="106"/>
      <c r="AQ576" s="106"/>
      <c r="AR576" s="106"/>
      <c r="AS576" s="106"/>
      <c r="AT576" s="106"/>
      <c r="AU576" s="106"/>
      <c r="AV576" s="106"/>
      <c r="AW576" s="106"/>
      <c r="AX576" s="106"/>
      <c r="AY576" s="106"/>
      <c r="AZ576" s="106"/>
      <c r="BA576" s="106"/>
      <c r="BB576" s="106"/>
      <c r="BC576" s="106"/>
      <c r="BD576" s="106"/>
      <c r="BE576" s="106"/>
      <c r="BF576" s="106"/>
      <c r="BG576" s="106"/>
      <c r="BH576" s="106"/>
      <c r="BI576" s="106"/>
    </row>
    <row r="577" spans="1:61" ht="15" customHeight="1">
      <c r="A577" s="304"/>
      <c r="B577" s="816" t="s">
        <v>1095</v>
      </c>
      <c r="C577" s="305" t="s">
        <v>655</v>
      </c>
      <c r="D577" s="301"/>
      <c r="E577" s="301"/>
      <c r="F577" s="106"/>
      <c r="G577" s="106"/>
      <c r="H577" s="106"/>
      <c r="I577" s="106"/>
      <c r="J577" s="106"/>
      <c r="K577" s="106"/>
      <c r="L577" s="106"/>
      <c r="M577" s="106"/>
      <c r="N577" s="106"/>
      <c r="O577" s="106"/>
      <c r="P577" s="106"/>
      <c r="Q577" s="106"/>
      <c r="R577" s="106"/>
      <c r="S577" s="106"/>
      <c r="T577" s="106"/>
      <c r="U577" s="106"/>
      <c r="V577" s="106"/>
      <c r="W577" s="106"/>
      <c r="X577" s="106"/>
      <c r="Y577" s="106"/>
      <c r="Z577" s="106"/>
      <c r="AA577" s="106"/>
      <c r="AB577" s="106"/>
      <c r="AC577" s="106"/>
      <c r="AD577" s="106"/>
      <c r="AE577" s="106"/>
      <c r="AF577" s="106"/>
      <c r="AG577" s="106"/>
      <c r="AH577" s="106"/>
      <c r="AI577" s="106"/>
      <c r="AJ577" s="106"/>
      <c r="AK577" s="106"/>
      <c r="AL577" s="106"/>
      <c r="AM577" s="106"/>
      <c r="AN577" s="106"/>
      <c r="AO577" s="106"/>
      <c r="AP577" s="106"/>
      <c r="AQ577" s="106"/>
      <c r="AR577" s="106"/>
      <c r="AS577" s="106"/>
      <c r="AT577" s="106"/>
      <c r="AU577" s="106"/>
      <c r="AV577" s="106"/>
      <c r="AW577" s="106"/>
      <c r="AX577" s="106"/>
      <c r="AY577" s="106"/>
      <c r="AZ577" s="106"/>
      <c r="BA577" s="106"/>
      <c r="BB577" s="106"/>
      <c r="BC577" s="106"/>
      <c r="BD577" s="106"/>
      <c r="BE577" s="106"/>
      <c r="BF577" s="106"/>
      <c r="BG577" s="106"/>
      <c r="BH577" s="106"/>
      <c r="BI577" s="106"/>
    </row>
    <row r="578" spans="1:61" ht="15" customHeight="1">
      <c r="A578" s="304"/>
      <c r="B578" s="817"/>
      <c r="C578" s="306" t="s">
        <v>655</v>
      </c>
      <c r="D578" s="301"/>
      <c r="E578" s="301"/>
      <c r="F578" s="106"/>
      <c r="G578" s="106"/>
      <c r="H578" s="106"/>
      <c r="I578" s="106"/>
      <c r="J578" s="106"/>
      <c r="K578" s="106"/>
      <c r="L578" s="106"/>
      <c r="M578" s="106"/>
      <c r="N578" s="106"/>
      <c r="O578" s="106"/>
      <c r="P578" s="106"/>
      <c r="Q578" s="106"/>
      <c r="R578" s="106"/>
      <c r="S578" s="106"/>
      <c r="T578" s="106"/>
      <c r="U578" s="106"/>
      <c r="V578" s="106"/>
      <c r="W578" s="106"/>
      <c r="X578" s="106"/>
      <c r="Y578" s="106"/>
      <c r="Z578" s="106"/>
      <c r="AA578" s="106"/>
      <c r="AB578" s="106"/>
      <c r="AC578" s="106"/>
      <c r="AD578" s="106"/>
      <c r="AE578" s="106"/>
      <c r="AF578" s="106"/>
      <c r="AG578" s="106"/>
      <c r="AH578" s="106"/>
      <c r="AI578" s="106"/>
      <c r="AJ578" s="106"/>
      <c r="AK578" s="106"/>
      <c r="AL578" s="106"/>
      <c r="AM578" s="106"/>
      <c r="AN578" s="106"/>
      <c r="AO578" s="106"/>
      <c r="AP578" s="106"/>
      <c r="AQ578" s="106"/>
      <c r="AR578" s="106"/>
      <c r="AS578" s="106"/>
      <c r="AT578" s="106"/>
      <c r="AU578" s="106"/>
      <c r="AV578" s="106"/>
      <c r="AW578" s="106"/>
      <c r="AX578" s="106"/>
      <c r="AY578" s="106"/>
      <c r="AZ578" s="106"/>
      <c r="BA578" s="106"/>
      <c r="BB578" s="106"/>
      <c r="BC578" s="106"/>
      <c r="BD578" s="106"/>
      <c r="BE578" s="106"/>
      <c r="BF578" s="106"/>
      <c r="BG578" s="106"/>
      <c r="BH578" s="106"/>
      <c r="BI578" s="106"/>
    </row>
    <row r="579" spans="1:61" ht="15" customHeight="1">
      <c r="A579" s="304"/>
      <c r="B579" s="817"/>
      <c r="C579" s="306" t="s">
        <v>655</v>
      </c>
      <c r="D579" s="301"/>
      <c r="E579" s="301"/>
      <c r="F579" s="106"/>
      <c r="G579" s="106"/>
      <c r="H579" s="106"/>
      <c r="I579" s="106"/>
      <c r="J579" s="106"/>
      <c r="K579" s="106"/>
      <c r="L579" s="106"/>
      <c r="M579" s="106"/>
      <c r="N579" s="106"/>
      <c r="O579" s="106"/>
      <c r="P579" s="106"/>
      <c r="Q579" s="106"/>
      <c r="R579" s="106"/>
      <c r="S579" s="106"/>
      <c r="T579" s="106"/>
      <c r="U579" s="106"/>
      <c r="V579" s="106"/>
      <c r="W579" s="106"/>
      <c r="X579" s="106"/>
      <c r="Y579" s="106"/>
      <c r="Z579" s="106"/>
      <c r="AA579" s="106"/>
      <c r="AB579" s="106"/>
      <c r="AC579" s="106"/>
      <c r="AD579" s="106"/>
      <c r="AE579" s="106"/>
      <c r="AF579" s="106"/>
      <c r="AG579" s="106"/>
      <c r="AH579" s="106"/>
      <c r="AI579" s="106"/>
      <c r="AJ579" s="106"/>
      <c r="AK579" s="106"/>
      <c r="AL579" s="106"/>
      <c r="AM579" s="106"/>
      <c r="AN579" s="106"/>
      <c r="AO579" s="106"/>
      <c r="AP579" s="106"/>
      <c r="AQ579" s="106"/>
      <c r="AR579" s="106"/>
      <c r="AS579" s="106"/>
      <c r="AT579" s="106"/>
      <c r="AU579" s="106"/>
      <c r="AV579" s="106"/>
      <c r="AW579" s="106"/>
      <c r="AX579" s="106"/>
      <c r="AY579" s="106"/>
      <c r="AZ579" s="106"/>
      <c r="BA579" s="106"/>
      <c r="BB579" s="106"/>
      <c r="BC579" s="106"/>
      <c r="BD579" s="106"/>
      <c r="BE579" s="106"/>
      <c r="BF579" s="106"/>
      <c r="BG579" s="106"/>
      <c r="BH579" s="106"/>
      <c r="BI579" s="106"/>
    </row>
    <row r="580" spans="1:61" ht="15" customHeight="1">
      <c r="A580" s="818" t="s">
        <v>1214</v>
      </c>
      <c r="B580" s="820" t="s">
        <v>1215</v>
      </c>
      <c r="C580" s="305" t="s">
        <v>655</v>
      </c>
      <c r="D580" s="301"/>
      <c r="E580" s="301"/>
      <c r="F580" s="106"/>
      <c r="G580" s="106"/>
      <c r="H580" s="106"/>
      <c r="I580" s="106"/>
      <c r="J580" s="106"/>
      <c r="K580" s="106"/>
      <c r="L580" s="106"/>
      <c r="M580" s="106"/>
      <c r="N580" s="106"/>
      <c r="O580" s="106"/>
      <c r="P580" s="106"/>
      <c r="Q580" s="106"/>
      <c r="R580" s="106"/>
      <c r="S580" s="106"/>
      <c r="T580" s="106"/>
      <c r="U580" s="106"/>
      <c r="V580" s="106"/>
      <c r="W580" s="106"/>
      <c r="X580" s="106"/>
      <c r="Y580" s="106"/>
      <c r="Z580" s="106"/>
      <c r="AA580" s="106"/>
      <c r="AB580" s="106"/>
      <c r="AC580" s="106"/>
      <c r="AD580" s="106"/>
      <c r="AE580" s="106"/>
      <c r="AF580" s="106"/>
      <c r="AG580" s="106"/>
      <c r="AH580" s="106"/>
      <c r="AI580" s="106"/>
      <c r="AJ580" s="106"/>
      <c r="AK580" s="106"/>
      <c r="AL580" s="106"/>
      <c r="AM580" s="106"/>
      <c r="AN580" s="106"/>
      <c r="AO580" s="106"/>
      <c r="AP580" s="106"/>
      <c r="AQ580" s="106"/>
      <c r="AR580" s="106"/>
      <c r="AS580" s="106"/>
      <c r="AT580" s="106"/>
      <c r="AU580" s="106"/>
      <c r="AV580" s="106"/>
      <c r="AW580" s="106"/>
      <c r="AX580" s="106"/>
      <c r="AY580" s="106"/>
      <c r="AZ580" s="106"/>
      <c r="BA580" s="106"/>
      <c r="BB580" s="106"/>
      <c r="BC580" s="106"/>
      <c r="BD580" s="106"/>
      <c r="BE580" s="106"/>
      <c r="BF580" s="106"/>
      <c r="BG580" s="106"/>
      <c r="BH580" s="106"/>
      <c r="BI580" s="106"/>
    </row>
    <row r="581" spans="1:61" ht="15" customHeight="1">
      <c r="A581" s="819"/>
      <c r="B581" s="821"/>
      <c r="C581" s="306" t="s">
        <v>655</v>
      </c>
      <c r="D581" s="301"/>
      <c r="E581" s="301"/>
      <c r="F581" s="106"/>
      <c r="G581" s="106"/>
      <c r="H581" s="106"/>
      <c r="I581" s="106"/>
      <c r="J581" s="106"/>
      <c r="K581" s="106"/>
      <c r="L581" s="106"/>
      <c r="M581" s="106"/>
      <c r="N581" s="106"/>
      <c r="O581" s="106"/>
      <c r="P581" s="106"/>
      <c r="Q581" s="106"/>
      <c r="R581" s="106"/>
      <c r="S581" s="106"/>
      <c r="T581" s="106"/>
      <c r="U581" s="106"/>
      <c r="V581" s="106"/>
      <c r="W581" s="106"/>
      <c r="X581" s="106"/>
      <c r="Y581" s="106"/>
      <c r="Z581" s="106"/>
      <c r="AA581" s="106"/>
      <c r="AB581" s="106"/>
      <c r="AC581" s="106"/>
      <c r="AD581" s="106"/>
      <c r="AE581" s="106"/>
      <c r="AF581" s="106"/>
      <c r="AG581" s="106"/>
      <c r="AH581" s="106"/>
      <c r="AI581" s="106"/>
      <c r="AJ581" s="106"/>
      <c r="AK581" s="106"/>
      <c r="AL581" s="106"/>
      <c r="AM581" s="106"/>
      <c r="AN581" s="106"/>
      <c r="AO581" s="106"/>
      <c r="AP581" s="106"/>
      <c r="AQ581" s="106"/>
      <c r="AR581" s="106"/>
      <c r="AS581" s="106"/>
      <c r="AT581" s="106"/>
      <c r="AU581" s="106"/>
      <c r="AV581" s="106"/>
      <c r="AW581" s="106"/>
      <c r="AX581" s="106"/>
      <c r="AY581" s="106"/>
      <c r="AZ581" s="106"/>
      <c r="BA581" s="106"/>
      <c r="BB581" s="106"/>
      <c r="BC581" s="106"/>
      <c r="BD581" s="106"/>
      <c r="BE581" s="106"/>
      <c r="BF581" s="106"/>
      <c r="BG581" s="106"/>
      <c r="BH581" s="106"/>
      <c r="BI581" s="106"/>
    </row>
    <row r="582" spans="1:61" ht="15" customHeight="1">
      <c r="A582" s="819"/>
      <c r="B582" s="821"/>
      <c r="C582" s="307" t="s">
        <v>655</v>
      </c>
      <c r="D582" s="301"/>
      <c r="E582" s="301"/>
      <c r="F582" s="106"/>
      <c r="G582" s="106"/>
      <c r="H582" s="106"/>
      <c r="I582" s="106"/>
      <c r="J582" s="106"/>
      <c r="K582" s="106"/>
      <c r="L582" s="106"/>
      <c r="M582" s="106"/>
      <c r="N582" s="106"/>
      <c r="O582" s="106"/>
      <c r="P582" s="106"/>
      <c r="Q582" s="106"/>
      <c r="R582" s="106"/>
      <c r="S582" s="106"/>
      <c r="T582" s="106"/>
      <c r="U582" s="106"/>
      <c r="V582" s="106"/>
      <c r="W582" s="106"/>
      <c r="X582" s="106"/>
      <c r="Y582" s="106"/>
      <c r="Z582" s="106"/>
      <c r="AA582" s="106"/>
      <c r="AB582" s="106"/>
      <c r="AC582" s="106"/>
      <c r="AD582" s="106"/>
      <c r="AE582" s="106"/>
      <c r="AF582" s="106"/>
      <c r="AG582" s="106"/>
      <c r="AH582" s="106"/>
      <c r="AI582" s="106"/>
      <c r="AJ582" s="106"/>
      <c r="AK582" s="106"/>
      <c r="AL582" s="106"/>
      <c r="AM582" s="106"/>
      <c r="AN582" s="106"/>
      <c r="AO582" s="106"/>
      <c r="AP582" s="106"/>
      <c r="AQ582" s="106"/>
      <c r="AR582" s="106"/>
      <c r="AS582" s="106"/>
      <c r="AT582" s="106"/>
      <c r="AU582" s="106"/>
      <c r="AV582" s="106"/>
      <c r="AW582" s="106"/>
      <c r="AX582" s="106"/>
      <c r="AY582" s="106"/>
      <c r="AZ582" s="106"/>
      <c r="BA582" s="106"/>
      <c r="BB582" s="106"/>
      <c r="BC582" s="106"/>
      <c r="BD582" s="106"/>
      <c r="BE582" s="106"/>
      <c r="BF582" s="106"/>
      <c r="BG582" s="106"/>
      <c r="BH582" s="106"/>
      <c r="BI582" s="106"/>
    </row>
    <row r="583" spans="1:61" ht="15" customHeight="1">
      <c r="A583" s="819"/>
      <c r="B583" s="816" t="s">
        <v>1164</v>
      </c>
      <c r="C583" s="308" t="s">
        <v>655</v>
      </c>
      <c r="D583" s="301"/>
      <c r="E583" s="301"/>
      <c r="F583" s="106"/>
      <c r="G583" s="106"/>
      <c r="H583" s="106"/>
      <c r="I583" s="106"/>
      <c r="J583" s="106"/>
      <c r="K583" s="106"/>
      <c r="L583" s="106"/>
      <c r="M583" s="106"/>
      <c r="N583" s="106"/>
      <c r="O583" s="106"/>
      <c r="P583" s="106"/>
      <c r="Q583" s="106"/>
      <c r="R583" s="106"/>
      <c r="S583" s="106"/>
      <c r="T583" s="106"/>
      <c r="U583" s="106"/>
      <c r="V583" s="106"/>
      <c r="W583" s="106"/>
      <c r="X583" s="106"/>
      <c r="Y583" s="106"/>
      <c r="Z583" s="106"/>
      <c r="AA583" s="106"/>
      <c r="AB583" s="106"/>
      <c r="AC583" s="106"/>
      <c r="AD583" s="106"/>
      <c r="AE583" s="106"/>
      <c r="AF583" s="106"/>
      <c r="AG583" s="106"/>
      <c r="AH583" s="106"/>
      <c r="AI583" s="106"/>
      <c r="AJ583" s="106"/>
      <c r="AK583" s="106"/>
      <c r="AL583" s="106"/>
      <c r="AM583" s="106"/>
      <c r="AN583" s="106"/>
      <c r="AO583" s="106"/>
      <c r="AP583" s="106"/>
      <c r="AQ583" s="106"/>
      <c r="AR583" s="106"/>
      <c r="AS583" s="106"/>
      <c r="AT583" s="106"/>
      <c r="AU583" s="106"/>
      <c r="AV583" s="106"/>
      <c r="AW583" s="106"/>
      <c r="AX583" s="106"/>
      <c r="AY583" s="106"/>
      <c r="AZ583" s="106"/>
      <c r="BA583" s="106"/>
      <c r="BB583" s="106"/>
      <c r="BC583" s="106"/>
      <c r="BD583" s="106"/>
      <c r="BE583" s="106"/>
      <c r="BF583" s="106"/>
      <c r="BG583" s="106"/>
      <c r="BH583" s="106"/>
      <c r="BI583" s="106"/>
    </row>
    <row r="584" spans="1:61" ht="15" customHeight="1">
      <c r="A584" s="819"/>
      <c r="B584" s="817"/>
      <c r="C584" s="308" t="s">
        <v>655</v>
      </c>
      <c r="D584" s="301"/>
      <c r="E584" s="301"/>
      <c r="F584" s="106"/>
      <c r="G584" s="106"/>
      <c r="H584" s="106"/>
      <c r="I584" s="106"/>
      <c r="J584" s="106"/>
      <c r="K584" s="106"/>
      <c r="L584" s="106"/>
      <c r="M584" s="106"/>
      <c r="N584" s="106"/>
      <c r="O584" s="106"/>
      <c r="P584" s="106"/>
      <c r="Q584" s="106"/>
      <c r="R584" s="106"/>
      <c r="S584" s="106"/>
      <c r="T584" s="106"/>
      <c r="U584" s="106"/>
      <c r="V584" s="106"/>
      <c r="W584" s="106"/>
      <c r="X584" s="106"/>
      <c r="Y584" s="106"/>
      <c r="Z584" s="106"/>
      <c r="AA584" s="106"/>
      <c r="AB584" s="106"/>
      <c r="AC584" s="106"/>
      <c r="AD584" s="106"/>
      <c r="AE584" s="106"/>
      <c r="AF584" s="106"/>
      <c r="AG584" s="106"/>
      <c r="AH584" s="106"/>
      <c r="AI584" s="106"/>
      <c r="AJ584" s="106"/>
      <c r="AK584" s="106"/>
      <c r="AL584" s="106"/>
      <c r="AM584" s="106"/>
      <c r="AN584" s="106"/>
      <c r="AO584" s="106"/>
      <c r="AP584" s="106"/>
      <c r="AQ584" s="106"/>
      <c r="AR584" s="106"/>
      <c r="AS584" s="106"/>
      <c r="AT584" s="106"/>
      <c r="AU584" s="106"/>
      <c r="AV584" s="106"/>
      <c r="AW584" s="106"/>
      <c r="AX584" s="106"/>
      <c r="AY584" s="106"/>
      <c r="AZ584" s="106"/>
      <c r="BA584" s="106"/>
      <c r="BB584" s="106"/>
      <c r="BC584" s="106"/>
      <c r="BD584" s="106"/>
      <c r="BE584" s="106"/>
      <c r="BF584" s="106"/>
      <c r="BG584" s="106"/>
      <c r="BH584" s="106"/>
      <c r="BI584" s="106"/>
    </row>
    <row r="585" spans="1:61" ht="15" customHeight="1">
      <c r="A585" s="819"/>
      <c r="B585" s="817"/>
      <c r="C585" s="309" t="s">
        <v>655</v>
      </c>
      <c r="D585" s="301"/>
      <c r="E585" s="301"/>
      <c r="F585" s="106"/>
      <c r="G585" s="106"/>
      <c r="H585" s="106"/>
      <c r="I585" s="106"/>
      <c r="J585" s="106"/>
      <c r="K585" s="106"/>
      <c r="L585" s="106"/>
      <c r="M585" s="106"/>
      <c r="N585" s="106"/>
      <c r="O585" s="106"/>
      <c r="P585" s="106"/>
      <c r="Q585" s="106"/>
      <c r="R585" s="106"/>
      <c r="S585" s="106"/>
      <c r="T585" s="106"/>
      <c r="U585" s="106"/>
      <c r="V585" s="106"/>
      <c r="W585" s="106"/>
      <c r="X585" s="106"/>
      <c r="Y585" s="106"/>
      <c r="Z585" s="106"/>
      <c r="AA585" s="106"/>
      <c r="AB585" s="106"/>
      <c r="AC585" s="106"/>
      <c r="AD585" s="106"/>
      <c r="AE585" s="106"/>
      <c r="AF585" s="106"/>
      <c r="AG585" s="106"/>
      <c r="AH585" s="106"/>
      <c r="AI585" s="106"/>
      <c r="AJ585" s="106"/>
      <c r="AK585" s="106"/>
      <c r="AL585" s="106"/>
      <c r="AM585" s="106"/>
      <c r="AN585" s="106"/>
      <c r="AO585" s="106"/>
      <c r="AP585" s="106"/>
      <c r="AQ585" s="106"/>
      <c r="AR585" s="106"/>
      <c r="AS585" s="106"/>
      <c r="AT585" s="106"/>
      <c r="AU585" s="106"/>
      <c r="AV585" s="106"/>
      <c r="AW585" s="106"/>
      <c r="AX585" s="106"/>
      <c r="AY585" s="106"/>
      <c r="AZ585" s="106"/>
      <c r="BA585" s="106"/>
      <c r="BB585" s="106"/>
      <c r="BC585" s="106"/>
      <c r="BD585" s="106"/>
      <c r="BE585" s="106"/>
      <c r="BF585" s="106"/>
      <c r="BG585" s="106"/>
      <c r="BH585" s="106"/>
      <c r="BI585" s="106"/>
    </row>
    <row r="586" spans="1:61" ht="15" customHeight="1">
      <c r="A586" s="304"/>
      <c r="B586" s="812" t="s">
        <v>1171</v>
      </c>
      <c r="C586" s="308" t="s">
        <v>655</v>
      </c>
      <c r="D586" s="301"/>
      <c r="E586" s="301"/>
      <c r="F586" s="106"/>
      <c r="G586" s="106"/>
      <c r="H586" s="106"/>
      <c r="I586" s="106"/>
      <c r="J586" s="106"/>
      <c r="K586" s="106"/>
      <c r="L586" s="106"/>
      <c r="M586" s="106"/>
      <c r="N586" s="106"/>
      <c r="O586" s="106"/>
      <c r="P586" s="106"/>
      <c r="Q586" s="106"/>
      <c r="R586" s="106"/>
      <c r="S586" s="106"/>
      <c r="T586" s="106"/>
      <c r="U586" s="106"/>
      <c r="V586" s="106"/>
      <c r="W586" s="106"/>
      <c r="X586" s="106"/>
      <c r="Y586" s="106"/>
      <c r="Z586" s="106"/>
      <c r="AA586" s="106"/>
      <c r="AB586" s="106"/>
      <c r="AC586" s="106"/>
      <c r="AD586" s="106"/>
      <c r="AE586" s="106"/>
      <c r="AF586" s="106"/>
      <c r="AG586" s="106"/>
      <c r="AH586" s="106"/>
      <c r="AI586" s="106"/>
      <c r="AJ586" s="106"/>
      <c r="AK586" s="106"/>
      <c r="AL586" s="106"/>
      <c r="AM586" s="106"/>
      <c r="AN586" s="106"/>
      <c r="AO586" s="106"/>
      <c r="AP586" s="106"/>
      <c r="AQ586" s="106"/>
      <c r="AR586" s="106"/>
      <c r="AS586" s="106"/>
      <c r="AT586" s="106"/>
      <c r="AU586" s="106"/>
      <c r="AV586" s="106"/>
      <c r="AW586" s="106"/>
      <c r="AX586" s="106"/>
      <c r="AY586" s="106"/>
      <c r="AZ586" s="106"/>
      <c r="BA586" s="106"/>
      <c r="BB586" s="106"/>
      <c r="BC586" s="106"/>
      <c r="BD586" s="106"/>
      <c r="BE586" s="106"/>
      <c r="BF586" s="106"/>
      <c r="BG586" s="106"/>
      <c r="BH586" s="106"/>
      <c r="BI586" s="106"/>
    </row>
    <row r="587" spans="1:61" ht="15" customHeight="1">
      <c r="A587" s="304"/>
      <c r="B587" s="813"/>
      <c r="C587" s="308" t="s">
        <v>655</v>
      </c>
      <c r="D587" s="301"/>
      <c r="E587" s="301"/>
      <c r="F587" s="106"/>
      <c r="G587" s="106"/>
      <c r="H587" s="106"/>
      <c r="I587" s="106"/>
      <c r="J587" s="106"/>
      <c r="K587" s="106"/>
      <c r="L587" s="106"/>
      <c r="M587" s="106"/>
      <c r="N587" s="106"/>
      <c r="O587" s="106"/>
      <c r="P587" s="106"/>
      <c r="Q587" s="106"/>
      <c r="R587" s="106"/>
      <c r="S587" s="106"/>
      <c r="T587" s="106"/>
      <c r="U587" s="106"/>
      <c r="V587" s="106"/>
      <c r="W587" s="106"/>
      <c r="X587" s="106"/>
      <c r="Y587" s="106"/>
      <c r="Z587" s="106"/>
      <c r="AA587" s="106"/>
      <c r="AB587" s="106"/>
      <c r="AC587" s="106"/>
      <c r="AD587" s="106"/>
      <c r="AE587" s="106"/>
      <c r="AF587" s="106"/>
      <c r="AG587" s="106"/>
      <c r="AH587" s="106"/>
      <c r="AI587" s="106"/>
      <c r="AJ587" s="106"/>
      <c r="AK587" s="106"/>
      <c r="AL587" s="106"/>
      <c r="AM587" s="106"/>
      <c r="AN587" s="106"/>
      <c r="AO587" s="106"/>
      <c r="AP587" s="106"/>
      <c r="AQ587" s="106"/>
      <c r="AR587" s="106"/>
      <c r="AS587" s="106"/>
      <c r="AT587" s="106"/>
      <c r="AU587" s="106"/>
      <c r="AV587" s="106"/>
      <c r="AW587" s="106"/>
      <c r="AX587" s="106"/>
      <c r="AY587" s="106"/>
      <c r="AZ587" s="106"/>
      <c r="BA587" s="106"/>
      <c r="BB587" s="106"/>
      <c r="BC587" s="106"/>
      <c r="BD587" s="106"/>
      <c r="BE587" s="106"/>
      <c r="BF587" s="106"/>
      <c r="BG587" s="106"/>
      <c r="BH587" s="106"/>
      <c r="BI587" s="106"/>
    </row>
    <row r="588" spans="1:61" ht="15" customHeight="1">
      <c r="A588" s="304"/>
      <c r="B588" s="813"/>
      <c r="C588" s="309" t="s">
        <v>655</v>
      </c>
      <c r="D588" s="301"/>
      <c r="E588" s="301"/>
      <c r="F588" s="106"/>
      <c r="G588" s="106"/>
      <c r="H588" s="106"/>
      <c r="I588" s="106"/>
      <c r="J588" s="106"/>
      <c r="K588" s="106"/>
      <c r="L588" s="106"/>
      <c r="M588" s="106"/>
      <c r="N588" s="106"/>
      <c r="O588" s="106"/>
      <c r="P588" s="106"/>
      <c r="Q588" s="106"/>
      <c r="R588" s="106"/>
      <c r="S588" s="106"/>
      <c r="T588" s="106"/>
      <c r="U588" s="106"/>
      <c r="V588" s="106"/>
      <c r="W588" s="106"/>
      <c r="X588" s="106"/>
      <c r="Y588" s="106"/>
      <c r="Z588" s="106"/>
      <c r="AA588" s="106"/>
      <c r="AB588" s="106"/>
      <c r="AC588" s="106"/>
      <c r="AD588" s="106"/>
      <c r="AE588" s="106"/>
      <c r="AF588" s="106"/>
      <c r="AG588" s="106"/>
      <c r="AH588" s="106"/>
      <c r="AI588" s="106"/>
      <c r="AJ588" s="106"/>
      <c r="AK588" s="106"/>
      <c r="AL588" s="106"/>
      <c r="AM588" s="106"/>
      <c r="AN588" s="106"/>
      <c r="AO588" s="106"/>
      <c r="AP588" s="106"/>
      <c r="AQ588" s="106"/>
      <c r="AR588" s="106"/>
      <c r="AS588" s="106"/>
      <c r="AT588" s="106"/>
      <c r="AU588" s="106"/>
      <c r="AV588" s="106"/>
      <c r="AW588" s="106"/>
      <c r="AX588" s="106"/>
      <c r="AY588" s="106"/>
      <c r="AZ588" s="106"/>
      <c r="BA588" s="106"/>
      <c r="BB588" s="106"/>
      <c r="BC588" s="106"/>
      <c r="BD588" s="106"/>
      <c r="BE588" s="106"/>
      <c r="BF588" s="106"/>
      <c r="BG588" s="106"/>
      <c r="BH588" s="106"/>
      <c r="BI588" s="106"/>
    </row>
  </sheetData>
  <autoFilter ref="A1:AD148">
    <filterColumn colId="13" showButton="0"/>
    <filterColumn colId="14" showButton="0"/>
    <filterColumn colId="15" showButton="0"/>
    <filterColumn colId="16" showButton="0"/>
    <filterColumn colId="17" showButton="0"/>
    <filterColumn colId="18" showButton="0"/>
    <filterColumn colId="19" showButton="0"/>
    <filterColumn colId="20" showButton="0"/>
  </autoFilter>
  <mergeCells count="98">
    <mergeCell ref="N1:V1"/>
    <mergeCell ref="B2:B4"/>
    <mergeCell ref="B5:B7"/>
    <mergeCell ref="B8:B10"/>
    <mergeCell ref="B11:B13"/>
    <mergeCell ref="B14:B16"/>
    <mergeCell ref="A17:A22"/>
    <mergeCell ref="B17:B19"/>
    <mergeCell ref="B20:B22"/>
    <mergeCell ref="B23:B25"/>
    <mergeCell ref="B26:B28"/>
    <mergeCell ref="B29:B31"/>
    <mergeCell ref="B32:B34"/>
    <mergeCell ref="B35:B37"/>
    <mergeCell ref="A38:A40"/>
    <mergeCell ref="B38:B40"/>
    <mergeCell ref="A41:A46"/>
    <mergeCell ref="B41:B43"/>
    <mergeCell ref="B44:B46"/>
    <mergeCell ref="A47:A49"/>
    <mergeCell ref="B47:B49"/>
    <mergeCell ref="B50:B52"/>
    <mergeCell ref="A53:A58"/>
    <mergeCell ref="B53:B55"/>
    <mergeCell ref="B56:B58"/>
    <mergeCell ref="B59:B61"/>
    <mergeCell ref="B62:B64"/>
    <mergeCell ref="A65:A70"/>
    <mergeCell ref="B65:B67"/>
    <mergeCell ref="B68:B70"/>
    <mergeCell ref="B71:B73"/>
    <mergeCell ref="A74:A76"/>
    <mergeCell ref="B74:B76"/>
    <mergeCell ref="A77:A82"/>
    <mergeCell ref="B77:B79"/>
    <mergeCell ref="B80:B82"/>
    <mergeCell ref="B83:B85"/>
    <mergeCell ref="B86:B88"/>
    <mergeCell ref="A89:A94"/>
    <mergeCell ref="B89:B91"/>
    <mergeCell ref="B92:B94"/>
    <mergeCell ref="B95:B97"/>
    <mergeCell ref="B98:L98"/>
    <mergeCell ref="B99:L99"/>
    <mergeCell ref="B100:L100"/>
    <mergeCell ref="B101:L101"/>
    <mergeCell ref="B102:L102"/>
    <mergeCell ref="B103:L103"/>
    <mergeCell ref="B104:L104"/>
    <mergeCell ref="B105:L105"/>
    <mergeCell ref="B106:L106"/>
    <mergeCell ref="B107:L107"/>
    <mergeCell ref="B108:L108"/>
    <mergeCell ref="B109:L109"/>
    <mergeCell ref="B110:L110"/>
    <mergeCell ref="B111:L111"/>
    <mergeCell ref="B112:L112"/>
    <mergeCell ref="B113:L113"/>
    <mergeCell ref="B114:L114"/>
    <mergeCell ref="B115:L115"/>
    <mergeCell ref="B116:L116"/>
    <mergeCell ref="B117:L117"/>
    <mergeCell ref="B118:L118"/>
    <mergeCell ref="B119:L119"/>
    <mergeCell ref="B120:L120"/>
    <mergeCell ref="B121:L121"/>
    <mergeCell ref="B122:L122"/>
    <mergeCell ref="B123:L123"/>
    <mergeCell ref="B124:L124"/>
    <mergeCell ref="B125:L125"/>
    <mergeCell ref="B126:L126"/>
    <mergeCell ref="B127:L127"/>
    <mergeCell ref="B128:L128"/>
    <mergeCell ref="B129:L129"/>
    <mergeCell ref="B130:L130"/>
    <mergeCell ref="B131:L131"/>
    <mergeCell ref="B132:L132"/>
    <mergeCell ref="B133:L133"/>
    <mergeCell ref="B134:L134"/>
    <mergeCell ref="B135:L135"/>
    <mergeCell ref="B136:L136"/>
    <mergeCell ref="B137:L137"/>
    <mergeCell ref="B138:L138"/>
    <mergeCell ref="B139:L139"/>
    <mergeCell ref="B140:L140"/>
    <mergeCell ref="B141:L141"/>
    <mergeCell ref="B142:L142"/>
    <mergeCell ref="B143:L143"/>
    <mergeCell ref="B144:L144"/>
    <mergeCell ref="B145:L145"/>
    <mergeCell ref="B146:L146"/>
    <mergeCell ref="B586:B588"/>
    <mergeCell ref="B147:L147"/>
    <mergeCell ref="B148:L148"/>
    <mergeCell ref="B577:B579"/>
    <mergeCell ref="A580:A585"/>
    <mergeCell ref="B580:B582"/>
    <mergeCell ref="B583:B585"/>
  </mergeCells>
  <conditionalFormatting sqref="AB2:AB97">
    <cfRule type="colorScale" priority="5">
      <colorScale>
        <cfvo type="min"/>
        <cfvo type="percentile" val="50"/>
        <cfvo type="max"/>
        <color rgb="FFF8696B"/>
        <color rgb="FFFFEB84"/>
        <color rgb="FF63BE7B"/>
      </colorScale>
    </cfRule>
  </conditionalFormatting>
  <conditionalFormatting sqref="AH2:AH97">
    <cfRule type="colorScale" priority="6">
      <colorScale>
        <cfvo type="min"/>
        <cfvo type="percentile" val="50"/>
        <cfvo type="max"/>
        <color rgb="FFF8696B"/>
        <color rgb="FFFFEB84"/>
        <color rgb="FF63BE7B"/>
      </colorScale>
    </cfRule>
  </conditionalFormatting>
  <conditionalFormatting sqref="AZ3:AZ98">
    <cfRule type="colorScale" priority="4">
      <colorScale>
        <cfvo type="min"/>
        <cfvo type="percentile" val="50"/>
        <cfvo type="max"/>
        <color rgb="FFF8696B"/>
        <color rgb="FFFFEB84"/>
        <color rgb="FF63BE7B"/>
      </colorScale>
    </cfRule>
  </conditionalFormatting>
  <conditionalFormatting sqref="BE3:BE98">
    <cfRule type="colorScale" priority="1">
      <colorScale>
        <cfvo type="min"/>
        <cfvo type="percentile" val="50"/>
        <cfvo type="max"/>
        <color rgb="FFF8696B"/>
        <color rgb="FFFFEB84"/>
        <color rgb="FF63BE7B"/>
      </colorScale>
    </cfRule>
  </conditionalFormatting>
  <conditionalFormatting sqref="BI3:BI98">
    <cfRule type="cellIs" dxfId="4" priority="2" operator="between">
      <formula>-3</formula>
      <formula>3</formula>
    </cfRule>
  </conditionalFormatting>
  <conditionalFormatting sqref="BI3:BI98">
    <cfRule type="cellIs" dxfId="3" priority="3" operator="notBetween">
      <formula>-3</formula>
      <formula>3</formula>
    </cfRule>
  </conditionalFormatting>
  <pageMargins left="0.7" right="0.7" top="0.75" bottom="0.75" header="0.3" footer="0.3"/>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519" workbookViewId="0">
      <pane xSplit="1" topLeftCell="B1" activePane="topRight" state="frozen"/>
      <selection activeCell="A13" sqref="A13"/>
      <selection pane="topRight" activeCell="C524" sqref="C524"/>
    </sheetView>
  </sheetViews>
  <sheetFormatPr defaultColWidth="9" defaultRowHeight="14.25" customHeight="1"/>
  <cols>
    <col min="1" max="1" width="15.85546875" style="310" customWidth="1"/>
    <col min="2" max="2" width="54.140625" style="310" customWidth="1"/>
    <col min="3" max="4" width="52.640625" style="310" customWidth="1"/>
    <col min="5" max="5" width="59.7109375" style="310" customWidth="1"/>
    <col min="6" max="6" width="52.640625" style="310" customWidth="1"/>
    <col min="7" max="7" width="52.35546875" style="310" customWidth="1"/>
    <col min="8" max="10" width="52.640625" style="310" customWidth="1"/>
    <col min="11" max="11" width="57.35546875" style="310" customWidth="1"/>
    <col min="12" max="12" width="45.140625" style="310" customWidth="1"/>
    <col min="13" max="13" width="56.85546875" style="310" hidden="1" customWidth="1"/>
    <col min="14" max="14" width="58.5" style="310" hidden="1" customWidth="1"/>
    <col min="15" max="15" width="67.7109375" style="310" customWidth="1"/>
    <col min="16" max="16" width="50.640625" style="310" customWidth="1"/>
    <col min="17" max="17" width="50.7109375" style="310" customWidth="1"/>
    <col min="18" max="18" width="60.2109375" style="310" customWidth="1"/>
    <col min="19" max="19" width="60.85546875" style="310" customWidth="1"/>
    <col min="20" max="20" width="51" style="310" customWidth="1"/>
    <col min="21" max="16384" width="9" style="310"/>
  </cols>
  <sheetData>
    <row r="1" spans="1:11" ht="18.45">
      <c r="A1" s="311" t="s">
        <v>1216</v>
      </c>
      <c r="B1" s="312" t="s">
        <v>1217</v>
      </c>
      <c r="C1" s="312" t="s">
        <v>1218</v>
      </c>
      <c r="E1" s="860" t="s">
        <v>1219</v>
      </c>
      <c r="F1" s="860"/>
      <c r="G1" s="860"/>
      <c r="H1" s="860"/>
      <c r="I1" s="860"/>
      <c r="J1" s="860"/>
      <c r="K1" s="860"/>
    </row>
    <row r="2" spans="1:11" ht="16.75">
      <c r="A2" s="313">
        <v>1</v>
      </c>
      <c r="B2" s="314" t="s">
        <v>1220</v>
      </c>
      <c r="C2" s="315" t="s">
        <v>1221</v>
      </c>
      <c r="E2" s="860"/>
      <c r="F2" s="860"/>
      <c r="G2" s="860"/>
      <c r="H2" s="860"/>
      <c r="I2" s="860"/>
      <c r="J2" s="860"/>
      <c r="K2" s="860"/>
    </row>
    <row r="3" spans="1:11" ht="16.75">
      <c r="A3" s="313" t="s">
        <v>982</v>
      </c>
      <c r="B3" s="316" t="s">
        <v>1222</v>
      </c>
      <c r="C3" s="317" t="s">
        <v>1223</v>
      </c>
      <c r="E3" s="860"/>
      <c r="F3" s="860"/>
      <c r="G3" s="860"/>
      <c r="H3" s="860"/>
      <c r="I3" s="860"/>
      <c r="J3" s="860"/>
      <c r="K3" s="860"/>
    </row>
    <row r="4" spans="1:11" ht="16.75">
      <c r="A4" s="313" t="s">
        <v>899</v>
      </c>
      <c r="B4" s="318" t="s">
        <v>1224</v>
      </c>
      <c r="C4" s="319" t="s">
        <v>1225</v>
      </c>
      <c r="E4" s="860"/>
      <c r="F4" s="860"/>
      <c r="G4" s="860"/>
      <c r="H4" s="860"/>
      <c r="I4" s="860"/>
      <c r="J4" s="860"/>
      <c r="K4" s="860"/>
    </row>
    <row r="5" spans="1:11" ht="16.75">
      <c r="A5" s="313" t="s">
        <v>934</v>
      </c>
      <c r="B5" s="320" t="s">
        <v>1226</v>
      </c>
      <c r="C5" s="321" t="s">
        <v>1227</v>
      </c>
      <c r="E5" s="860"/>
      <c r="F5" s="860"/>
      <c r="G5" s="860"/>
      <c r="H5" s="860"/>
      <c r="I5" s="860"/>
      <c r="J5" s="860"/>
      <c r="K5" s="860"/>
    </row>
    <row r="6" spans="1:11" ht="16.75">
      <c r="A6" s="313" t="s">
        <v>927</v>
      </c>
      <c r="B6" s="322" t="s">
        <v>1228</v>
      </c>
      <c r="C6" s="323" t="s">
        <v>1229</v>
      </c>
      <c r="E6" s="860"/>
      <c r="F6" s="860"/>
      <c r="G6" s="860"/>
      <c r="H6" s="860"/>
      <c r="I6" s="860"/>
      <c r="J6" s="860"/>
      <c r="K6" s="860"/>
    </row>
    <row r="7" spans="1:11" ht="16.75">
      <c r="A7" s="313" t="s">
        <v>986</v>
      </c>
      <c r="B7" s="324" t="s">
        <v>1230</v>
      </c>
      <c r="C7" s="325" t="s">
        <v>1231</v>
      </c>
      <c r="E7" s="860"/>
      <c r="F7" s="860"/>
      <c r="G7" s="860"/>
      <c r="H7" s="860"/>
      <c r="I7" s="860"/>
      <c r="J7" s="860"/>
      <c r="K7" s="860"/>
    </row>
    <row r="8" spans="1:11" ht="16.75">
      <c r="A8" s="313" t="s">
        <v>966</v>
      </c>
      <c r="B8" s="326" t="s">
        <v>1232</v>
      </c>
      <c r="C8" s="327" t="s">
        <v>1233</v>
      </c>
      <c r="E8" s="860"/>
      <c r="F8" s="860"/>
      <c r="G8" s="860"/>
      <c r="H8" s="860"/>
      <c r="I8" s="860"/>
      <c r="J8" s="860"/>
      <c r="K8" s="860"/>
    </row>
    <row r="9" spans="1:11" ht="16.75">
      <c r="A9" s="313" t="s">
        <v>1234</v>
      </c>
      <c r="B9" s="326" t="s">
        <v>1232</v>
      </c>
      <c r="C9" s="328" t="s">
        <v>1235</v>
      </c>
      <c r="E9" s="860"/>
      <c r="F9" s="860"/>
      <c r="G9" s="860"/>
      <c r="H9" s="860"/>
      <c r="I9" s="860"/>
      <c r="J9" s="860"/>
      <c r="K9" s="860"/>
    </row>
    <row r="10" spans="1:11" ht="15.75" customHeight="1">
      <c r="A10" s="313" t="s">
        <v>1236</v>
      </c>
      <c r="B10" s="326" t="s">
        <v>1232</v>
      </c>
      <c r="C10" s="329" t="s">
        <v>1237</v>
      </c>
      <c r="E10" s="860"/>
      <c r="F10" s="860"/>
      <c r="G10" s="860"/>
      <c r="H10" s="860"/>
      <c r="I10" s="860"/>
      <c r="J10" s="860"/>
      <c r="K10" s="860"/>
    </row>
    <row r="11" spans="1:11" ht="16.75">
      <c r="A11" s="313" t="s">
        <v>1238</v>
      </c>
      <c r="B11" s="326" t="s">
        <v>1232</v>
      </c>
      <c r="C11" s="330" t="s">
        <v>1239</v>
      </c>
    </row>
    <row r="12" spans="1:11" ht="16.75">
      <c r="A12" s="331" t="s">
        <v>1240</v>
      </c>
      <c r="B12" s="326" t="s">
        <v>1232</v>
      </c>
      <c r="C12" s="332" t="s">
        <v>1241</v>
      </c>
    </row>
    <row r="13" spans="1:11" ht="16.75">
      <c r="A13" s="331" t="s">
        <v>1066</v>
      </c>
      <c r="B13" s="326" t="s">
        <v>1232</v>
      </c>
      <c r="C13" s="333" t="s">
        <v>1242</v>
      </c>
    </row>
    <row r="14" spans="1:11" ht="16.75">
      <c r="A14" s="331" t="s">
        <v>1243</v>
      </c>
      <c r="B14" s="326" t="s">
        <v>1232</v>
      </c>
    </row>
    <row r="15" spans="1:11" ht="16.75">
      <c r="A15" s="331" t="s">
        <v>1150</v>
      </c>
      <c r="B15" s="326" t="s">
        <v>1232</v>
      </c>
    </row>
    <row r="16" spans="1:11" ht="16.75">
      <c r="A16" s="331" t="s">
        <v>1244</v>
      </c>
      <c r="B16" s="324" t="s">
        <v>1230</v>
      </c>
    </row>
    <row r="17" spans="1:27" ht="16.75">
      <c r="A17" s="331" t="s">
        <v>1245</v>
      </c>
      <c r="B17" s="322" t="s">
        <v>1228</v>
      </c>
    </row>
    <row r="18" spans="1:27" ht="16.75">
      <c r="A18" s="331" t="s">
        <v>1246</v>
      </c>
      <c r="B18" s="320" t="s">
        <v>1226</v>
      </c>
    </row>
    <row r="19" spans="1:27" ht="16.75">
      <c r="A19" s="331" t="s">
        <v>1247</v>
      </c>
      <c r="B19" s="318" t="s">
        <v>1224</v>
      </c>
    </row>
    <row r="20" spans="1:27" ht="16.75">
      <c r="A20" s="331" t="s">
        <v>1248</v>
      </c>
      <c r="B20" s="316" t="s">
        <v>1222</v>
      </c>
    </row>
    <row r="21" spans="1:27" ht="16.75">
      <c r="A21" s="331" t="s">
        <v>1249</v>
      </c>
      <c r="B21" s="314" t="s">
        <v>1220</v>
      </c>
    </row>
    <row r="22" spans="1:27" ht="18.45">
      <c r="A22" s="334" t="s">
        <v>1250</v>
      </c>
    </row>
    <row r="23" spans="1:27" ht="14.6"/>
    <row r="24" spans="1:27" ht="14.6"/>
    <row r="26" spans="1:27" ht="15.9">
      <c r="A26" s="312"/>
    </row>
    <row r="27" spans="1:27" ht="17.25" customHeight="1">
      <c r="A27" s="312" t="s">
        <v>1251</v>
      </c>
      <c r="B27" s="335" t="s">
        <v>1086</v>
      </c>
      <c r="C27" s="336" t="s">
        <v>1088</v>
      </c>
      <c r="D27" s="336" t="s">
        <v>1252</v>
      </c>
      <c r="E27" s="336" t="s">
        <v>1253</v>
      </c>
      <c r="F27" s="336" t="s">
        <v>1254</v>
      </c>
      <c r="G27" s="336" t="s">
        <v>1255</v>
      </c>
      <c r="H27" s="336" t="s">
        <v>1256</v>
      </c>
      <c r="I27" s="336" t="s">
        <v>1257</v>
      </c>
      <c r="J27" s="336" t="s">
        <v>1258</v>
      </c>
      <c r="K27" s="337" t="s">
        <v>1259</v>
      </c>
      <c r="M27" s="338" t="s">
        <v>1260</v>
      </c>
      <c r="N27" s="338" t="s">
        <v>1260</v>
      </c>
      <c r="R27" s="339" t="str">
        <f t="shared" ref="R27:R52" si="0">CONCATENATE($A27, ": ", B27)</f>
        <v>Character name: Skeleton</v>
      </c>
      <c r="S27" s="310" t="str">
        <f t="shared" ref="S27:AA52" si="1">CONCATENATE($A27, ": ", C27)</f>
        <v>Character name: Ghoul</v>
      </c>
      <c r="T27" s="310" t="str">
        <f t="shared" si="1"/>
        <v>Character name: Frostbitten Corpse</v>
      </c>
      <c r="U27" s="310" t="str">
        <f t="shared" si="1"/>
        <v>Character name: Bloomed Deceased</v>
      </c>
      <c r="V27" s="310" t="str">
        <f t="shared" si="1"/>
        <v>Character name: Mummified Remains</v>
      </c>
      <c r="W27" s="310" t="str">
        <f t="shared" si="1"/>
        <v>Character name: Walking Flesh</v>
      </c>
      <c r="X27" s="310" t="str">
        <f t="shared" si="1"/>
        <v>Character name: Charred Walker</v>
      </c>
      <c r="Y27" s="310" t="str">
        <f t="shared" si="1"/>
        <v>Character name: Stonehusk Skeleton</v>
      </c>
      <c r="Z27" s="310" t="str">
        <f t="shared" si="1"/>
        <v>Character name: Corrupted Corpse</v>
      </c>
      <c r="AA27" s="310" t="str">
        <f t="shared" si="1"/>
        <v>Character name: Lost Soul</v>
      </c>
    </row>
    <row r="28" spans="1:27" ht="18" customHeight="1">
      <c r="A28" s="312" t="s">
        <v>1261</v>
      </c>
      <c r="B28" s="340" t="s">
        <v>1221</v>
      </c>
      <c r="C28" s="319" t="s">
        <v>1225</v>
      </c>
      <c r="D28" s="321" t="s">
        <v>1227</v>
      </c>
      <c r="E28" s="323" t="s">
        <v>1229</v>
      </c>
      <c r="F28" s="341" t="s">
        <v>1231</v>
      </c>
      <c r="G28" s="327" t="s">
        <v>1233</v>
      </c>
      <c r="H28" s="328" t="s">
        <v>1235</v>
      </c>
      <c r="I28" s="329" t="s">
        <v>1237</v>
      </c>
      <c r="J28" s="330" t="s">
        <v>1239</v>
      </c>
      <c r="K28" s="342" t="s">
        <v>1241</v>
      </c>
      <c r="M28" s="317" t="s">
        <v>1223</v>
      </c>
      <c r="N28" s="333" t="s">
        <v>1242</v>
      </c>
      <c r="R28" s="333" t="str">
        <f t="shared" si="0"/>
        <v>Location: Surface</v>
      </c>
      <c r="S28" s="310" t="str">
        <f t="shared" si="1"/>
        <v>Location: Grasslands</v>
      </c>
      <c r="T28" s="310" t="str">
        <f t="shared" ref="T28:T52" si="2">CONCATENATE($A28, ": ", D28)</f>
        <v>Location: Frostreach</v>
      </c>
      <c r="U28" s="310" t="str">
        <f t="shared" ref="U28:U52" si="3">CONCATENATE($A28, ": ", E28)</f>
        <v>Location: Sakura</v>
      </c>
      <c r="V28" s="310" t="str">
        <f t="shared" ref="V28:V52" si="4">CONCATENATE($A28, ": ", F28)</f>
        <v>Location: Sundune</v>
      </c>
      <c r="W28" s="310" t="str">
        <f t="shared" ref="W28:W52" si="5">CONCATENATE($A28, ": ", G28)</f>
        <v>Location: Bloodgrounds</v>
      </c>
      <c r="X28" s="310" t="str">
        <f t="shared" ref="X28:X52" si="6">CONCATENATE($A28, ": ", H28)</f>
        <v>Location: Volcanica</v>
      </c>
      <c r="Y28" s="310" t="str">
        <f t="shared" ref="Y28:Y52" si="7">CONCATENATE($A28, ": ", I28)</f>
        <v>Location: Desolation</v>
      </c>
      <c r="Z28" s="310" t="str">
        <f t="shared" ref="Z28:Z52" si="8">CONCATENATE($A28, ": ", J28)</f>
        <v>Location: Grimwall</v>
      </c>
      <c r="AA28" s="310" t="str">
        <f t="shared" ref="AA28:AA52" si="9">CONCATENATE($A28, ": ", K28)</f>
        <v>Location: Elysian</v>
      </c>
    </row>
    <row r="29" spans="1:27" ht="15.9">
      <c r="A29" s="312" t="s">
        <v>1262</v>
      </c>
      <c r="B29" s="343" t="s">
        <v>1224</v>
      </c>
      <c r="C29" s="344" t="s">
        <v>1224</v>
      </c>
      <c r="D29" s="344" t="s">
        <v>1224</v>
      </c>
      <c r="E29" s="344" t="s">
        <v>1224</v>
      </c>
      <c r="F29" s="344" t="s">
        <v>1224</v>
      </c>
      <c r="G29" s="344" t="s">
        <v>1224</v>
      </c>
      <c r="H29" s="344" t="s">
        <v>1224</v>
      </c>
      <c r="I29" s="344" t="s">
        <v>1224</v>
      </c>
      <c r="J29" s="344" t="s">
        <v>1224</v>
      </c>
      <c r="K29" s="345" t="s">
        <v>1224</v>
      </c>
      <c r="M29" s="344" t="s">
        <v>1224</v>
      </c>
      <c r="N29" s="344" t="s">
        <v>1224</v>
      </c>
      <c r="R29" s="344" t="str">
        <f t="shared" si="0"/>
        <v>Kin: Undead</v>
      </c>
      <c r="S29" s="310" t="str">
        <f t="shared" si="1"/>
        <v>Kin: Undead</v>
      </c>
      <c r="T29" s="310" t="str">
        <f t="shared" si="2"/>
        <v>Kin: Undead</v>
      </c>
      <c r="U29" s="310" t="str">
        <f t="shared" si="3"/>
        <v>Kin: Undead</v>
      </c>
      <c r="V29" s="310" t="str">
        <f t="shared" si="4"/>
        <v>Kin: Undead</v>
      </c>
      <c r="W29" s="310" t="str">
        <f t="shared" si="5"/>
        <v>Kin: Undead</v>
      </c>
      <c r="X29" s="310" t="str">
        <f t="shared" si="6"/>
        <v>Kin: Undead</v>
      </c>
      <c r="Y29" s="310" t="str">
        <f t="shared" si="7"/>
        <v>Kin: Undead</v>
      </c>
      <c r="Z29" s="310" t="str">
        <f t="shared" si="8"/>
        <v>Kin: Undead</v>
      </c>
      <c r="AA29" s="310" t="str">
        <f t="shared" si="9"/>
        <v>Kin: Undead</v>
      </c>
    </row>
    <row r="30" spans="1:27" ht="15.9">
      <c r="A30" s="346" t="s">
        <v>491</v>
      </c>
      <c r="B30" s="347" t="s">
        <v>1263</v>
      </c>
      <c r="C30" s="348" t="s">
        <v>1263</v>
      </c>
      <c r="D30" s="348" t="s">
        <v>1263</v>
      </c>
      <c r="E30" s="348" t="s">
        <v>1263</v>
      </c>
      <c r="F30" s="348" t="s">
        <v>1263</v>
      </c>
      <c r="G30" s="348" t="s">
        <v>1263</v>
      </c>
      <c r="H30" s="348" t="s">
        <v>1263</v>
      </c>
      <c r="I30" s="348" t="s">
        <v>1263</v>
      </c>
      <c r="J30" s="348" t="s">
        <v>1263</v>
      </c>
      <c r="K30" s="349" t="s">
        <v>1263</v>
      </c>
      <c r="M30" s="348" t="s">
        <v>1263</v>
      </c>
      <c r="N30" s="348" t="s">
        <v>1263</v>
      </c>
      <c r="R30" s="348" t="str">
        <f t="shared" si="0"/>
        <v>Health: 25/25</v>
      </c>
      <c r="S30" s="310" t="str">
        <f t="shared" si="1"/>
        <v>Health: 25/25</v>
      </c>
      <c r="T30" s="310" t="str">
        <f t="shared" si="2"/>
        <v>Health: 25/25</v>
      </c>
      <c r="U30" s="310" t="str">
        <f t="shared" si="3"/>
        <v>Health: 25/25</v>
      </c>
      <c r="V30" s="310" t="str">
        <f t="shared" si="4"/>
        <v>Health: 25/25</v>
      </c>
      <c r="W30" s="310" t="str">
        <f t="shared" si="5"/>
        <v>Health: 25/25</v>
      </c>
      <c r="X30" s="310" t="str">
        <f t="shared" si="6"/>
        <v>Health: 25/25</v>
      </c>
      <c r="Y30" s="310" t="str">
        <f t="shared" si="7"/>
        <v>Health: 25/25</v>
      </c>
      <c r="Z30" s="310" t="str">
        <f t="shared" si="8"/>
        <v>Health: 25/25</v>
      </c>
      <c r="AA30" s="310" t="str">
        <f t="shared" si="9"/>
        <v>Health: 25/25</v>
      </c>
    </row>
    <row r="31" spans="1:27" ht="15.9">
      <c r="A31" s="350" t="s">
        <v>1264</v>
      </c>
      <c r="B31" s="351" t="s">
        <v>1265</v>
      </c>
      <c r="C31" s="352" t="s">
        <v>1265</v>
      </c>
      <c r="D31" s="352" t="s">
        <v>1265</v>
      </c>
      <c r="E31" s="352" t="s">
        <v>1265</v>
      </c>
      <c r="F31" s="352" t="s">
        <v>1265</v>
      </c>
      <c r="G31" s="352" t="s">
        <v>1265</v>
      </c>
      <c r="H31" s="352" t="s">
        <v>1265</v>
      </c>
      <c r="I31" s="352" t="s">
        <v>1265</v>
      </c>
      <c r="J31" s="352" t="s">
        <v>1265</v>
      </c>
      <c r="K31" s="353" t="s">
        <v>1265</v>
      </c>
      <c r="M31" s="352" t="s">
        <v>1265</v>
      </c>
      <c r="N31" s="352" t="s">
        <v>1265</v>
      </c>
      <c r="R31" s="352" t="str">
        <f t="shared" si="0"/>
        <v>Mana/Resource: 50/50</v>
      </c>
      <c r="S31" s="310" t="str">
        <f t="shared" si="1"/>
        <v>Mana/Resource: 50/50</v>
      </c>
      <c r="T31" s="310" t="str">
        <f t="shared" si="2"/>
        <v>Mana/Resource: 50/50</v>
      </c>
      <c r="U31" s="310" t="str">
        <f t="shared" si="3"/>
        <v>Mana/Resource: 50/50</v>
      </c>
      <c r="V31" s="310" t="str">
        <f t="shared" si="4"/>
        <v>Mana/Resource: 50/50</v>
      </c>
      <c r="W31" s="310" t="str">
        <f t="shared" si="5"/>
        <v>Mana/Resource: 50/50</v>
      </c>
      <c r="X31" s="310" t="str">
        <f t="shared" si="6"/>
        <v>Mana/Resource: 50/50</v>
      </c>
      <c r="Y31" s="310" t="str">
        <f t="shared" si="7"/>
        <v>Mana/Resource: 50/50</v>
      </c>
      <c r="Z31" s="310" t="str">
        <f t="shared" si="8"/>
        <v>Mana/Resource: 50/50</v>
      </c>
      <c r="AA31" s="310" t="str">
        <f t="shared" si="9"/>
        <v>Mana/Resource: 50/50</v>
      </c>
    </row>
    <row r="32" spans="1:27" ht="15.9">
      <c r="A32" s="354" t="s">
        <v>495</v>
      </c>
      <c r="B32" s="355">
        <v>1</v>
      </c>
      <c r="C32" s="356">
        <v>1</v>
      </c>
      <c r="D32" s="356">
        <v>1</v>
      </c>
      <c r="E32" s="356">
        <v>1</v>
      </c>
      <c r="F32" s="356">
        <v>1</v>
      </c>
      <c r="G32" s="356">
        <v>1</v>
      </c>
      <c r="H32" s="356">
        <v>1</v>
      </c>
      <c r="I32" s="356">
        <v>1</v>
      </c>
      <c r="J32" s="356">
        <v>1</v>
      </c>
      <c r="K32" s="357">
        <v>1</v>
      </c>
      <c r="M32" s="356">
        <v>1</v>
      </c>
      <c r="N32" s="356">
        <v>1</v>
      </c>
      <c r="R32" s="356" t="str">
        <f t="shared" si="0"/>
        <v>Defense: 1</v>
      </c>
      <c r="S32" s="310" t="str">
        <f t="shared" si="1"/>
        <v>Defense: 1</v>
      </c>
      <c r="T32" s="310" t="str">
        <f t="shared" si="2"/>
        <v>Defense: 1</v>
      </c>
      <c r="U32" s="310" t="str">
        <f t="shared" si="3"/>
        <v>Defense: 1</v>
      </c>
      <c r="V32" s="310" t="str">
        <f t="shared" si="4"/>
        <v>Defense: 1</v>
      </c>
      <c r="W32" s="310" t="str">
        <f t="shared" si="5"/>
        <v>Defense: 1</v>
      </c>
      <c r="X32" s="310" t="str">
        <f t="shared" si="6"/>
        <v>Defense: 1</v>
      </c>
      <c r="Y32" s="310" t="str">
        <f t="shared" si="7"/>
        <v>Defense: 1</v>
      </c>
      <c r="Z32" s="310" t="str">
        <f t="shared" si="8"/>
        <v>Defense: 1</v>
      </c>
      <c r="AA32" s="310" t="str">
        <f t="shared" si="9"/>
        <v>Defense: 1</v>
      </c>
    </row>
    <row r="33" spans="1:27" ht="15.9">
      <c r="A33" s="358" t="s">
        <v>497</v>
      </c>
      <c r="B33" s="359">
        <v>1</v>
      </c>
      <c r="C33" s="360">
        <v>1</v>
      </c>
      <c r="D33" s="360">
        <v>1</v>
      </c>
      <c r="E33" s="360">
        <v>1</v>
      </c>
      <c r="F33" s="360">
        <v>1</v>
      </c>
      <c r="G33" s="360">
        <v>1</v>
      </c>
      <c r="H33" s="360">
        <v>1</v>
      </c>
      <c r="I33" s="360">
        <v>1</v>
      </c>
      <c r="J33" s="360">
        <v>1</v>
      </c>
      <c r="K33" s="361">
        <v>1</v>
      </c>
      <c r="M33" s="360">
        <v>1</v>
      </c>
      <c r="N33" s="360">
        <v>1</v>
      </c>
      <c r="R33" s="360" t="str">
        <f t="shared" si="0"/>
        <v>Dispersion: 1</v>
      </c>
      <c r="S33" s="310" t="str">
        <f t="shared" si="1"/>
        <v>Dispersion: 1</v>
      </c>
      <c r="T33" s="310" t="str">
        <f t="shared" si="2"/>
        <v>Dispersion: 1</v>
      </c>
      <c r="U33" s="310" t="str">
        <f t="shared" si="3"/>
        <v>Dispersion: 1</v>
      </c>
      <c r="V33" s="310" t="str">
        <f t="shared" si="4"/>
        <v>Dispersion: 1</v>
      </c>
      <c r="W33" s="310" t="str">
        <f t="shared" si="5"/>
        <v>Dispersion: 1</v>
      </c>
      <c r="X33" s="310" t="str">
        <f t="shared" si="6"/>
        <v>Dispersion: 1</v>
      </c>
      <c r="Y33" s="310" t="str">
        <f t="shared" si="7"/>
        <v>Dispersion: 1</v>
      </c>
      <c r="Z33" s="310" t="str">
        <f t="shared" si="8"/>
        <v>Dispersion: 1</v>
      </c>
      <c r="AA33" s="310" t="str">
        <f t="shared" si="9"/>
        <v>Dispersion: 1</v>
      </c>
    </row>
    <row r="34" spans="1:27" ht="15.9">
      <c r="A34" s="312" t="s">
        <v>1266</v>
      </c>
      <c r="B34" s="362">
        <v>0</v>
      </c>
      <c r="C34" s="363">
        <v>0</v>
      </c>
      <c r="D34" s="363">
        <v>0</v>
      </c>
      <c r="E34" s="363">
        <v>0</v>
      </c>
      <c r="F34" s="363">
        <v>0</v>
      </c>
      <c r="G34" s="363">
        <v>0</v>
      </c>
      <c r="H34" s="363">
        <v>0</v>
      </c>
      <c r="I34" s="363">
        <v>0</v>
      </c>
      <c r="J34" s="363">
        <v>0</v>
      </c>
      <c r="K34" s="364">
        <v>1</v>
      </c>
      <c r="M34" s="363">
        <v>0</v>
      </c>
      <c r="N34" s="363">
        <v>0</v>
      </c>
      <c r="R34" s="363" t="str">
        <f t="shared" si="0"/>
        <v>Light R: 0</v>
      </c>
      <c r="S34" s="310" t="str">
        <f t="shared" si="1"/>
        <v>Light R: 0</v>
      </c>
      <c r="T34" s="310" t="str">
        <f t="shared" si="2"/>
        <v>Light R: 0</v>
      </c>
      <c r="U34" s="310" t="str">
        <f t="shared" si="3"/>
        <v>Light R: 0</v>
      </c>
      <c r="V34" s="310" t="str">
        <f t="shared" si="4"/>
        <v>Light R: 0</v>
      </c>
      <c r="W34" s="310" t="str">
        <f t="shared" si="5"/>
        <v>Light R: 0</v>
      </c>
      <c r="X34" s="310" t="str">
        <f t="shared" si="6"/>
        <v>Light R: 0</v>
      </c>
      <c r="Y34" s="310" t="str">
        <f t="shared" si="7"/>
        <v>Light R: 0</v>
      </c>
      <c r="Z34" s="310" t="str">
        <f t="shared" si="8"/>
        <v>Light R: 0</v>
      </c>
      <c r="AA34" s="310" t="str">
        <f t="shared" si="9"/>
        <v>Light R: 1</v>
      </c>
    </row>
    <row r="35" spans="1:27" ht="15.9">
      <c r="A35" s="312" t="s">
        <v>1267</v>
      </c>
      <c r="B35" s="365">
        <v>0</v>
      </c>
      <c r="C35" s="366">
        <v>0</v>
      </c>
      <c r="D35" s="366">
        <v>0</v>
      </c>
      <c r="E35" s="366">
        <v>0</v>
      </c>
      <c r="F35" s="366">
        <v>0</v>
      </c>
      <c r="G35" s="366">
        <v>0</v>
      </c>
      <c r="H35" s="366">
        <v>0</v>
      </c>
      <c r="I35" s="366">
        <v>0</v>
      </c>
      <c r="J35" s="366">
        <v>1</v>
      </c>
      <c r="K35" s="367">
        <v>0</v>
      </c>
      <c r="M35" s="366">
        <v>1</v>
      </c>
      <c r="N35" s="366">
        <v>1</v>
      </c>
      <c r="R35" s="366" t="str">
        <f t="shared" si="0"/>
        <v>Dark R: 0</v>
      </c>
      <c r="S35" s="310" t="str">
        <f t="shared" si="1"/>
        <v>Dark R: 0</v>
      </c>
      <c r="T35" s="310" t="str">
        <f t="shared" si="2"/>
        <v>Dark R: 0</v>
      </c>
      <c r="U35" s="310" t="str">
        <f t="shared" si="3"/>
        <v>Dark R: 0</v>
      </c>
      <c r="V35" s="310" t="str">
        <f t="shared" si="4"/>
        <v>Dark R: 0</v>
      </c>
      <c r="W35" s="310" t="str">
        <f t="shared" si="5"/>
        <v>Dark R: 0</v>
      </c>
      <c r="X35" s="310" t="str">
        <f t="shared" si="6"/>
        <v>Dark R: 0</v>
      </c>
      <c r="Y35" s="310" t="str">
        <f t="shared" si="7"/>
        <v>Dark R: 0</v>
      </c>
      <c r="Z35" s="310" t="str">
        <f t="shared" si="8"/>
        <v>Dark R: 1</v>
      </c>
      <c r="AA35" s="310" t="str">
        <f t="shared" si="9"/>
        <v>Dark R: 0</v>
      </c>
    </row>
    <row r="36" spans="1:27" ht="15.9">
      <c r="A36" s="312" t="s">
        <v>1268</v>
      </c>
      <c r="B36" s="368">
        <v>0</v>
      </c>
      <c r="C36" s="369">
        <v>0</v>
      </c>
      <c r="D36" s="369">
        <v>0</v>
      </c>
      <c r="E36" s="369">
        <v>0</v>
      </c>
      <c r="F36" s="369">
        <v>0</v>
      </c>
      <c r="G36" s="369">
        <v>0</v>
      </c>
      <c r="H36" s="369">
        <v>1</v>
      </c>
      <c r="I36" s="369">
        <v>0</v>
      </c>
      <c r="J36" s="369">
        <v>0</v>
      </c>
      <c r="K36" s="370">
        <v>0</v>
      </c>
      <c r="M36" s="369">
        <v>0</v>
      </c>
      <c r="N36" s="369">
        <v>0</v>
      </c>
      <c r="R36" s="369" t="str">
        <f t="shared" si="0"/>
        <v>Fire R: 0</v>
      </c>
      <c r="S36" s="310" t="str">
        <f t="shared" si="1"/>
        <v>Fire R: 0</v>
      </c>
      <c r="T36" s="310" t="str">
        <f t="shared" si="2"/>
        <v>Fire R: 0</v>
      </c>
      <c r="U36" s="310" t="str">
        <f t="shared" si="3"/>
        <v>Fire R: 0</v>
      </c>
      <c r="V36" s="310" t="str">
        <f t="shared" si="4"/>
        <v>Fire R: 0</v>
      </c>
      <c r="W36" s="310" t="str">
        <f t="shared" si="5"/>
        <v>Fire R: 0</v>
      </c>
      <c r="X36" s="310" t="str">
        <f t="shared" si="6"/>
        <v>Fire R: 1</v>
      </c>
      <c r="Y36" s="310" t="str">
        <f t="shared" si="7"/>
        <v>Fire R: 0</v>
      </c>
      <c r="Z36" s="310" t="str">
        <f t="shared" si="8"/>
        <v>Fire R: 0</v>
      </c>
      <c r="AA36" s="310" t="str">
        <f t="shared" si="9"/>
        <v>Fire R: 0</v>
      </c>
    </row>
    <row r="37" spans="1:27" ht="15.9">
      <c r="A37" s="312" t="s">
        <v>1269</v>
      </c>
      <c r="B37" s="371">
        <v>0</v>
      </c>
      <c r="C37" s="372">
        <v>0</v>
      </c>
      <c r="D37" s="372">
        <v>1</v>
      </c>
      <c r="E37" s="372">
        <v>0</v>
      </c>
      <c r="F37" s="372">
        <v>0</v>
      </c>
      <c r="G37" s="372">
        <v>0</v>
      </c>
      <c r="H37" s="372">
        <v>0</v>
      </c>
      <c r="I37" s="372">
        <v>0</v>
      </c>
      <c r="J37" s="372">
        <v>0</v>
      </c>
      <c r="K37" s="373">
        <v>0</v>
      </c>
      <c r="M37" s="372">
        <v>0</v>
      </c>
      <c r="N37" s="372">
        <v>0</v>
      </c>
      <c r="R37" s="372" t="str">
        <f t="shared" si="0"/>
        <v>Frost R: 0</v>
      </c>
      <c r="S37" s="310" t="str">
        <f t="shared" si="1"/>
        <v>Frost R: 0</v>
      </c>
      <c r="T37" s="310" t="str">
        <f t="shared" si="2"/>
        <v>Frost R: 1</v>
      </c>
      <c r="U37" s="310" t="str">
        <f t="shared" si="3"/>
        <v>Frost R: 0</v>
      </c>
      <c r="V37" s="310" t="str">
        <f t="shared" si="4"/>
        <v>Frost R: 0</v>
      </c>
      <c r="W37" s="310" t="str">
        <f t="shared" si="5"/>
        <v>Frost R: 0</v>
      </c>
      <c r="X37" s="310" t="str">
        <f t="shared" si="6"/>
        <v>Frost R: 0</v>
      </c>
      <c r="Y37" s="310" t="str">
        <f t="shared" si="7"/>
        <v>Frost R: 0</v>
      </c>
      <c r="Z37" s="310" t="str">
        <f t="shared" si="8"/>
        <v>Frost R: 0</v>
      </c>
      <c r="AA37" s="310" t="str">
        <f t="shared" si="9"/>
        <v>Frost R: 0</v>
      </c>
    </row>
    <row r="38" spans="1:27" ht="15.9">
      <c r="A38" s="374" t="s">
        <v>1270</v>
      </c>
      <c r="B38" s="375">
        <v>0</v>
      </c>
      <c r="C38" s="376">
        <v>0</v>
      </c>
      <c r="D38" s="376">
        <v>0</v>
      </c>
      <c r="E38" s="376">
        <v>0</v>
      </c>
      <c r="F38" s="376">
        <v>1</v>
      </c>
      <c r="G38" s="376">
        <v>0</v>
      </c>
      <c r="H38" s="376">
        <v>0</v>
      </c>
      <c r="I38" s="376">
        <v>0</v>
      </c>
      <c r="J38" s="376">
        <v>0</v>
      </c>
      <c r="K38" s="377">
        <v>0</v>
      </c>
      <c r="M38" s="376">
        <v>0</v>
      </c>
      <c r="N38" s="376">
        <v>0</v>
      </c>
      <c r="R38" s="376" t="str">
        <f t="shared" si="0"/>
        <v>Wind R: 0</v>
      </c>
      <c r="S38" s="310" t="str">
        <f t="shared" si="1"/>
        <v>Wind R: 0</v>
      </c>
      <c r="T38" s="310" t="str">
        <f t="shared" si="2"/>
        <v>Wind R: 0</v>
      </c>
      <c r="U38" s="310" t="str">
        <f t="shared" si="3"/>
        <v>Wind R: 0</v>
      </c>
      <c r="V38" s="310" t="str">
        <f t="shared" si="4"/>
        <v>Wind R: 1</v>
      </c>
      <c r="W38" s="310" t="str">
        <f t="shared" si="5"/>
        <v>Wind R: 0</v>
      </c>
      <c r="X38" s="310" t="str">
        <f t="shared" si="6"/>
        <v>Wind R: 0</v>
      </c>
      <c r="Y38" s="310" t="str">
        <f t="shared" si="7"/>
        <v>Wind R: 0</v>
      </c>
      <c r="Z38" s="310" t="str">
        <f t="shared" si="8"/>
        <v>Wind R: 0</v>
      </c>
      <c r="AA38" s="310" t="str">
        <f t="shared" si="9"/>
        <v>Wind R: 0</v>
      </c>
    </row>
    <row r="39" spans="1:27" ht="15.9">
      <c r="A39" s="312" t="s">
        <v>1271</v>
      </c>
      <c r="B39" s="378">
        <v>0</v>
      </c>
      <c r="C39" s="379">
        <v>0</v>
      </c>
      <c r="D39" s="379">
        <v>0</v>
      </c>
      <c r="E39" s="379">
        <v>0</v>
      </c>
      <c r="F39" s="379">
        <v>0</v>
      </c>
      <c r="G39" s="379">
        <v>0</v>
      </c>
      <c r="H39" s="379">
        <v>0</v>
      </c>
      <c r="I39" s="379">
        <v>1</v>
      </c>
      <c r="J39" s="379">
        <v>0</v>
      </c>
      <c r="K39" s="380">
        <v>0</v>
      </c>
      <c r="M39" s="379">
        <v>0</v>
      </c>
      <c r="N39" s="379">
        <v>0</v>
      </c>
      <c r="R39" s="379" t="str">
        <f t="shared" si="0"/>
        <v>Earth R: 0</v>
      </c>
      <c r="S39" s="310" t="str">
        <f t="shared" si="1"/>
        <v>Earth R: 0</v>
      </c>
      <c r="T39" s="310" t="str">
        <f t="shared" si="2"/>
        <v>Earth R: 0</v>
      </c>
      <c r="U39" s="310" t="str">
        <f t="shared" si="3"/>
        <v>Earth R: 0</v>
      </c>
      <c r="V39" s="310" t="str">
        <f t="shared" si="4"/>
        <v>Earth R: 0</v>
      </c>
      <c r="W39" s="310" t="str">
        <f t="shared" si="5"/>
        <v>Earth R: 0</v>
      </c>
      <c r="X39" s="310" t="str">
        <f t="shared" si="6"/>
        <v>Earth R: 0</v>
      </c>
      <c r="Y39" s="310" t="str">
        <f t="shared" si="7"/>
        <v>Earth R: 1</v>
      </c>
      <c r="Z39" s="310" t="str">
        <f t="shared" si="8"/>
        <v>Earth R: 0</v>
      </c>
      <c r="AA39" s="310" t="str">
        <f t="shared" si="9"/>
        <v>Earth R: 0</v>
      </c>
    </row>
    <row r="40" spans="1:27" ht="15.9">
      <c r="A40" s="312" t="s">
        <v>1272</v>
      </c>
      <c r="B40" s="381">
        <v>0</v>
      </c>
      <c r="C40" s="382">
        <v>0</v>
      </c>
      <c r="D40" s="382">
        <v>0</v>
      </c>
      <c r="E40" s="382">
        <v>1</v>
      </c>
      <c r="F40" s="382">
        <v>0</v>
      </c>
      <c r="G40" s="382">
        <v>0</v>
      </c>
      <c r="H40" s="382">
        <v>0</v>
      </c>
      <c r="I40" s="382">
        <v>0</v>
      </c>
      <c r="J40" s="382">
        <v>0</v>
      </c>
      <c r="K40" s="383">
        <v>0</v>
      </c>
      <c r="M40" s="382">
        <v>0</v>
      </c>
      <c r="N40" s="382">
        <v>0</v>
      </c>
      <c r="R40" s="382" t="str">
        <f t="shared" si="0"/>
        <v>Lightning R: 0</v>
      </c>
      <c r="S40" s="310" t="str">
        <f t="shared" si="1"/>
        <v>Lightning R: 0</v>
      </c>
      <c r="T40" s="310" t="str">
        <f t="shared" si="2"/>
        <v>Lightning R: 0</v>
      </c>
      <c r="U40" s="310" t="str">
        <f t="shared" si="3"/>
        <v>Lightning R: 1</v>
      </c>
      <c r="V40" s="310" t="str">
        <f t="shared" si="4"/>
        <v>Lightning R: 0</v>
      </c>
      <c r="W40" s="310" t="str">
        <f t="shared" si="5"/>
        <v>Lightning R: 0</v>
      </c>
      <c r="X40" s="310" t="str">
        <f t="shared" si="6"/>
        <v>Lightning R: 0</v>
      </c>
      <c r="Y40" s="310" t="str">
        <f t="shared" si="7"/>
        <v>Lightning R: 0</v>
      </c>
      <c r="Z40" s="310" t="str">
        <f t="shared" si="8"/>
        <v>Lightning R: 0</v>
      </c>
      <c r="AA40" s="310" t="str">
        <f t="shared" si="9"/>
        <v>Lightning R: 0</v>
      </c>
    </row>
    <row r="41" spans="1:27" ht="15.9">
      <c r="A41" s="312" t="s">
        <v>1273</v>
      </c>
      <c r="B41" s="384">
        <v>1</v>
      </c>
      <c r="C41" s="385">
        <v>0</v>
      </c>
      <c r="D41" s="385">
        <v>0</v>
      </c>
      <c r="E41" s="385">
        <v>0</v>
      </c>
      <c r="F41" s="385">
        <v>0</v>
      </c>
      <c r="G41" s="385">
        <v>1</v>
      </c>
      <c r="H41" s="385">
        <v>0</v>
      </c>
      <c r="I41" s="385">
        <v>0</v>
      </c>
      <c r="J41" s="385">
        <v>0</v>
      </c>
      <c r="K41" s="386">
        <v>0</v>
      </c>
      <c r="M41" s="385">
        <v>0</v>
      </c>
      <c r="N41" s="385">
        <v>0</v>
      </c>
      <c r="R41" s="385" t="str">
        <f t="shared" si="0"/>
        <v>Bleed R: 1</v>
      </c>
      <c r="S41" s="310" t="str">
        <f t="shared" si="1"/>
        <v>Bleed R: 0</v>
      </c>
      <c r="T41" s="310" t="str">
        <f t="shared" si="2"/>
        <v>Bleed R: 0</v>
      </c>
      <c r="U41" s="310" t="str">
        <f t="shared" si="3"/>
        <v>Bleed R: 0</v>
      </c>
      <c r="V41" s="310" t="str">
        <f t="shared" si="4"/>
        <v>Bleed R: 0</v>
      </c>
      <c r="W41" s="310" t="str">
        <f t="shared" si="5"/>
        <v>Bleed R: 1</v>
      </c>
      <c r="X41" s="310" t="str">
        <f t="shared" si="6"/>
        <v>Bleed R: 0</v>
      </c>
      <c r="Y41" s="310" t="str">
        <f t="shared" si="7"/>
        <v>Bleed R: 0</v>
      </c>
      <c r="Z41" s="310" t="str">
        <f t="shared" si="8"/>
        <v>Bleed R: 0</v>
      </c>
      <c r="AA41" s="310" t="str">
        <f t="shared" si="9"/>
        <v>Bleed R: 0</v>
      </c>
    </row>
    <row r="42" spans="1:27" ht="15.9">
      <c r="A42" s="312" t="s">
        <v>1274</v>
      </c>
      <c r="B42" s="387">
        <v>1</v>
      </c>
      <c r="C42" s="388">
        <v>1</v>
      </c>
      <c r="D42" s="388">
        <v>0</v>
      </c>
      <c r="E42" s="388">
        <v>0</v>
      </c>
      <c r="F42" s="388">
        <v>0</v>
      </c>
      <c r="G42" s="388">
        <v>0</v>
      </c>
      <c r="H42" s="388">
        <v>0</v>
      </c>
      <c r="I42" s="388">
        <v>0</v>
      </c>
      <c r="J42" s="388">
        <v>0</v>
      </c>
      <c r="K42" s="389">
        <v>0</v>
      </c>
      <c r="M42" s="388">
        <v>0</v>
      </c>
      <c r="N42" s="388">
        <v>0</v>
      </c>
      <c r="R42" s="388" t="str">
        <f t="shared" si="0"/>
        <v>Poison R: 1</v>
      </c>
      <c r="S42" s="310" t="str">
        <f t="shared" si="1"/>
        <v>Poison R: 1</v>
      </c>
      <c r="T42" s="310" t="str">
        <f t="shared" si="2"/>
        <v>Poison R: 0</v>
      </c>
      <c r="U42" s="310" t="str">
        <f t="shared" si="3"/>
        <v>Poison R: 0</v>
      </c>
      <c r="V42" s="310" t="str">
        <f t="shared" si="4"/>
        <v>Poison R: 0</v>
      </c>
      <c r="W42" s="310" t="str">
        <f t="shared" si="5"/>
        <v>Poison R: 0</v>
      </c>
      <c r="X42" s="310" t="str">
        <f t="shared" si="6"/>
        <v>Poison R: 0</v>
      </c>
      <c r="Y42" s="310" t="str">
        <f t="shared" si="7"/>
        <v>Poison R: 0</v>
      </c>
      <c r="Z42" s="310" t="str">
        <f t="shared" si="8"/>
        <v>Poison R: 0</v>
      </c>
      <c r="AA42" s="310" t="str">
        <f t="shared" si="9"/>
        <v>Poison R: 0</v>
      </c>
    </row>
    <row r="43" spans="1:27" ht="15.9">
      <c r="A43" s="312" t="s">
        <v>519</v>
      </c>
      <c r="B43" s="355">
        <v>1</v>
      </c>
      <c r="C43" s="356">
        <v>1</v>
      </c>
      <c r="D43" s="356">
        <v>1</v>
      </c>
      <c r="E43" s="356">
        <v>1</v>
      </c>
      <c r="F43" s="356">
        <v>1</v>
      </c>
      <c r="G43" s="356">
        <v>1</v>
      </c>
      <c r="H43" s="356">
        <v>1</v>
      </c>
      <c r="I43" s="356">
        <v>1</v>
      </c>
      <c r="J43" s="356">
        <v>1</v>
      </c>
      <c r="K43" s="390">
        <v>1</v>
      </c>
      <c r="M43" s="356">
        <v>1</v>
      </c>
      <c r="N43" s="356">
        <v>1</v>
      </c>
      <c r="R43" s="356" t="str">
        <f t="shared" si="0"/>
        <v>Strength: 1</v>
      </c>
      <c r="S43" s="310" t="str">
        <f t="shared" si="1"/>
        <v>Strength: 1</v>
      </c>
      <c r="T43" s="310" t="str">
        <f t="shared" si="2"/>
        <v>Strength: 1</v>
      </c>
      <c r="U43" s="310" t="str">
        <f t="shared" si="3"/>
        <v>Strength: 1</v>
      </c>
      <c r="V43" s="310" t="str">
        <f t="shared" si="4"/>
        <v>Strength: 1</v>
      </c>
      <c r="W43" s="310" t="str">
        <f t="shared" si="5"/>
        <v>Strength: 1</v>
      </c>
      <c r="X43" s="310" t="str">
        <f t="shared" si="6"/>
        <v>Strength: 1</v>
      </c>
      <c r="Y43" s="310" t="str">
        <f t="shared" si="7"/>
        <v>Strength: 1</v>
      </c>
      <c r="Z43" s="310" t="str">
        <f t="shared" si="8"/>
        <v>Strength: 1</v>
      </c>
      <c r="AA43" s="310" t="str">
        <f t="shared" si="9"/>
        <v>Strength: 1</v>
      </c>
    </row>
    <row r="44" spans="1:27" ht="15.9">
      <c r="A44" s="312" t="s">
        <v>521</v>
      </c>
      <c r="B44" s="355">
        <v>1</v>
      </c>
      <c r="C44" s="356">
        <v>1</v>
      </c>
      <c r="D44" s="356">
        <v>1</v>
      </c>
      <c r="E44" s="356">
        <v>1</v>
      </c>
      <c r="F44" s="356">
        <v>1</v>
      </c>
      <c r="G44" s="356">
        <v>1</v>
      </c>
      <c r="H44" s="356">
        <v>1</v>
      </c>
      <c r="I44" s="356">
        <v>1</v>
      </c>
      <c r="J44" s="356">
        <v>1</v>
      </c>
      <c r="K44" s="390">
        <v>1</v>
      </c>
      <c r="M44" s="356">
        <v>1</v>
      </c>
      <c r="N44" s="356">
        <v>1</v>
      </c>
      <c r="R44" s="356" t="str">
        <f t="shared" si="0"/>
        <v>Dexterity: 1</v>
      </c>
      <c r="S44" s="310" t="str">
        <f t="shared" si="1"/>
        <v>Dexterity: 1</v>
      </c>
      <c r="T44" s="310" t="str">
        <f t="shared" si="2"/>
        <v>Dexterity: 1</v>
      </c>
      <c r="U44" s="310" t="str">
        <f t="shared" si="3"/>
        <v>Dexterity: 1</v>
      </c>
      <c r="V44" s="310" t="str">
        <f t="shared" si="4"/>
        <v>Dexterity: 1</v>
      </c>
      <c r="W44" s="310" t="str">
        <f t="shared" si="5"/>
        <v>Dexterity: 1</v>
      </c>
      <c r="X44" s="310" t="str">
        <f t="shared" si="6"/>
        <v>Dexterity: 1</v>
      </c>
      <c r="Y44" s="310" t="str">
        <f t="shared" si="7"/>
        <v>Dexterity: 1</v>
      </c>
      <c r="Z44" s="310" t="str">
        <f t="shared" si="8"/>
        <v>Dexterity: 1</v>
      </c>
      <c r="AA44" s="310" t="str">
        <f t="shared" si="9"/>
        <v>Dexterity: 1</v>
      </c>
    </row>
    <row r="45" spans="1:27" ht="15.9">
      <c r="A45" s="312" t="s">
        <v>522</v>
      </c>
      <c r="B45" s="391">
        <v>1</v>
      </c>
      <c r="C45" s="392">
        <v>1</v>
      </c>
      <c r="D45" s="392">
        <v>1</v>
      </c>
      <c r="E45" s="392">
        <v>1</v>
      </c>
      <c r="F45" s="392">
        <v>1</v>
      </c>
      <c r="G45" s="392">
        <v>1</v>
      </c>
      <c r="H45" s="392">
        <v>1</v>
      </c>
      <c r="I45" s="392">
        <v>1</v>
      </c>
      <c r="J45" s="392">
        <v>1</v>
      </c>
      <c r="K45" s="393">
        <v>1</v>
      </c>
      <c r="M45" s="392">
        <v>1</v>
      </c>
      <c r="N45" s="392">
        <v>1</v>
      </c>
      <c r="R45" s="392" t="str">
        <f t="shared" si="0"/>
        <v>Power: 1</v>
      </c>
      <c r="S45" s="310" t="str">
        <f t="shared" si="1"/>
        <v>Power: 1</v>
      </c>
      <c r="T45" s="310" t="str">
        <f t="shared" si="2"/>
        <v>Power: 1</v>
      </c>
      <c r="U45" s="310" t="str">
        <f t="shared" si="3"/>
        <v>Power: 1</v>
      </c>
      <c r="V45" s="310" t="str">
        <f t="shared" si="4"/>
        <v>Power: 1</v>
      </c>
      <c r="W45" s="310" t="str">
        <f t="shared" si="5"/>
        <v>Power: 1</v>
      </c>
      <c r="X45" s="310" t="str">
        <f t="shared" si="6"/>
        <v>Power: 1</v>
      </c>
      <c r="Y45" s="310" t="str">
        <f t="shared" si="7"/>
        <v>Power: 1</v>
      </c>
      <c r="Z45" s="310" t="str">
        <f t="shared" si="8"/>
        <v>Power: 1</v>
      </c>
      <c r="AA45" s="310" t="str">
        <f t="shared" si="9"/>
        <v>Power: 1</v>
      </c>
    </row>
    <row r="46" spans="1:27" ht="15.9">
      <c r="A46" s="312" t="s">
        <v>13</v>
      </c>
      <c r="B46" s="355" t="s">
        <v>1275</v>
      </c>
      <c r="C46" s="356" t="s">
        <v>1275</v>
      </c>
      <c r="D46" s="356" t="s">
        <v>1275</v>
      </c>
      <c r="E46" s="356" t="s">
        <v>1275</v>
      </c>
      <c r="F46" s="356" t="s">
        <v>1275</v>
      </c>
      <c r="G46" s="356" t="s">
        <v>1275</v>
      </c>
      <c r="H46" s="356" t="s">
        <v>1275</v>
      </c>
      <c r="I46" s="356" t="s">
        <v>1275</v>
      </c>
      <c r="J46" s="356" t="s">
        <v>1275</v>
      </c>
      <c r="K46" s="390" t="s">
        <v>1275</v>
      </c>
      <c r="M46" s="356" t="s">
        <v>1275</v>
      </c>
      <c r="N46" s="356" t="s">
        <v>1275</v>
      </c>
      <c r="R46" s="356" t="str">
        <f t="shared" si="0"/>
        <v>Basic Attack: Claws 12 P.D. (16 Crit)</v>
      </c>
      <c r="S46" s="310" t="str">
        <f t="shared" si="1"/>
        <v>Basic Attack: Claws 12 P.D. (16 Crit)</v>
      </c>
      <c r="T46" s="310" t="str">
        <f t="shared" si="2"/>
        <v>Basic Attack: Claws 12 P.D. (16 Crit)</v>
      </c>
      <c r="U46" s="310" t="str">
        <f t="shared" si="3"/>
        <v>Basic Attack: Claws 12 P.D. (16 Crit)</v>
      </c>
      <c r="V46" s="310" t="str">
        <f t="shared" si="4"/>
        <v>Basic Attack: Claws 12 P.D. (16 Crit)</v>
      </c>
      <c r="W46" s="310" t="str">
        <f t="shared" si="5"/>
        <v>Basic Attack: Claws 12 P.D. (16 Crit)</v>
      </c>
      <c r="X46" s="310" t="str">
        <f t="shared" si="6"/>
        <v>Basic Attack: Claws 12 P.D. (16 Crit)</v>
      </c>
      <c r="Y46" s="310" t="str">
        <f t="shared" si="7"/>
        <v>Basic Attack: Claws 12 P.D. (16 Crit)</v>
      </c>
      <c r="Z46" s="310" t="str">
        <f t="shared" si="8"/>
        <v>Basic Attack: Claws 12 P.D. (16 Crit)</v>
      </c>
      <c r="AA46" s="310" t="str">
        <f t="shared" si="9"/>
        <v>Basic Attack: Claws 12 P.D. (16 Crit)</v>
      </c>
    </row>
    <row r="47" spans="1:27" ht="15.9">
      <c r="A47" s="394" t="s">
        <v>533</v>
      </c>
      <c r="B47" s="395" t="s">
        <v>1276</v>
      </c>
      <c r="C47" s="395" t="s">
        <v>1276</v>
      </c>
      <c r="D47" s="395" t="s">
        <v>1276</v>
      </c>
      <c r="E47" s="395" t="s">
        <v>1276</v>
      </c>
      <c r="F47" s="395" t="s">
        <v>1276</v>
      </c>
      <c r="G47" s="395" t="s">
        <v>1276</v>
      </c>
      <c r="H47" s="395" t="s">
        <v>1276</v>
      </c>
      <c r="I47" s="395" t="s">
        <v>1276</v>
      </c>
      <c r="J47" s="395" t="s">
        <v>1276</v>
      </c>
      <c r="K47" s="395" t="s">
        <v>1276</v>
      </c>
      <c r="M47" s="396" t="s">
        <v>1277</v>
      </c>
      <c r="N47" s="396" t="s">
        <v>1277</v>
      </c>
      <c r="R47" s="396" t="str">
        <f t="shared" si="0"/>
        <v>Stamina: 3/3</v>
      </c>
      <c r="S47" s="310" t="str">
        <f t="shared" si="1"/>
        <v>Stamina: 3/3</v>
      </c>
      <c r="T47" s="310" t="str">
        <f t="shared" si="2"/>
        <v>Stamina: 3/3</v>
      </c>
      <c r="U47" s="310" t="str">
        <f t="shared" si="3"/>
        <v>Stamina: 3/3</v>
      </c>
      <c r="V47" s="310" t="str">
        <f t="shared" si="4"/>
        <v>Stamina: 3/3</v>
      </c>
      <c r="W47" s="310" t="str">
        <f t="shared" si="5"/>
        <v>Stamina: 3/3</v>
      </c>
      <c r="X47" s="310" t="str">
        <f t="shared" si="6"/>
        <v>Stamina: 3/3</v>
      </c>
      <c r="Y47" s="310" t="str">
        <f t="shared" si="7"/>
        <v>Stamina: 3/3</v>
      </c>
      <c r="Z47" s="310" t="str">
        <f t="shared" si="8"/>
        <v>Stamina: 3/3</v>
      </c>
      <c r="AA47" s="310" t="str">
        <f t="shared" si="9"/>
        <v>Stamina: 3/3</v>
      </c>
    </row>
    <row r="48" spans="1:27" ht="15.9">
      <c r="A48" s="312" t="s">
        <v>1278</v>
      </c>
      <c r="B48" s="365">
        <v>0</v>
      </c>
      <c r="C48" s="366">
        <v>0</v>
      </c>
      <c r="D48" s="366">
        <v>0</v>
      </c>
      <c r="E48" s="366">
        <v>0</v>
      </c>
      <c r="F48" s="366">
        <v>0</v>
      </c>
      <c r="G48" s="366">
        <v>0</v>
      </c>
      <c r="H48" s="366">
        <v>0</v>
      </c>
      <c r="I48" s="366">
        <v>0</v>
      </c>
      <c r="J48" s="366">
        <v>0</v>
      </c>
      <c r="K48" s="397">
        <v>0</v>
      </c>
      <c r="M48" s="366">
        <v>0</v>
      </c>
      <c r="N48" s="366">
        <v>0</v>
      </c>
      <c r="R48" s="366" t="str">
        <f t="shared" si="0"/>
        <v>Deflect: 0</v>
      </c>
      <c r="S48" s="310" t="str">
        <f t="shared" si="1"/>
        <v>Deflect: 0</v>
      </c>
      <c r="T48" s="310" t="str">
        <f t="shared" si="2"/>
        <v>Deflect: 0</v>
      </c>
      <c r="U48" s="310" t="str">
        <f t="shared" si="3"/>
        <v>Deflect: 0</v>
      </c>
      <c r="V48" s="310" t="str">
        <f t="shared" si="4"/>
        <v>Deflect: 0</v>
      </c>
      <c r="W48" s="310" t="str">
        <f t="shared" si="5"/>
        <v>Deflect: 0</v>
      </c>
      <c r="X48" s="310" t="str">
        <f t="shared" si="6"/>
        <v>Deflect: 0</v>
      </c>
      <c r="Y48" s="310" t="str">
        <f t="shared" si="7"/>
        <v>Deflect: 0</v>
      </c>
      <c r="Z48" s="310" t="str">
        <f t="shared" si="8"/>
        <v>Deflect: 0</v>
      </c>
      <c r="AA48" s="310" t="str">
        <f t="shared" si="9"/>
        <v>Deflect: 0</v>
      </c>
    </row>
    <row r="49" spans="1:27" ht="15.9">
      <c r="A49" s="312" t="s">
        <v>35</v>
      </c>
      <c r="B49" s="398" t="s">
        <v>1279</v>
      </c>
      <c r="C49" s="399" t="s">
        <v>1279</v>
      </c>
      <c r="D49" s="399" t="s">
        <v>1279</v>
      </c>
      <c r="E49" s="399" t="s">
        <v>1279</v>
      </c>
      <c r="F49" s="399" t="s">
        <v>1280</v>
      </c>
      <c r="G49" s="399" t="s">
        <v>1279</v>
      </c>
      <c r="H49" s="399" t="s">
        <v>1279</v>
      </c>
      <c r="I49" s="399" t="s">
        <v>1279</v>
      </c>
      <c r="J49" s="399" t="s">
        <v>1279</v>
      </c>
      <c r="K49" s="400" t="s">
        <v>1279</v>
      </c>
      <c r="M49" s="399" t="s">
        <v>1281</v>
      </c>
      <c r="N49" s="399" t="s">
        <v>1281</v>
      </c>
      <c r="R49" s="399" t="str">
        <f t="shared" si="0"/>
        <v>Loot: Bone Marrow + Common Ore</v>
      </c>
      <c r="S49" s="310" t="str">
        <f t="shared" si="1"/>
        <v>Loot: Bone Marrow + Common Ore</v>
      </c>
      <c r="T49" s="310" t="str">
        <f t="shared" si="2"/>
        <v>Loot: Bone Marrow + Common Ore</v>
      </c>
      <c r="U49" s="310" t="str">
        <f t="shared" si="3"/>
        <v>Loot: Bone Marrow + Common Ore</v>
      </c>
      <c r="V49" s="310" t="str">
        <f t="shared" si="4"/>
        <v>Loot: Bone Marrow + Whistling Sap + Common Ore</v>
      </c>
      <c r="W49" s="310" t="str">
        <f t="shared" si="5"/>
        <v>Loot: Bone Marrow + Common Ore</v>
      </c>
      <c r="X49" s="310" t="str">
        <f t="shared" si="6"/>
        <v>Loot: Bone Marrow + Common Ore</v>
      </c>
      <c r="Y49" s="310" t="str">
        <f t="shared" si="7"/>
        <v>Loot: Bone Marrow + Common Ore</v>
      </c>
      <c r="Z49" s="310" t="str">
        <f t="shared" si="8"/>
        <v>Loot: Bone Marrow + Common Ore</v>
      </c>
      <c r="AA49" s="310" t="str">
        <f t="shared" si="9"/>
        <v>Loot: Bone Marrow + Common Ore</v>
      </c>
    </row>
    <row r="50" spans="1:27" ht="15.9">
      <c r="A50" s="312" t="s">
        <v>1282</v>
      </c>
      <c r="B50" s="401">
        <v>100</v>
      </c>
      <c r="C50" s="401">
        <v>100</v>
      </c>
      <c r="D50" s="401">
        <v>100</v>
      </c>
      <c r="E50" s="401">
        <v>100</v>
      </c>
      <c r="F50" s="401">
        <v>100</v>
      </c>
      <c r="G50" s="401">
        <v>100</v>
      </c>
      <c r="H50" s="401">
        <v>100</v>
      </c>
      <c r="I50" s="401">
        <v>100</v>
      </c>
      <c r="J50" s="401">
        <v>100</v>
      </c>
      <c r="K50" s="401">
        <v>100</v>
      </c>
      <c r="M50" s="402">
        <v>100</v>
      </c>
      <c r="N50" s="402">
        <v>100</v>
      </c>
      <c r="R50" s="402" t="str">
        <f t="shared" si="0"/>
        <v>Experience Gained: 100</v>
      </c>
      <c r="S50" s="310" t="str">
        <f t="shared" si="1"/>
        <v>Experience Gained: 100</v>
      </c>
      <c r="T50" s="310" t="str">
        <f t="shared" si="2"/>
        <v>Experience Gained: 100</v>
      </c>
      <c r="U50" s="310" t="str">
        <f t="shared" si="3"/>
        <v>Experience Gained: 100</v>
      </c>
      <c r="V50" s="310" t="str">
        <f t="shared" si="4"/>
        <v>Experience Gained: 100</v>
      </c>
      <c r="W50" s="310" t="str">
        <f t="shared" si="5"/>
        <v>Experience Gained: 100</v>
      </c>
      <c r="X50" s="310" t="str">
        <f t="shared" si="6"/>
        <v>Experience Gained: 100</v>
      </c>
      <c r="Y50" s="310" t="str">
        <f t="shared" si="7"/>
        <v>Experience Gained: 100</v>
      </c>
      <c r="Z50" s="310" t="str">
        <f t="shared" si="8"/>
        <v>Experience Gained: 100</v>
      </c>
      <c r="AA50" s="310" t="str">
        <f t="shared" si="9"/>
        <v>Experience Gained: 100</v>
      </c>
    </row>
    <row r="51" spans="1:27" ht="15.9">
      <c r="A51" s="312" t="s">
        <v>1283</v>
      </c>
      <c r="B51" s="401" t="s">
        <v>1284</v>
      </c>
      <c r="C51" s="402" t="s">
        <v>1285</v>
      </c>
      <c r="D51" s="402" t="s">
        <v>1286</v>
      </c>
      <c r="E51" s="402" t="s">
        <v>1287</v>
      </c>
      <c r="F51" s="402" t="s">
        <v>1288</v>
      </c>
      <c r="G51" s="402" t="s">
        <v>1289</v>
      </c>
      <c r="H51" s="402" t="s">
        <v>1284</v>
      </c>
      <c r="I51" s="402" t="s">
        <v>1290</v>
      </c>
      <c r="J51" s="402" t="s">
        <v>1291</v>
      </c>
      <c r="K51" s="403" t="s">
        <v>1292</v>
      </c>
      <c r="M51" s="402" t="s">
        <v>1293</v>
      </c>
      <c r="N51" s="402" t="s">
        <v>1293</v>
      </c>
      <c r="R51" s="402" t="str">
        <f t="shared" si="0"/>
        <v>Passive: (P) Immune to Bleed/Poison</v>
      </c>
      <c r="S51" s="310" t="str">
        <f t="shared" si="1"/>
        <v>Passive: (P) Immune to Poison</v>
      </c>
      <c r="T51" s="310" t="str">
        <f t="shared" si="2"/>
        <v>Passive: (P) Immune to Frost</v>
      </c>
      <c r="U51" s="310" t="str">
        <f t="shared" si="3"/>
        <v>Passive: (P) Immune to Lightning</v>
      </c>
      <c r="V51" s="310" t="str">
        <f t="shared" si="4"/>
        <v>Passive: (P) Immune to Wind</v>
      </c>
      <c r="W51" s="310" t="str">
        <f t="shared" si="5"/>
        <v>Passive: (P) Immune to Bleed</v>
      </c>
      <c r="X51" s="310" t="str">
        <f t="shared" si="6"/>
        <v>Passive: (P) Immune to Bleed/Poison</v>
      </c>
      <c r="Y51" s="310" t="str">
        <f t="shared" si="7"/>
        <v>Passive: (P) Immune to Earth</v>
      </c>
      <c r="Z51" s="310" t="str">
        <f t="shared" si="8"/>
        <v>Passive: (P) Immune to Darkness</v>
      </c>
      <c r="AA51" s="310" t="str">
        <f t="shared" si="9"/>
        <v>Passive: (P) Immune to Light</v>
      </c>
    </row>
    <row r="52" spans="1:27" ht="15.9">
      <c r="A52" s="312" t="s">
        <v>1294</v>
      </c>
      <c r="B52" s="401"/>
      <c r="C52" s="402" t="s">
        <v>1295</v>
      </c>
      <c r="D52" s="402" t="s">
        <v>1296</v>
      </c>
      <c r="E52" s="402" t="s">
        <v>1297</v>
      </c>
      <c r="F52" s="402" t="s">
        <v>1298</v>
      </c>
      <c r="G52" s="402" t="s">
        <v>1299</v>
      </c>
      <c r="H52" s="402" t="s">
        <v>1300</v>
      </c>
      <c r="I52" s="402" t="s">
        <v>1301</v>
      </c>
      <c r="J52" s="402" t="s">
        <v>1302</v>
      </c>
      <c r="K52" s="403" t="s">
        <v>1303</v>
      </c>
      <c r="M52" s="402" t="s">
        <v>1304</v>
      </c>
      <c r="N52" s="402" t="s">
        <v>1304</v>
      </c>
      <c r="R52" s="402" t="str">
        <f t="shared" si="0"/>
        <v xml:space="preserve">Tier I: </v>
      </c>
      <c r="S52" s="310" t="str">
        <f t="shared" si="1"/>
        <v>Tier I: (≈) Bite: 10 Poison Damage (50 mana)</v>
      </c>
      <c r="T52" s="310" t="str">
        <f t="shared" si="2"/>
        <v>Tier I: (≈) Bite: 10 Frost Damage (50 mana)</v>
      </c>
      <c r="U52" s="310" t="str">
        <f t="shared" si="3"/>
        <v>Tier I: (≈) Bite: 10 Lightning Damage (50 mana)</v>
      </c>
      <c r="V52" s="310" t="str">
        <f t="shared" si="4"/>
        <v>Tier I: (≈) Bite: 10 Wind Damage (50 mana)</v>
      </c>
      <c r="W52" s="310" t="str">
        <f t="shared" si="5"/>
        <v>Tier I: (≈) Bite: 10 Bleed Damage (50 mana)</v>
      </c>
      <c r="X52" s="310" t="str">
        <f t="shared" si="6"/>
        <v>Tier I: (≈) Bite: 10 Fire Damage (50 mana)</v>
      </c>
      <c r="Y52" s="310" t="str">
        <f t="shared" si="7"/>
        <v>Tier I: (≈) Bite: 10 Earth Damage (50 mana)</v>
      </c>
      <c r="Z52" s="310" t="str">
        <f t="shared" si="8"/>
        <v>Tier I: (≈) Bite: 10 Dark Damage (50 mana)</v>
      </c>
      <c r="AA52" s="310" t="str">
        <f t="shared" si="9"/>
        <v>Tier I: (≈) Bite: 10 Light Damage (50 mana)</v>
      </c>
    </row>
    <row r="53" spans="1:27" ht="15.9">
      <c r="B53" s="404"/>
      <c r="K53" s="405"/>
    </row>
    <row r="54" spans="1:27" ht="15.9">
      <c r="A54" s="312" t="s">
        <v>1251</v>
      </c>
      <c r="B54" s="406" t="s">
        <v>1305</v>
      </c>
      <c r="C54" s="407" t="s">
        <v>1306</v>
      </c>
      <c r="D54" s="407" t="s">
        <v>1307</v>
      </c>
      <c r="E54" s="407" t="s">
        <v>1308</v>
      </c>
      <c r="F54" s="407" t="s">
        <v>1309</v>
      </c>
      <c r="G54" s="407" t="s">
        <v>1310</v>
      </c>
      <c r="H54" s="407" t="s">
        <v>1311</v>
      </c>
      <c r="I54" s="407" t="s">
        <v>1312</v>
      </c>
      <c r="J54" s="407" t="s">
        <v>1313</v>
      </c>
      <c r="K54" s="408" t="s">
        <v>1314</v>
      </c>
      <c r="M54" s="407" t="s">
        <v>1315</v>
      </c>
      <c r="N54" s="407" t="s">
        <v>1315</v>
      </c>
    </row>
    <row r="55" spans="1:27" ht="15.9">
      <c r="A55" s="312" t="s">
        <v>1261</v>
      </c>
      <c r="B55" s="340" t="s">
        <v>1221</v>
      </c>
      <c r="C55" s="319" t="s">
        <v>1225</v>
      </c>
      <c r="D55" s="321" t="s">
        <v>1227</v>
      </c>
      <c r="E55" s="323" t="s">
        <v>1229</v>
      </c>
      <c r="F55" s="341" t="s">
        <v>1231</v>
      </c>
      <c r="G55" s="327" t="s">
        <v>1233</v>
      </c>
      <c r="H55" s="328" t="s">
        <v>1235</v>
      </c>
      <c r="I55" s="329" t="s">
        <v>1237</v>
      </c>
      <c r="J55" s="330" t="s">
        <v>1239</v>
      </c>
      <c r="K55" s="409" t="s">
        <v>1241</v>
      </c>
      <c r="M55" s="317" t="s">
        <v>1223</v>
      </c>
      <c r="N55" s="333" t="s">
        <v>1242</v>
      </c>
    </row>
    <row r="56" spans="1:27" ht="15.9">
      <c r="A56" s="312" t="s">
        <v>1262</v>
      </c>
      <c r="B56" s="404" t="s">
        <v>1232</v>
      </c>
      <c r="C56" s="312" t="s">
        <v>1232</v>
      </c>
      <c r="D56" s="312" t="s">
        <v>1232</v>
      </c>
      <c r="E56" s="312" t="s">
        <v>1232</v>
      </c>
      <c r="F56" s="312" t="s">
        <v>1232</v>
      </c>
      <c r="G56" s="312" t="s">
        <v>1232</v>
      </c>
      <c r="H56" s="312" t="s">
        <v>1232</v>
      </c>
      <c r="I56" s="312" t="s">
        <v>1232</v>
      </c>
      <c r="J56" s="312" t="s">
        <v>1232</v>
      </c>
      <c r="K56" s="410" t="s">
        <v>1232</v>
      </c>
      <c r="M56" s="312" t="s">
        <v>1232</v>
      </c>
      <c r="N56" s="312" t="s">
        <v>1232</v>
      </c>
    </row>
    <row r="57" spans="1:27" ht="15.9">
      <c r="A57" s="346" t="s">
        <v>491</v>
      </c>
      <c r="B57" s="347" t="s">
        <v>1316</v>
      </c>
      <c r="C57" s="348" t="s">
        <v>1265</v>
      </c>
      <c r="D57" s="348" t="s">
        <v>1265</v>
      </c>
      <c r="E57" s="348" t="s">
        <v>1265</v>
      </c>
      <c r="F57" s="348" t="s">
        <v>1265</v>
      </c>
      <c r="G57" s="348" t="s">
        <v>1265</v>
      </c>
      <c r="H57" s="348" t="s">
        <v>1265</v>
      </c>
      <c r="I57" s="348" t="s">
        <v>1265</v>
      </c>
      <c r="J57" s="348" t="s">
        <v>1265</v>
      </c>
      <c r="K57" s="349" t="s">
        <v>1265</v>
      </c>
      <c r="M57" s="348" t="s">
        <v>1265</v>
      </c>
      <c r="N57" s="348" t="s">
        <v>1265</v>
      </c>
    </row>
    <row r="58" spans="1:27" ht="15.9">
      <c r="A58" s="350" t="s">
        <v>1264</v>
      </c>
      <c r="B58" s="351" t="s">
        <v>1265</v>
      </c>
      <c r="C58" s="352" t="s">
        <v>1265</v>
      </c>
      <c r="D58" s="352" t="s">
        <v>1265</v>
      </c>
      <c r="E58" s="352" t="s">
        <v>1265</v>
      </c>
      <c r="F58" s="352" t="s">
        <v>1265</v>
      </c>
      <c r="G58" s="352" t="s">
        <v>1265</v>
      </c>
      <c r="H58" s="352" t="s">
        <v>1265</v>
      </c>
      <c r="I58" s="352" t="s">
        <v>1265</v>
      </c>
      <c r="J58" s="352" t="s">
        <v>1265</v>
      </c>
      <c r="K58" s="353" t="s">
        <v>1265</v>
      </c>
      <c r="M58" s="352" t="s">
        <v>1265</v>
      </c>
      <c r="N58" s="352" t="s">
        <v>1265</v>
      </c>
    </row>
    <row r="59" spans="1:27" ht="15.9">
      <c r="A59" s="354" t="s">
        <v>495</v>
      </c>
      <c r="B59" s="355">
        <v>3</v>
      </c>
      <c r="C59" s="356">
        <v>2</v>
      </c>
      <c r="D59" s="356">
        <v>2</v>
      </c>
      <c r="E59" s="356">
        <v>1</v>
      </c>
      <c r="F59" s="356">
        <v>2</v>
      </c>
      <c r="G59" s="356">
        <v>2</v>
      </c>
      <c r="H59" s="356">
        <v>2</v>
      </c>
      <c r="I59" s="356">
        <v>2</v>
      </c>
      <c r="J59" s="356">
        <v>2</v>
      </c>
      <c r="K59" s="357">
        <v>2</v>
      </c>
      <c r="M59" s="356">
        <v>2</v>
      </c>
      <c r="N59" s="356">
        <v>2</v>
      </c>
    </row>
    <row r="60" spans="1:27" ht="15.9">
      <c r="A60" s="358" t="s">
        <v>497</v>
      </c>
      <c r="B60" s="359">
        <v>3</v>
      </c>
      <c r="C60" s="360">
        <v>1</v>
      </c>
      <c r="D60" s="360">
        <v>1</v>
      </c>
      <c r="E60" s="360">
        <v>1</v>
      </c>
      <c r="F60" s="360">
        <v>1</v>
      </c>
      <c r="G60" s="360">
        <v>1</v>
      </c>
      <c r="H60" s="360">
        <v>1</v>
      </c>
      <c r="I60" s="360">
        <v>4</v>
      </c>
      <c r="J60" s="360">
        <v>1</v>
      </c>
      <c r="K60" s="361">
        <v>1</v>
      </c>
      <c r="M60" s="360">
        <v>1</v>
      </c>
      <c r="N60" s="360">
        <v>1</v>
      </c>
    </row>
    <row r="61" spans="1:27" ht="15.9">
      <c r="A61" s="312" t="s">
        <v>1266</v>
      </c>
      <c r="B61" s="362">
        <v>0</v>
      </c>
      <c r="C61" s="363">
        <v>0</v>
      </c>
      <c r="D61" s="363">
        <v>0</v>
      </c>
      <c r="E61" s="363">
        <v>0</v>
      </c>
      <c r="F61" s="363">
        <v>0</v>
      </c>
      <c r="G61" s="363">
        <v>0</v>
      </c>
      <c r="H61" s="363">
        <v>0</v>
      </c>
      <c r="I61" s="363">
        <v>0</v>
      </c>
      <c r="J61" s="363">
        <v>0</v>
      </c>
      <c r="K61" s="364">
        <v>0.5</v>
      </c>
      <c r="M61" s="363">
        <v>0</v>
      </c>
      <c r="N61" s="363">
        <v>0</v>
      </c>
    </row>
    <row r="62" spans="1:27" ht="15.9">
      <c r="A62" s="312" t="s">
        <v>1267</v>
      </c>
      <c r="B62" s="365">
        <v>0</v>
      </c>
      <c r="C62" s="366">
        <v>0</v>
      </c>
      <c r="D62" s="366">
        <v>0</v>
      </c>
      <c r="E62" s="366">
        <v>0</v>
      </c>
      <c r="F62" s="366">
        <v>0</v>
      </c>
      <c r="G62" s="366">
        <v>0</v>
      </c>
      <c r="H62" s="366">
        <v>0</v>
      </c>
      <c r="I62" s="366">
        <v>0</v>
      </c>
      <c r="J62" s="366">
        <v>0.5</v>
      </c>
      <c r="K62" s="367">
        <v>0</v>
      </c>
      <c r="M62" s="366">
        <v>0.5</v>
      </c>
      <c r="N62" s="366">
        <v>0.5</v>
      </c>
    </row>
    <row r="63" spans="1:27" ht="15.9">
      <c r="A63" s="312" t="s">
        <v>1268</v>
      </c>
      <c r="B63" s="368">
        <v>0</v>
      </c>
      <c r="C63" s="369">
        <v>0</v>
      </c>
      <c r="D63" s="369">
        <v>0</v>
      </c>
      <c r="E63" s="369">
        <v>0</v>
      </c>
      <c r="F63" s="369">
        <v>0</v>
      </c>
      <c r="G63" s="369">
        <v>0</v>
      </c>
      <c r="H63" s="369">
        <v>0.5</v>
      </c>
      <c r="I63" s="369">
        <v>0</v>
      </c>
      <c r="J63" s="369">
        <v>0</v>
      </c>
      <c r="K63" s="370">
        <v>0</v>
      </c>
      <c r="M63" s="369">
        <v>0</v>
      </c>
      <c r="N63" s="369">
        <v>0</v>
      </c>
    </row>
    <row r="64" spans="1:27" ht="15.9">
      <c r="A64" s="312" t="s">
        <v>1269</v>
      </c>
      <c r="B64" s="371">
        <v>0</v>
      </c>
      <c r="C64" s="372">
        <v>0</v>
      </c>
      <c r="D64" s="372">
        <v>0.5</v>
      </c>
      <c r="E64" s="372">
        <v>0</v>
      </c>
      <c r="F64" s="372">
        <v>0</v>
      </c>
      <c r="G64" s="372">
        <v>0</v>
      </c>
      <c r="H64" s="372">
        <v>0</v>
      </c>
      <c r="I64" s="372">
        <v>0</v>
      </c>
      <c r="J64" s="372">
        <v>0</v>
      </c>
      <c r="K64" s="373">
        <v>0</v>
      </c>
      <c r="M64" s="372">
        <v>0</v>
      </c>
      <c r="N64" s="372">
        <v>0</v>
      </c>
    </row>
    <row r="65" spans="1:14" ht="15.9">
      <c r="A65" s="374" t="s">
        <v>1270</v>
      </c>
      <c r="B65" s="375">
        <v>0</v>
      </c>
      <c r="C65" s="376">
        <v>0</v>
      </c>
      <c r="D65" s="376">
        <v>0</v>
      </c>
      <c r="E65" s="376">
        <v>0</v>
      </c>
      <c r="F65" s="376">
        <v>0.5</v>
      </c>
      <c r="G65" s="376">
        <v>0</v>
      </c>
      <c r="H65" s="376">
        <v>0</v>
      </c>
      <c r="I65" s="376">
        <v>0</v>
      </c>
      <c r="J65" s="376">
        <v>0</v>
      </c>
      <c r="K65" s="377">
        <v>0</v>
      </c>
      <c r="M65" s="376">
        <v>0</v>
      </c>
      <c r="N65" s="376">
        <v>0</v>
      </c>
    </row>
    <row r="66" spans="1:14" ht="15.9">
      <c r="A66" s="312" t="s">
        <v>1271</v>
      </c>
      <c r="B66" s="378">
        <v>0</v>
      </c>
      <c r="C66" s="379">
        <v>0</v>
      </c>
      <c r="D66" s="379">
        <v>0</v>
      </c>
      <c r="E66" s="379">
        <v>0</v>
      </c>
      <c r="F66" s="379">
        <v>0</v>
      </c>
      <c r="G66" s="379">
        <v>0</v>
      </c>
      <c r="H66" s="379">
        <v>0</v>
      </c>
      <c r="I66" s="379">
        <v>0.5</v>
      </c>
      <c r="J66" s="379">
        <v>0</v>
      </c>
      <c r="K66" s="380">
        <v>0</v>
      </c>
      <c r="M66" s="379">
        <v>0</v>
      </c>
      <c r="N66" s="379">
        <v>0</v>
      </c>
    </row>
    <row r="67" spans="1:14" ht="15.9">
      <c r="A67" s="312" t="s">
        <v>1272</v>
      </c>
      <c r="B67" s="381">
        <v>0</v>
      </c>
      <c r="C67" s="382">
        <v>0</v>
      </c>
      <c r="D67" s="382">
        <v>0</v>
      </c>
      <c r="E67" s="382">
        <v>0.5</v>
      </c>
      <c r="F67" s="382">
        <v>0</v>
      </c>
      <c r="G67" s="382">
        <v>0</v>
      </c>
      <c r="H67" s="382">
        <v>0</v>
      </c>
      <c r="I67" s="382">
        <v>0</v>
      </c>
      <c r="J67" s="382">
        <v>0</v>
      </c>
      <c r="K67" s="411">
        <v>0</v>
      </c>
      <c r="M67" s="382">
        <v>0</v>
      </c>
      <c r="N67" s="382">
        <v>0</v>
      </c>
    </row>
    <row r="68" spans="1:14" ht="15.9">
      <c r="A68" s="312" t="s">
        <v>1273</v>
      </c>
      <c r="B68" s="384">
        <v>0</v>
      </c>
      <c r="C68" s="385">
        <v>0</v>
      </c>
      <c r="D68" s="385">
        <v>0</v>
      </c>
      <c r="E68" s="385">
        <v>0</v>
      </c>
      <c r="F68" s="385">
        <v>0</v>
      </c>
      <c r="G68" s="385">
        <v>0.5</v>
      </c>
      <c r="H68" s="385">
        <v>0</v>
      </c>
      <c r="I68" s="385">
        <v>0</v>
      </c>
      <c r="J68" s="385">
        <v>0</v>
      </c>
      <c r="K68" s="412">
        <v>0</v>
      </c>
      <c r="M68" s="385">
        <v>0</v>
      </c>
      <c r="N68" s="385">
        <v>0</v>
      </c>
    </row>
    <row r="69" spans="1:14" ht="15.9">
      <c r="A69" s="312" t="s">
        <v>1274</v>
      </c>
      <c r="B69" s="387">
        <v>0</v>
      </c>
      <c r="C69" s="388">
        <v>0.5</v>
      </c>
      <c r="D69" s="388">
        <v>0</v>
      </c>
      <c r="E69" s="388">
        <v>0</v>
      </c>
      <c r="F69" s="388">
        <v>0</v>
      </c>
      <c r="G69" s="388">
        <v>0</v>
      </c>
      <c r="H69" s="388">
        <v>0</v>
      </c>
      <c r="I69" s="388">
        <v>0</v>
      </c>
      <c r="J69" s="388">
        <v>0</v>
      </c>
      <c r="K69" s="413">
        <v>0</v>
      </c>
      <c r="M69" s="388">
        <v>0</v>
      </c>
      <c r="N69" s="388">
        <v>0</v>
      </c>
    </row>
    <row r="70" spans="1:14" ht="15.9">
      <c r="A70" s="312" t="s">
        <v>519</v>
      </c>
      <c r="B70" s="355">
        <v>1</v>
      </c>
      <c r="C70" s="356">
        <v>1</v>
      </c>
      <c r="D70" s="356">
        <v>1</v>
      </c>
      <c r="E70" s="356">
        <v>1</v>
      </c>
      <c r="F70" s="356">
        <v>1</v>
      </c>
      <c r="G70" s="356">
        <v>1</v>
      </c>
      <c r="H70" s="356">
        <v>1</v>
      </c>
      <c r="I70" s="356">
        <v>2</v>
      </c>
      <c r="J70" s="356">
        <v>1</v>
      </c>
      <c r="K70" s="357">
        <v>1</v>
      </c>
      <c r="M70" s="356">
        <v>1</v>
      </c>
      <c r="N70" s="356">
        <v>1</v>
      </c>
    </row>
    <row r="71" spans="1:14" ht="15.9">
      <c r="A71" s="312" t="s">
        <v>521</v>
      </c>
      <c r="B71" s="355">
        <v>1</v>
      </c>
      <c r="C71" s="356">
        <v>1</v>
      </c>
      <c r="D71" s="356">
        <v>1</v>
      </c>
      <c r="E71" s="356">
        <v>1</v>
      </c>
      <c r="F71" s="356">
        <v>1</v>
      </c>
      <c r="G71" s="356">
        <v>1</v>
      </c>
      <c r="H71" s="356">
        <v>1</v>
      </c>
      <c r="I71" s="356">
        <v>1</v>
      </c>
      <c r="J71" s="356">
        <v>1</v>
      </c>
      <c r="K71" s="357">
        <v>1</v>
      </c>
      <c r="M71" s="356">
        <v>1</v>
      </c>
      <c r="N71" s="356">
        <v>1</v>
      </c>
    </row>
    <row r="72" spans="1:14" ht="15.9">
      <c r="A72" s="312" t="s">
        <v>522</v>
      </c>
      <c r="B72" s="391">
        <v>1</v>
      </c>
      <c r="C72" s="392">
        <v>1</v>
      </c>
      <c r="D72" s="392">
        <v>1</v>
      </c>
      <c r="E72" s="392">
        <v>1</v>
      </c>
      <c r="F72" s="392">
        <v>1</v>
      </c>
      <c r="G72" s="392">
        <v>1</v>
      </c>
      <c r="H72" s="392">
        <v>1</v>
      </c>
      <c r="I72" s="392">
        <v>1</v>
      </c>
      <c r="J72" s="392">
        <v>1</v>
      </c>
      <c r="K72" s="414">
        <v>1</v>
      </c>
      <c r="M72" s="392">
        <v>1</v>
      </c>
      <c r="N72" s="392">
        <v>1</v>
      </c>
    </row>
    <row r="73" spans="1:14" ht="15.9">
      <c r="A73" s="312" t="s">
        <v>13</v>
      </c>
      <c r="B73" s="356" t="s">
        <v>1317</v>
      </c>
      <c r="C73" s="356" t="s">
        <v>1317</v>
      </c>
      <c r="D73" s="356" t="s">
        <v>1317</v>
      </c>
      <c r="E73" s="356" t="s">
        <v>1317</v>
      </c>
      <c r="F73" s="356" t="s">
        <v>1318</v>
      </c>
      <c r="G73" s="356" t="s">
        <v>1317</v>
      </c>
      <c r="H73" s="356" t="s">
        <v>1317</v>
      </c>
      <c r="I73" s="356" t="s">
        <v>1317</v>
      </c>
      <c r="J73" s="356" t="s">
        <v>1317</v>
      </c>
      <c r="K73" s="356" t="s">
        <v>1317</v>
      </c>
      <c r="M73" s="356" t="s">
        <v>1319</v>
      </c>
      <c r="N73" s="356" t="s">
        <v>1319</v>
      </c>
    </row>
    <row r="74" spans="1:14" ht="15.9">
      <c r="A74" s="394" t="s">
        <v>533</v>
      </c>
      <c r="B74" s="395" t="s">
        <v>1277</v>
      </c>
      <c r="C74" s="395" t="s">
        <v>1276</v>
      </c>
      <c r="D74" s="395" t="s">
        <v>1276</v>
      </c>
      <c r="E74" s="395" t="s">
        <v>1276</v>
      </c>
      <c r="F74" s="395" t="s">
        <v>1276</v>
      </c>
      <c r="G74" s="395" t="s">
        <v>1276</v>
      </c>
      <c r="H74" s="395" t="s">
        <v>1276</v>
      </c>
      <c r="I74" s="395" t="s">
        <v>1276</v>
      </c>
      <c r="J74" s="395" t="s">
        <v>1276</v>
      </c>
      <c r="K74" s="395" t="s">
        <v>1276</v>
      </c>
      <c r="M74" s="396" t="s">
        <v>1277</v>
      </c>
      <c r="N74" s="396" t="s">
        <v>1277</v>
      </c>
    </row>
    <row r="75" spans="1:14" ht="15.9">
      <c r="A75" s="312" t="s">
        <v>1278</v>
      </c>
      <c r="B75" s="365">
        <v>0</v>
      </c>
      <c r="C75" s="366">
        <v>0</v>
      </c>
      <c r="D75" s="366">
        <v>0</v>
      </c>
      <c r="E75" s="366">
        <v>0</v>
      </c>
      <c r="F75" s="366">
        <v>0</v>
      </c>
      <c r="G75" s="366">
        <v>0</v>
      </c>
      <c r="H75" s="366">
        <v>0</v>
      </c>
      <c r="I75" s="366">
        <v>0</v>
      </c>
      <c r="J75" s="366">
        <v>0</v>
      </c>
      <c r="K75" s="367">
        <v>0</v>
      </c>
      <c r="M75" s="366">
        <v>0</v>
      </c>
      <c r="N75" s="366">
        <v>0</v>
      </c>
    </row>
    <row r="76" spans="1:14" ht="15.9">
      <c r="A76" s="312" t="s">
        <v>35</v>
      </c>
      <c r="B76" s="398" t="s">
        <v>1320</v>
      </c>
      <c r="C76" s="398" t="s">
        <v>1320</v>
      </c>
      <c r="D76" s="398" t="s">
        <v>1320</v>
      </c>
      <c r="E76" s="398" t="s">
        <v>1320</v>
      </c>
      <c r="F76" s="398" t="s">
        <v>1320</v>
      </c>
      <c r="G76" s="398" t="s">
        <v>1320</v>
      </c>
      <c r="H76" s="398" t="s">
        <v>1320</v>
      </c>
      <c r="I76" s="398" t="s">
        <v>1320</v>
      </c>
      <c r="J76" s="398" t="s">
        <v>1320</v>
      </c>
      <c r="K76" s="398" t="s">
        <v>1320</v>
      </c>
      <c r="M76" s="399" t="s">
        <v>1321</v>
      </c>
      <c r="N76" s="399" t="s">
        <v>1321</v>
      </c>
    </row>
    <row r="77" spans="1:14" ht="15.9">
      <c r="A77" s="312" t="s">
        <v>1282</v>
      </c>
      <c r="B77" s="401">
        <v>100</v>
      </c>
      <c r="C77" s="401">
        <v>100</v>
      </c>
      <c r="D77" s="401">
        <v>100</v>
      </c>
      <c r="E77" s="401">
        <v>100</v>
      </c>
      <c r="F77" s="401">
        <v>100</v>
      </c>
      <c r="G77" s="401">
        <v>100</v>
      </c>
      <c r="H77" s="401">
        <v>100</v>
      </c>
      <c r="I77" s="401">
        <v>100</v>
      </c>
      <c r="J77" s="401">
        <v>100</v>
      </c>
      <c r="K77" s="401">
        <v>100</v>
      </c>
      <c r="M77" s="402">
        <v>100</v>
      </c>
      <c r="N77" s="402">
        <v>100</v>
      </c>
    </row>
    <row r="78" spans="1:14" ht="15.9">
      <c r="A78" s="312" t="s">
        <v>1283</v>
      </c>
      <c r="B78" s="415" t="s">
        <v>655</v>
      </c>
      <c r="C78" s="415" t="s">
        <v>655</v>
      </c>
      <c r="D78" s="415" t="s">
        <v>655</v>
      </c>
      <c r="E78" s="402" t="s">
        <v>655</v>
      </c>
      <c r="F78" s="415" t="s">
        <v>655</v>
      </c>
      <c r="G78" s="415" t="s">
        <v>655</v>
      </c>
      <c r="H78" s="415" t="s">
        <v>655</v>
      </c>
      <c r="I78" s="415" t="s">
        <v>655</v>
      </c>
      <c r="J78" s="415" t="s">
        <v>655</v>
      </c>
      <c r="K78" s="415" t="s">
        <v>655</v>
      </c>
      <c r="M78" s="402" t="s">
        <v>1322</v>
      </c>
      <c r="N78" s="402" t="s">
        <v>1322</v>
      </c>
    </row>
    <row r="79" spans="1:14" ht="15.9">
      <c r="A79" s="312" t="s">
        <v>1294</v>
      </c>
      <c r="B79" s="401" t="s">
        <v>655</v>
      </c>
      <c r="C79" s="402" t="s">
        <v>1323</v>
      </c>
      <c r="D79" s="402" t="s">
        <v>1323</v>
      </c>
      <c r="E79" s="402" t="s">
        <v>1324</v>
      </c>
      <c r="F79" s="415" t="s">
        <v>655</v>
      </c>
      <c r="G79" s="310" t="s">
        <v>1323</v>
      </c>
      <c r="H79" s="310" t="s">
        <v>1323</v>
      </c>
      <c r="I79" s="415" t="s">
        <v>655</v>
      </c>
      <c r="J79" s="310" t="s">
        <v>1323</v>
      </c>
      <c r="K79" s="416" t="s">
        <v>1323</v>
      </c>
    </row>
    <row r="80" spans="1:14" ht="14.6">
      <c r="B80" s="417"/>
      <c r="K80" s="416"/>
    </row>
    <row r="81" spans="1:14" ht="15.9">
      <c r="A81" s="312" t="s">
        <v>1251</v>
      </c>
      <c r="B81" s="406" t="s">
        <v>1325</v>
      </c>
      <c r="C81" s="407" t="s">
        <v>1326</v>
      </c>
      <c r="D81" s="407" t="s">
        <v>1327</v>
      </c>
      <c r="E81" s="407" t="s">
        <v>1328</v>
      </c>
      <c r="F81" s="407" t="s">
        <v>1329</v>
      </c>
      <c r="G81" s="407" t="s">
        <v>1330</v>
      </c>
      <c r="H81" s="407" t="s">
        <v>1331</v>
      </c>
      <c r="I81" s="407" t="s">
        <v>1332</v>
      </c>
      <c r="J81" s="407" t="s">
        <v>1333</v>
      </c>
      <c r="K81" s="418" t="s">
        <v>1334</v>
      </c>
      <c r="M81" s="407" t="s">
        <v>1335</v>
      </c>
      <c r="N81" s="407" t="s">
        <v>1335</v>
      </c>
    </row>
    <row r="82" spans="1:14" ht="15.9">
      <c r="A82" s="312" t="s">
        <v>1261</v>
      </c>
      <c r="B82" s="340" t="s">
        <v>1221</v>
      </c>
      <c r="C82" s="319" t="s">
        <v>1225</v>
      </c>
      <c r="D82" s="321" t="s">
        <v>1227</v>
      </c>
      <c r="E82" s="323" t="s">
        <v>1229</v>
      </c>
      <c r="F82" s="341" t="s">
        <v>1231</v>
      </c>
      <c r="G82" s="327" t="s">
        <v>1233</v>
      </c>
      <c r="H82" s="328" t="s">
        <v>1235</v>
      </c>
      <c r="I82" s="329" t="s">
        <v>1237</v>
      </c>
      <c r="J82" s="330" t="s">
        <v>1239</v>
      </c>
      <c r="K82" s="342" t="s">
        <v>1241</v>
      </c>
      <c r="M82" s="317" t="s">
        <v>1223</v>
      </c>
      <c r="N82" s="333" t="s">
        <v>1242</v>
      </c>
    </row>
    <row r="83" spans="1:14" ht="15.9">
      <c r="A83" s="312" t="s">
        <v>1262</v>
      </c>
      <c r="B83" s="343" t="s">
        <v>1232</v>
      </c>
      <c r="C83" s="344" t="s">
        <v>1232</v>
      </c>
      <c r="D83" s="344" t="s">
        <v>1232</v>
      </c>
      <c r="E83" s="344" t="s">
        <v>1232</v>
      </c>
      <c r="F83" s="344" t="s">
        <v>1232</v>
      </c>
      <c r="G83" s="344" t="s">
        <v>1232</v>
      </c>
      <c r="H83" s="344" t="s">
        <v>1232</v>
      </c>
      <c r="I83" s="344" t="s">
        <v>1232</v>
      </c>
      <c r="J83" s="344" t="s">
        <v>1232</v>
      </c>
      <c r="K83" s="345" t="s">
        <v>1232</v>
      </c>
      <c r="M83" s="344" t="s">
        <v>1232</v>
      </c>
      <c r="N83" s="344" t="s">
        <v>1232</v>
      </c>
    </row>
    <row r="84" spans="1:14" ht="15.9">
      <c r="A84" s="346" t="s">
        <v>491</v>
      </c>
      <c r="B84" s="347" t="s">
        <v>1336</v>
      </c>
      <c r="C84" s="348" t="s">
        <v>1263</v>
      </c>
      <c r="D84" s="348" t="s">
        <v>1263</v>
      </c>
      <c r="E84" s="348" t="s">
        <v>1263</v>
      </c>
      <c r="F84" s="348" t="s">
        <v>1263</v>
      </c>
      <c r="G84" s="348" t="s">
        <v>1263</v>
      </c>
      <c r="H84" s="348" t="s">
        <v>1263</v>
      </c>
      <c r="I84" s="348" t="s">
        <v>1263</v>
      </c>
      <c r="J84" s="348" t="s">
        <v>1263</v>
      </c>
      <c r="K84" s="349" t="s">
        <v>1263</v>
      </c>
      <c r="M84" s="348" t="s">
        <v>1263</v>
      </c>
      <c r="N84" s="348" t="s">
        <v>1263</v>
      </c>
    </row>
    <row r="85" spans="1:14" ht="15.9">
      <c r="A85" s="350" t="s">
        <v>1264</v>
      </c>
      <c r="B85" s="351" t="s">
        <v>655</v>
      </c>
      <c r="C85" s="352" t="s">
        <v>655</v>
      </c>
      <c r="D85" s="352" t="s">
        <v>655</v>
      </c>
      <c r="E85" s="352" t="s">
        <v>1265</v>
      </c>
      <c r="F85" s="352" t="s">
        <v>655</v>
      </c>
      <c r="G85" s="352" t="s">
        <v>655</v>
      </c>
      <c r="H85" s="352" t="s">
        <v>655</v>
      </c>
      <c r="I85" s="352" t="s">
        <v>655</v>
      </c>
      <c r="J85" s="352" t="s">
        <v>655</v>
      </c>
      <c r="K85" s="353" t="s">
        <v>1265</v>
      </c>
      <c r="M85" s="352" t="s">
        <v>655</v>
      </c>
      <c r="N85" s="352" t="s">
        <v>655</v>
      </c>
    </row>
    <row r="86" spans="1:14" ht="15.9">
      <c r="A86" s="354" t="s">
        <v>495</v>
      </c>
      <c r="B86" s="355">
        <v>1</v>
      </c>
      <c r="C86" s="356">
        <v>1</v>
      </c>
      <c r="D86" s="356">
        <v>1</v>
      </c>
      <c r="E86" s="356">
        <v>1</v>
      </c>
      <c r="F86" s="356">
        <v>1</v>
      </c>
      <c r="G86" s="356">
        <v>1</v>
      </c>
      <c r="H86" s="356">
        <v>1</v>
      </c>
      <c r="I86" s="356">
        <v>1</v>
      </c>
      <c r="J86" s="356">
        <v>1</v>
      </c>
      <c r="K86" s="357">
        <v>1</v>
      </c>
      <c r="M86" s="356">
        <v>1</v>
      </c>
      <c r="N86" s="356">
        <v>1</v>
      </c>
    </row>
    <row r="87" spans="1:14" ht="15.9">
      <c r="A87" s="358" t="s">
        <v>497</v>
      </c>
      <c r="B87" s="359">
        <v>1</v>
      </c>
      <c r="C87" s="360">
        <v>1</v>
      </c>
      <c r="D87" s="360">
        <v>1</v>
      </c>
      <c r="E87" s="360">
        <v>1</v>
      </c>
      <c r="F87" s="360">
        <v>1</v>
      </c>
      <c r="G87" s="360">
        <v>1</v>
      </c>
      <c r="H87" s="360">
        <v>1</v>
      </c>
      <c r="I87" s="360">
        <v>1</v>
      </c>
      <c r="J87" s="360">
        <v>1</v>
      </c>
      <c r="K87" s="361">
        <v>1</v>
      </c>
      <c r="M87" s="360">
        <v>1</v>
      </c>
      <c r="N87" s="360">
        <v>1</v>
      </c>
    </row>
    <row r="88" spans="1:14" ht="15.9">
      <c r="A88" s="312" t="s">
        <v>1266</v>
      </c>
      <c r="B88" s="362">
        <v>0</v>
      </c>
      <c r="C88" s="363">
        <v>0</v>
      </c>
      <c r="D88" s="363">
        <v>0</v>
      </c>
      <c r="E88" s="363">
        <v>0.1</v>
      </c>
      <c r="F88" s="363">
        <v>0</v>
      </c>
      <c r="G88" s="363">
        <v>0</v>
      </c>
      <c r="H88" s="363">
        <v>0</v>
      </c>
      <c r="I88" s="363">
        <v>0</v>
      </c>
      <c r="J88" s="363">
        <v>0</v>
      </c>
      <c r="K88" s="364">
        <v>0</v>
      </c>
      <c r="M88" s="363">
        <v>0</v>
      </c>
      <c r="N88" s="363">
        <v>0</v>
      </c>
    </row>
    <row r="89" spans="1:14" ht="15.9">
      <c r="A89" s="312" t="s">
        <v>1267</v>
      </c>
      <c r="B89" s="365">
        <v>0</v>
      </c>
      <c r="C89" s="366">
        <v>0</v>
      </c>
      <c r="D89" s="366">
        <v>0</v>
      </c>
      <c r="E89" s="366">
        <v>0.1</v>
      </c>
      <c r="F89" s="366">
        <v>0</v>
      </c>
      <c r="G89" s="366">
        <v>0</v>
      </c>
      <c r="H89" s="366">
        <v>0</v>
      </c>
      <c r="I89" s="366">
        <v>0</v>
      </c>
      <c r="J89" s="366">
        <v>0.5</v>
      </c>
      <c r="K89" s="367">
        <v>0</v>
      </c>
      <c r="M89" s="366">
        <v>0.5</v>
      </c>
      <c r="N89" s="366">
        <v>0.5</v>
      </c>
    </row>
    <row r="90" spans="1:14" ht="15.9">
      <c r="A90" s="312" t="s">
        <v>1268</v>
      </c>
      <c r="B90" s="368">
        <v>-0.5</v>
      </c>
      <c r="C90" s="369">
        <v>0</v>
      </c>
      <c r="D90" s="369">
        <v>0</v>
      </c>
      <c r="E90" s="369">
        <v>0.1</v>
      </c>
      <c r="F90" s="369">
        <v>0</v>
      </c>
      <c r="G90" s="369">
        <v>0</v>
      </c>
      <c r="H90" s="369">
        <v>0.5</v>
      </c>
      <c r="I90" s="369">
        <v>0</v>
      </c>
      <c r="J90" s="369">
        <v>0</v>
      </c>
      <c r="K90" s="370">
        <v>0</v>
      </c>
      <c r="M90" s="369">
        <v>0</v>
      </c>
      <c r="N90" s="369">
        <v>0</v>
      </c>
    </row>
    <row r="91" spans="1:14" ht="15.9">
      <c r="A91" s="312" t="s">
        <v>1269</v>
      </c>
      <c r="B91" s="371">
        <v>-0.5</v>
      </c>
      <c r="C91" s="372">
        <v>-1</v>
      </c>
      <c r="D91" s="372">
        <v>0.5</v>
      </c>
      <c r="E91" s="372">
        <v>0.1</v>
      </c>
      <c r="F91" s="372">
        <v>-1</v>
      </c>
      <c r="G91" s="372">
        <v>-1</v>
      </c>
      <c r="H91" s="372">
        <v>-1</v>
      </c>
      <c r="I91" s="372">
        <v>0</v>
      </c>
      <c r="J91" s="372">
        <v>0</v>
      </c>
      <c r="K91" s="373">
        <v>0</v>
      </c>
      <c r="M91" s="372">
        <v>0</v>
      </c>
      <c r="N91" s="372">
        <v>0</v>
      </c>
    </row>
    <row r="92" spans="1:14" ht="15.9">
      <c r="A92" s="374" t="s">
        <v>1270</v>
      </c>
      <c r="B92" s="375">
        <v>0.5</v>
      </c>
      <c r="C92" s="376">
        <v>0</v>
      </c>
      <c r="D92" s="376">
        <v>0</v>
      </c>
      <c r="E92" s="376">
        <v>0.1</v>
      </c>
      <c r="F92" s="376">
        <v>0.5</v>
      </c>
      <c r="G92" s="376">
        <v>0.5</v>
      </c>
      <c r="H92" s="376">
        <v>-0.5</v>
      </c>
      <c r="I92" s="376">
        <v>0</v>
      </c>
      <c r="J92" s="376">
        <v>0</v>
      </c>
      <c r="K92" s="377">
        <v>0</v>
      </c>
      <c r="M92" s="376">
        <v>0</v>
      </c>
      <c r="N92" s="376">
        <v>0</v>
      </c>
    </row>
    <row r="93" spans="1:14" ht="15.9">
      <c r="A93" s="312" t="s">
        <v>1271</v>
      </c>
      <c r="B93" s="378">
        <v>-0.5</v>
      </c>
      <c r="C93" s="379">
        <v>0</v>
      </c>
      <c r="D93" s="379">
        <v>0</v>
      </c>
      <c r="E93" s="379">
        <v>0.1</v>
      </c>
      <c r="F93" s="379">
        <v>0</v>
      </c>
      <c r="G93" s="379">
        <v>0</v>
      </c>
      <c r="H93" s="379">
        <v>0</v>
      </c>
      <c r="I93" s="379">
        <v>0</v>
      </c>
      <c r="J93" s="379">
        <v>0</v>
      </c>
      <c r="K93" s="380">
        <v>0</v>
      </c>
      <c r="M93" s="379">
        <v>0</v>
      </c>
      <c r="N93" s="379">
        <v>0</v>
      </c>
    </row>
    <row r="94" spans="1:14" ht="15.9">
      <c r="A94" s="312" t="s">
        <v>1272</v>
      </c>
      <c r="B94" s="381">
        <v>0</v>
      </c>
      <c r="C94" s="382">
        <v>0</v>
      </c>
      <c r="D94" s="382">
        <v>0</v>
      </c>
      <c r="E94" s="382">
        <v>0.1</v>
      </c>
      <c r="F94" s="382">
        <v>0</v>
      </c>
      <c r="G94" s="382">
        <v>0</v>
      </c>
      <c r="H94" s="382">
        <v>0</v>
      </c>
      <c r="I94" s="382">
        <v>0</v>
      </c>
      <c r="J94" s="382">
        <v>0</v>
      </c>
      <c r="K94" s="411">
        <v>0</v>
      </c>
      <c r="M94" s="382">
        <v>0</v>
      </c>
      <c r="N94" s="382">
        <v>0</v>
      </c>
    </row>
    <row r="95" spans="1:14" ht="15.9">
      <c r="A95" s="312" t="s">
        <v>1273</v>
      </c>
      <c r="B95" s="384">
        <v>0</v>
      </c>
      <c r="C95" s="385">
        <v>0</v>
      </c>
      <c r="D95" s="385">
        <v>0</v>
      </c>
      <c r="E95" s="385">
        <v>0.1</v>
      </c>
      <c r="F95" s="385">
        <v>0</v>
      </c>
      <c r="G95" s="385">
        <v>0.5</v>
      </c>
      <c r="H95" s="385">
        <v>0</v>
      </c>
      <c r="I95" s="385">
        <v>0</v>
      </c>
      <c r="J95" s="385">
        <v>0</v>
      </c>
      <c r="K95" s="412">
        <v>0</v>
      </c>
      <c r="M95" s="385">
        <v>0</v>
      </c>
      <c r="N95" s="385">
        <v>0</v>
      </c>
    </row>
    <row r="96" spans="1:14" ht="15.9">
      <c r="A96" s="312" t="s">
        <v>1274</v>
      </c>
      <c r="B96" s="387">
        <v>0</v>
      </c>
      <c r="C96" s="388">
        <v>0.5</v>
      </c>
      <c r="D96" s="388">
        <v>0</v>
      </c>
      <c r="E96" s="388">
        <v>0.1</v>
      </c>
      <c r="F96" s="388">
        <v>0</v>
      </c>
      <c r="G96" s="388">
        <v>0</v>
      </c>
      <c r="H96" s="388">
        <v>0</v>
      </c>
      <c r="I96" s="388">
        <v>0</v>
      </c>
      <c r="J96" s="388">
        <v>0.5</v>
      </c>
      <c r="K96" s="413">
        <v>0</v>
      </c>
      <c r="M96" s="388">
        <v>0.5</v>
      </c>
      <c r="N96" s="388">
        <v>0.5</v>
      </c>
    </row>
    <row r="97" spans="1:14" ht="15.9">
      <c r="A97" s="312" t="s">
        <v>519</v>
      </c>
      <c r="B97" s="355">
        <v>1</v>
      </c>
      <c r="C97" s="356">
        <v>1</v>
      </c>
      <c r="D97" s="356">
        <v>1</v>
      </c>
      <c r="E97" s="356">
        <v>1</v>
      </c>
      <c r="F97" s="356">
        <v>1</v>
      </c>
      <c r="G97" s="356">
        <v>1</v>
      </c>
      <c r="H97" s="356">
        <v>1</v>
      </c>
      <c r="I97" s="356">
        <v>1</v>
      </c>
      <c r="J97" s="356">
        <v>1</v>
      </c>
      <c r="K97" s="357">
        <v>1</v>
      </c>
      <c r="M97" s="356">
        <v>1</v>
      </c>
      <c r="N97" s="356">
        <v>1</v>
      </c>
    </row>
    <row r="98" spans="1:14" ht="15.9">
      <c r="A98" s="312" t="s">
        <v>521</v>
      </c>
      <c r="B98" s="355">
        <v>1</v>
      </c>
      <c r="C98" s="356">
        <v>1</v>
      </c>
      <c r="D98" s="356">
        <v>1</v>
      </c>
      <c r="E98" s="356">
        <v>1</v>
      </c>
      <c r="F98" s="356">
        <v>1</v>
      </c>
      <c r="G98" s="356">
        <v>1</v>
      </c>
      <c r="H98" s="356">
        <v>1</v>
      </c>
      <c r="I98" s="356">
        <v>1</v>
      </c>
      <c r="J98" s="356">
        <v>1</v>
      </c>
      <c r="K98" s="357">
        <v>1</v>
      </c>
      <c r="M98" s="356">
        <v>1</v>
      </c>
      <c r="N98" s="356">
        <v>1</v>
      </c>
    </row>
    <row r="99" spans="1:14" ht="15.9">
      <c r="A99" s="312" t="s">
        <v>522</v>
      </c>
      <c r="B99" s="391">
        <v>1</v>
      </c>
      <c r="C99" s="392">
        <v>1</v>
      </c>
      <c r="D99" s="392">
        <v>1</v>
      </c>
      <c r="E99" s="392">
        <v>1</v>
      </c>
      <c r="F99" s="392">
        <v>1</v>
      </c>
      <c r="G99" s="392">
        <v>1</v>
      </c>
      <c r="H99" s="392">
        <v>1</v>
      </c>
      <c r="I99" s="392">
        <v>1</v>
      </c>
      <c r="J99" s="392">
        <v>1</v>
      </c>
      <c r="K99" s="414">
        <v>1</v>
      </c>
      <c r="M99" s="392">
        <v>1</v>
      </c>
      <c r="N99" s="392">
        <v>1</v>
      </c>
    </row>
    <row r="100" spans="1:14" ht="15.9">
      <c r="A100" s="312" t="s">
        <v>13</v>
      </c>
      <c r="B100" s="355" t="s">
        <v>1337</v>
      </c>
      <c r="C100" s="356" t="s">
        <v>1337</v>
      </c>
      <c r="D100" s="356" t="s">
        <v>1337</v>
      </c>
      <c r="E100" s="356" t="s">
        <v>1338</v>
      </c>
      <c r="F100" s="356" t="s">
        <v>1337</v>
      </c>
      <c r="G100" s="356" t="s">
        <v>1337</v>
      </c>
      <c r="H100" s="356" t="s">
        <v>1337</v>
      </c>
      <c r="I100" s="356" t="s">
        <v>1339</v>
      </c>
      <c r="J100" s="356" t="s">
        <v>1337</v>
      </c>
      <c r="K100" s="357" t="s">
        <v>1340</v>
      </c>
      <c r="M100" s="356" t="s">
        <v>1337</v>
      </c>
      <c r="N100" s="356" t="s">
        <v>1337</v>
      </c>
    </row>
    <row r="101" spans="1:14" ht="15.9">
      <c r="A101" s="394" t="s">
        <v>533</v>
      </c>
      <c r="B101" s="395" t="s">
        <v>1277</v>
      </c>
      <c r="C101" s="395" t="s">
        <v>1276</v>
      </c>
      <c r="D101" s="395" t="s">
        <v>1276</v>
      </c>
      <c r="E101" s="395" t="s">
        <v>1276</v>
      </c>
      <c r="F101" s="395" t="s">
        <v>1276</v>
      </c>
      <c r="G101" s="395" t="s">
        <v>1276</v>
      </c>
      <c r="H101" s="395" t="s">
        <v>1276</v>
      </c>
      <c r="I101" s="395" t="s">
        <v>1276</v>
      </c>
      <c r="J101" s="395" t="s">
        <v>1276</v>
      </c>
      <c r="K101" s="395" t="s">
        <v>1276</v>
      </c>
      <c r="M101" s="396" t="s">
        <v>1277</v>
      </c>
      <c r="N101" s="396" t="s">
        <v>1277</v>
      </c>
    </row>
    <row r="102" spans="1:14" ht="15.9">
      <c r="A102" s="312" t="s">
        <v>1278</v>
      </c>
      <c r="B102" s="365">
        <v>0</v>
      </c>
      <c r="C102" s="366">
        <v>0</v>
      </c>
      <c r="D102" s="366">
        <v>0</v>
      </c>
      <c r="E102" s="366">
        <v>0</v>
      </c>
      <c r="F102" s="366">
        <v>0</v>
      </c>
      <c r="G102" s="366">
        <v>0</v>
      </c>
      <c r="H102" s="366">
        <v>0</v>
      </c>
      <c r="I102" s="366">
        <v>0</v>
      </c>
      <c r="J102" s="366">
        <v>0</v>
      </c>
      <c r="K102" s="367">
        <v>0</v>
      </c>
      <c r="M102" s="366">
        <v>0</v>
      </c>
      <c r="N102" s="366">
        <v>0</v>
      </c>
    </row>
    <row r="103" spans="1:14" ht="15.9">
      <c r="A103" s="312" t="s">
        <v>35</v>
      </c>
      <c r="B103" s="398" t="s">
        <v>1341</v>
      </c>
      <c r="C103" s="399" t="s">
        <v>1341</v>
      </c>
      <c r="D103" s="399" t="s">
        <v>1341</v>
      </c>
      <c r="E103" s="399" t="s">
        <v>1341</v>
      </c>
      <c r="F103" s="399" t="s">
        <v>1341</v>
      </c>
      <c r="G103" s="399" t="s">
        <v>1341</v>
      </c>
      <c r="H103" s="399" t="s">
        <v>1341</v>
      </c>
      <c r="I103" s="399" t="s">
        <v>1341</v>
      </c>
      <c r="J103" s="399" t="s">
        <v>1341</v>
      </c>
      <c r="K103" s="419" t="s">
        <v>1341</v>
      </c>
      <c r="M103" s="399" t="s">
        <v>1342</v>
      </c>
      <c r="N103" s="399" t="s">
        <v>1342</v>
      </c>
    </row>
    <row r="104" spans="1:14" ht="15.9">
      <c r="A104" s="312" t="s">
        <v>1282</v>
      </c>
      <c r="B104" s="401">
        <v>100</v>
      </c>
      <c r="C104" s="401">
        <v>100</v>
      </c>
      <c r="D104" s="401">
        <v>100</v>
      </c>
      <c r="E104" s="401">
        <v>100</v>
      </c>
      <c r="F104" s="401">
        <v>100</v>
      </c>
      <c r="G104" s="401">
        <v>100</v>
      </c>
      <c r="H104" s="401">
        <v>100</v>
      </c>
      <c r="I104" s="401">
        <v>100</v>
      </c>
      <c r="J104" s="401">
        <v>100</v>
      </c>
      <c r="K104" s="401">
        <v>100</v>
      </c>
      <c r="M104" s="402">
        <v>100</v>
      </c>
      <c r="N104" s="402">
        <v>100</v>
      </c>
    </row>
    <row r="105" spans="1:14" ht="15.9">
      <c r="A105" s="312" t="s">
        <v>1283</v>
      </c>
      <c r="B105" s="401" t="s">
        <v>1343</v>
      </c>
      <c r="C105" s="402" t="s">
        <v>1344</v>
      </c>
      <c r="D105" s="402" t="s">
        <v>1345</v>
      </c>
      <c r="E105" s="402" t="s">
        <v>1346</v>
      </c>
      <c r="F105" s="402" t="s">
        <v>1347</v>
      </c>
      <c r="G105" s="402" t="s">
        <v>1348</v>
      </c>
      <c r="H105" s="402" t="s">
        <v>1349</v>
      </c>
      <c r="I105" s="402" t="s">
        <v>655</v>
      </c>
      <c r="J105" s="402" t="s">
        <v>1350</v>
      </c>
      <c r="K105" s="402" t="s">
        <v>1346</v>
      </c>
      <c r="M105" s="402" t="s">
        <v>1351</v>
      </c>
      <c r="N105" s="402" t="s">
        <v>1351</v>
      </c>
    </row>
    <row r="106" spans="1:14" ht="15.9">
      <c r="A106" s="312" t="s">
        <v>1294</v>
      </c>
      <c r="B106" s="355" t="s">
        <v>655</v>
      </c>
      <c r="C106" s="356" t="s">
        <v>655</v>
      </c>
      <c r="D106" s="356" t="s">
        <v>655</v>
      </c>
      <c r="E106" s="356" t="s">
        <v>1352</v>
      </c>
      <c r="F106" s="356" t="s">
        <v>1353</v>
      </c>
      <c r="G106" s="356" t="s">
        <v>655</v>
      </c>
      <c r="H106" s="356" t="s">
        <v>655</v>
      </c>
      <c r="I106" s="356" t="s">
        <v>655</v>
      </c>
      <c r="J106" s="356" t="s">
        <v>655</v>
      </c>
      <c r="K106" s="356" t="s">
        <v>1352</v>
      </c>
      <c r="M106" s="356" t="s">
        <v>655</v>
      </c>
      <c r="N106" s="356" t="s">
        <v>655</v>
      </c>
    </row>
    <row r="107" spans="1:14" ht="14.6">
      <c r="B107" s="417"/>
      <c r="K107" s="416"/>
    </row>
    <row r="108" spans="1:14" ht="15.9">
      <c r="A108" s="312" t="s">
        <v>1251</v>
      </c>
      <c r="B108" s="420" t="s">
        <v>1354</v>
      </c>
      <c r="C108" s="421" t="s">
        <v>1355</v>
      </c>
      <c r="D108" s="421" t="s">
        <v>1356</v>
      </c>
      <c r="E108" s="421" t="s">
        <v>1357</v>
      </c>
      <c r="F108" s="421" t="s">
        <v>1358</v>
      </c>
      <c r="G108" s="421" t="s">
        <v>1359</v>
      </c>
      <c r="H108" s="421" t="s">
        <v>1360</v>
      </c>
      <c r="I108" s="421" t="s">
        <v>1361</v>
      </c>
      <c r="J108" s="421" t="s">
        <v>1362</v>
      </c>
      <c r="K108" s="422" t="s">
        <v>1363</v>
      </c>
      <c r="M108" s="421" t="s">
        <v>1364</v>
      </c>
      <c r="N108" s="421" t="s">
        <v>1364</v>
      </c>
    </row>
    <row r="109" spans="1:14" ht="15.9">
      <c r="A109" s="312" t="s">
        <v>1261</v>
      </c>
      <c r="B109" s="340" t="s">
        <v>1221</v>
      </c>
      <c r="C109" s="319" t="s">
        <v>1225</v>
      </c>
      <c r="D109" s="321" t="s">
        <v>1227</v>
      </c>
      <c r="E109" s="323" t="s">
        <v>1229</v>
      </c>
      <c r="F109" s="341" t="s">
        <v>1231</v>
      </c>
      <c r="G109" s="327" t="s">
        <v>1233</v>
      </c>
      <c r="H109" s="328" t="s">
        <v>1235</v>
      </c>
      <c r="I109" s="329" t="s">
        <v>1237</v>
      </c>
      <c r="J109" s="330" t="s">
        <v>1239</v>
      </c>
      <c r="K109" s="342" t="s">
        <v>1241</v>
      </c>
      <c r="M109" s="317" t="s">
        <v>1223</v>
      </c>
      <c r="N109" s="333" t="s">
        <v>1242</v>
      </c>
    </row>
    <row r="110" spans="1:14" ht="15.9">
      <c r="A110" s="312" t="s">
        <v>1262</v>
      </c>
      <c r="B110" s="343" t="s">
        <v>1226</v>
      </c>
      <c r="C110" s="344" t="s">
        <v>1226</v>
      </c>
      <c r="D110" s="344" t="s">
        <v>1226</v>
      </c>
      <c r="E110" s="344" t="s">
        <v>1226</v>
      </c>
      <c r="F110" s="344" t="s">
        <v>1226</v>
      </c>
      <c r="G110" s="344" t="s">
        <v>1226</v>
      </c>
      <c r="H110" s="344" t="s">
        <v>1226</v>
      </c>
      <c r="I110" s="344" t="s">
        <v>1226</v>
      </c>
      <c r="J110" s="344" t="s">
        <v>1226</v>
      </c>
      <c r="K110" s="345" t="s">
        <v>1226</v>
      </c>
      <c r="M110" s="344" t="s">
        <v>1226</v>
      </c>
      <c r="N110" s="344" t="s">
        <v>1226</v>
      </c>
    </row>
    <row r="111" spans="1:14" ht="15.9">
      <c r="A111" s="346" t="s">
        <v>491</v>
      </c>
      <c r="B111" s="347" t="s">
        <v>1365</v>
      </c>
      <c r="C111" s="348" t="s">
        <v>1365</v>
      </c>
      <c r="D111" s="348" t="s">
        <v>1365</v>
      </c>
      <c r="E111" s="348" t="s">
        <v>1365</v>
      </c>
      <c r="F111" s="348" t="s">
        <v>1365</v>
      </c>
      <c r="G111" s="348" t="s">
        <v>1365</v>
      </c>
      <c r="H111" s="348" t="s">
        <v>1365</v>
      </c>
      <c r="I111" s="348" t="s">
        <v>1365</v>
      </c>
      <c r="J111" s="348" t="s">
        <v>1365</v>
      </c>
      <c r="K111" s="349" t="s">
        <v>1365</v>
      </c>
      <c r="M111" s="348" t="s">
        <v>1366</v>
      </c>
      <c r="N111" s="348" t="s">
        <v>1366</v>
      </c>
    </row>
    <row r="112" spans="1:14" ht="15.9">
      <c r="A112" s="350" t="s">
        <v>1264</v>
      </c>
      <c r="B112" s="351" t="s">
        <v>655</v>
      </c>
      <c r="C112" s="352" t="s">
        <v>655</v>
      </c>
      <c r="D112" s="352" t="s">
        <v>655</v>
      </c>
      <c r="E112" s="352" t="s">
        <v>655</v>
      </c>
      <c r="F112" s="352" t="s">
        <v>655</v>
      </c>
      <c r="G112" s="352" t="s">
        <v>655</v>
      </c>
      <c r="H112" s="352" t="s">
        <v>655</v>
      </c>
      <c r="I112" s="352" t="s">
        <v>655</v>
      </c>
      <c r="J112" s="352" t="s">
        <v>655</v>
      </c>
      <c r="K112" s="353" t="s">
        <v>655</v>
      </c>
      <c r="M112" s="352" t="s">
        <v>1366</v>
      </c>
      <c r="N112" s="352" t="s">
        <v>1366</v>
      </c>
    </row>
    <row r="113" spans="1:14" ht="15.9">
      <c r="A113" s="354" t="s">
        <v>495</v>
      </c>
      <c r="B113" s="355">
        <v>1</v>
      </c>
      <c r="C113" s="356">
        <v>1</v>
      </c>
      <c r="D113" s="356">
        <v>1</v>
      </c>
      <c r="E113" s="356">
        <v>1</v>
      </c>
      <c r="F113" s="356">
        <v>1</v>
      </c>
      <c r="G113" s="356">
        <v>1</v>
      </c>
      <c r="H113" s="356">
        <v>1</v>
      </c>
      <c r="I113" s="356">
        <v>1</v>
      </c>
      <c r="J113" s="356">
        <v>1</v>
      </c>
      <c r="K113" s="357">
        <v>1</v>
      </c>
      <c r="M113" s="356">
        <v>1</v>
      </c>
      <c r="N113" s="356">
        <v>1</v>
      </c>
    </row>
    <row r="114" spans="1:14" ht="15.9">
      <c r="A114" s="358" t="s">
        <v>497</v>
      </c>
      <c r="B114" s="359">
        <v>1</v>
      </c>
      <c r="C114" s="360">
        <v>1</v>
      </c>
      <c r="D114" s="360">
        <v>1</v>
      </c>
      <c r="E114" s="360">
        <v>1</v>
      </c>
      <c r="F114" s="360">
        <v>1</v>
      </c>
      <c r="G114" s="360">
        <v>1</v>
      </c>
      <c r="H114" s="360">
        <v>1</v>
      </c>
      <c r="I114" s="360">
        <v>1</v>
      </c>
      <c r="J114" s="360">
        <v>1</v>
      </c>
      <c r="K114" s="361">
        <v>1</v>
      </c>
      <c r="M114" s="360">
        <v>1</v>
      </c>
      <c r="N114" s="360">
        <v>1</v>
      </c>
    </row>
    <row r="115" spans="1:14" ht="15.9">
      <c r="A115" s="312" t="s">
        <v>1266</v>
      </c>
      <c r="B115" s="362">
        <v>0</v>
      </c>
      <c r="C115" s="363">
        <v>0</v>
      </c>
      <c r="D115" s="363">
        <v>0</v>
      </c>
      <c r="E115" s="363">
        <v>0</v>
      </c>
      <c r="F115" s="363">
        <v>0</v>
      </c>
      <c r="G115" s="363">
        <v>0</v>
      </c>
      <c r="H115" s="363">
        <v>0</v>
      </c>
      <c r="I115" s="363">
        <v>0</v>
      </c>
      <c r="J115" s="363">
        <v>0</v>
      </c>
      <c r="K115" s="364">
        <v>0.5</v>
      </c>
      <c r="M115" s="363">
        <v>0</v>
      </c>
      <c r="N115" s="363">
        <v>0</v>
      </c>
    </row>
    <row r="116" spans="1:14" ht="15.9">
      <c r="A116" s="312" t="s">
        <v>1267</v>
      </c>
      <c r="B116" s="365">
        <v>0</v>
      </c>
      <c r="C116" s="366">
        <v>0</v>
      </c>
      <c r="D116" s="366">
        <v>0</v>
      </c>
      <c r="E116" s="366">
        <v>0</v>
      </c>
      <c r="F116" s="366">
        <v>0</v>
      </c>
      <c r="G116" s="366">
        <v>0</v>
      </c>
      <c r="H116" s="366">
        <v>0</v>
      </c>
      <c r="I116" s="366">
        <v>0</v>
      </c>
      <c r="J116" s="366">
        <v>0.5</v>
      </c>
      <c r="K116" s="367">
        <v>0</v>
      </c>
      <c r="M116" s="366">
        <v>0</v>
      </c>
      <c r="N116" s="366">
        <v>0</v>
      </c>
    </row>
    <row r="117" spans="1:14" ht="15.9">
      <c r="A117" s="312" t="s">
        <v>1268</v>
      </c>
      <c r="B117" s="368">
        <v>0</v>
      </c>
      <c r="C117" s="369">
        <v>0</v>
      </c>
      <c r="D117" s="369">
        <v>0</v>
      </c>
      <c r="E117" s="369">
        <v>0</v>
      </c>
      <c r="F117" s="369">
        <v>0</v>
      </c>
      <c r="G117" s="369">
        <v>0</v>
      </c>
      <c r="H117" s="369">
        <v>0.5</v>
      </c>
      <c r="I117" s="369">
        <v>0</v>
      </c>
      <c r="J117" s="369">
        <v>0</v>
      </c>
      <c r="K117" s="370">
        <v>0</v>
      </c>
      <c r="M117" s="369">
        <v>0</v>
      </c>
      <c r="N117" s="369">
        <v>0</v>
      </c>
    </row>
    <row r="118" spans="1:14" ht="15.9">
      <c r="A118" s="312" t="s">
        <v>1269</v>
      </c>
      <c r="B118" s="371">
        <v>0</v>
      </c>
      <c r="C118" s="372">
        <v>0</v>
      </c>
      <c r="D118" s="372">
        <v>0.5</v>
      </c>
      <c r="E118" s="372">
        <v>0</v>
      </c>
      <c r="F118" s="372">
        <v>0</v>
      </c>
      <c r="G118" s="372">
        <v>0</v>
      </c>
      <c r="H118" s="372">
        <v>0</v>
      </c>
      <c r="I118" s="372">
        <v>0</v>
      </c>
      <c r="J118" s="372">
        <v>0</v>
      </c>
      <c r="K118" s="373">
        <v>0</v>
      </c>
      <c r="M118" s="372">
        <v>0</v>
      </c>
      <c r="N118" s="372">
        <v>0</v>
      </c>
    </row>
    <row r="119" spans="1:14" ht="15.9">
      <c r="A119" s="374" t="s">
        <v>1270</v>
      </c>
      <c r="B119" s="375">
        <v>0</v>
      </c>
      <c r="C119" s="376">
        <v>0</v>
      </c>
      <c r="D119" s="376">
        <v>0</v>
      </c>
      <c r="E119" s="376">
        <v>0</v>
      </c>
      <c r="F119" s="376">
        <v>0.5</v>
      </c>
      <c r="G119" s="376">
        <v>0</v>
      </c>
      <c r="H119" s="376">
        <v>0</v>
      </c>
      <c r="I119" s="376">
        <v>0</v>
      </c>
      <c r="J119" s="376">
        <v>0</v>
      </c>
      <c r="K119" s="377">
        <v>0</v>
      </c>
      <c r="M119" s="376">
        <v>0</v>
      </c>
      <c r="N119" s="376">
        <v>0</v>
      </c>
    </row>
    <row r="120" spans="1:14" ht="15.9">
      <c r="A120" s="312" t="s">
        <v>1271</v>
      </c>
      <c r="B120" s="378">
        <v>0</v>
      </c>
      <c r="C120" s="379">
        <v>0</v>
      </c>
      <c r="D120" s="379">
        <v>0</v>
      </c>
      <c r="E120" s="379">
        <v>0</v>
      </c>
      <c r="F120" s="379">
        <v>0</v>
      </c>
      <c r="G120" s="379">
        <v>0</v>
      </c>
      <c r="H120" s="379">
        <v>0</v>
      </c>
      <c r="I120" s="379">
        <v>0.5</v>
      </c>
      <c r="J120" s="379">
        <v>0</v>
      </c>
      <c r="K120" s="380">
        <v>0</v>
      </c>
      <c r="M120" s="379">
        <v>0</v>
      </c>
      <c r="N120" s="379">
        <v>0</v>
      </c>
    </row>
    <row r="121" spans="1:14" ht="15.9">
      <c r="A121" s="312" t="s">
        <v>1272</v>
      </c>
      <c r="B121" s="381">
        <v>0</v>
      </c>
      <c r="C121" s="382">
        <v>0</v>
      </c>
      <c r="D121" s="382">
        <v>0</v>
      </c>
      <c r="E121" s="382">
        <v>0.5</v>
      </c>
      <c r="F121" s="382">
        <v>0</v>
      </c>
      <c r="G121" s="382">
        <v>0</v>
      </c>
      <c r="H121" s="382">
        <v>0</v>
      </c>
      <c r="I121" s="382">
        <v>0</v>
      </c>
      <c r="J121" s="382">
        <v>0</v>
      </c>
      <c r="K121" s="411">
        <v>0</v>
      </c>
      <c r="M121" s="382">
        <v>0</v>
      </c>
      <c r="N121" s="382">
        <v>0</v>
      </c>
    </row>
    <row r="122" spans="1:14" ht="15.9">
      <c r="A122" s="312" t="s">
        <v>1273</v>
      </c>
      <c r="B122" s="384">
        <v>0</v>
      </c>
      <c r="C122" s="385">
        <v>0</v>
      </c>
      <c r="D122" s="385">
        <v>0</v>
      </c>
      <c r="E122" s="385">
        <v>0</v>
      </c>
      <c r="F122" s="385">
        <v>0</v>
      </c>
      <c r="G122" s="385">
        <v>0.5</v>
      </c>
      <c r="H122" s="385">
        <v>0</v>
      </c>
      <c r="I122" s="385">
        <v>0</v>
      </c>
      <c r="J122" s="385">
        <v>0</v>
      </c>
      <c r="K122" s="412">
        <v>0</v>
      </c>
      <c r="M122" s="385">
        <v>0</v>
      </c>
      <c r="N122" s="385">
        <v>0</v>
      </c>
    </row>
    <row r="123" spans="1:14" ht="15.9">
      <c r="A123" s="312" t="s">
        <v>1274</v>
      </c>
      <c r="B123" s="387">
        <v>0</v>
      </c>
      <c r="C123" s="388">
        <v>0.5</v>
      </c>
      <c r="D123" s="388">
        <v>0</v>
      </c>
      <c r="E123" s="388">
        <v>0</v>
      </c>
      <c r="F123" s="388">
        <v>0</v>
      </c>
      <c r="G123" s="388">
        <v>0</v>
      </c>
      <c r="H123" s="388">
        <v>0</v>
      </c>
      <c r="I123" s="388">
        <v>0</v>
      </c>
      <c r="J123" s="388">
        <v>0</v>
      </c>
      <c r="K123" s="413">
        <v>0</v>
      </c>
      <c r="M123" s="388">
        <v>0</v>
      </c>
      <c r="N123" s="388">
        <v>0</v>
      </c>
    </row>
    <row r="124" spans="1:14" ht="15.9">
      <c r="A124" s="312" t="s">
        <v>519</v>
      </c>
      <c r="B124" s="355">
        <v>1</v>
      </c>
      <c r="C124" s="356">
        <v>1</v>
      </c>
      <c r="D124" s="356">
        <v>1</v>
      </c>
      <c r="E124" s="356">
        <v>1</v>
      </c>
      <c r="F124" s="356">
        <v>1</v>
      </c>
      <c r="G124" s="356">
        <v>1</v>
      </c>
      <c r="H124" s="356">
        <v>1</v>
      </c>
      <c r="I124" s="356">
        <v>1</v>
      </c>
      <c r="J124" s="356">
        <v>1</v>
      </c>
      <c r="K124" s="357">
        <v>1</v>
      </c>
      <c r="M124" s="356">
        <v>1</v>
      </c>
      <c r="N124" s="356">
        <v>1</v>
      </c>
    </row>
    <row r="125" spans="1:14" ht="15.9">
      <c r="A125" s="312" t="s">
        <v>521</v>
      </c>
      <c r="B125" s="355">
        <v>1</v>
      </c>
      <c r="C125" s="356">
        <v>1</v>
      </c>
      <c r="D125" s="356">
        <v>1</v>
      </c>
      <c r="E125" s="356">
        <v>1</v>
      </c>
      <c r="F125" s="356">
        <v>1</v>
      </c>
      <c r="G125" s="356">
        <v>1</v>
      </c>
      <c r="H125" s="356">
        <v>1</v>
      </c>
      <c r="I125" s="356">
        <v>1</v>
      </c>
      <c r="J125" s="356">
        <v>1</v>
      </c>
      <c r="K125" s="357">
        <v>1</v>
      </c>
      <c r="M125" s="356">
        <v>1</v>
      </c>
      <c r="N125" s="356">
        <v>1</v>
      </c>
    </row>
    <row r="126" spans="1:14" ht="15.9">
      <c r="A126" s="312" t="s">
        <v>522</v>
      </c>
      <c r="B126" s="391">
        <v>1</v>
      </c>
      <c r="C126" s="392">
        <v>1</v>
      </c>
      <c r="D126" s="392">
        <v>1</v>
      </c>
      <c r="E126" s="392">
        <v>1</v>
      </c>
      <c r="F126" s="392">
        <v>1</v>
      </c>
      <c r="G126" s="392">
        <v>1</v>
      </c>
      <c r="H126" s="392">
        <v>1</v>
      </c>
      <c r="I126" s="392">
        <v>1</v>
      </c>
      <c r="J126" s="392">
        <v>1</v>
      </c>
      <c r="K126" s="414">
        <v>1</v>
      </c>
      <c r="M126" s="392">
        <v>1</v>
      </c>
      <c r="N126" s="392">
        <v>1</v>
      </c>
    </row>
    <row r="127" spans="1:14" ht="15.9">
      <c r="A127" s="312" t="s">
        <v>13</v>
      </c>
      <c r="B127" s="355" t="s">
        <v>655</v>
      </c>
      <c r="C127" s="356" t="s">
        <v>655</v>
      </c>
      <c r="D127" s="356" t="s">
        <v>655</v>
      </c>
      <c r="E127" s="356" t="s">
        <v>655</v>
      </c>
      <c r="F127" s="356" t="s">
        <v>655</v>
      </c>
      <c r="G127" s="356" t="s">
        <v>655</v>
      </c>
      <c r="H127" s="356" t="s">
        <v>655</v>
      </c>
      <c r="I127" s="356" t="s">
        <v>655</v>
      </c>
      <c r="J127" s="356" t="s">
        <v>655</v>
      </c>
      <c r="K127" s="357" t="s">
        <v>655</v>
      </c>
      <c r="M127" s="356" t="s">
        <v>655</v>
      </c>
      <c r="N127" s="356" t="s">
        <v>655</v>
      </c>
    </row>
    <row r="128" spans="1:14" ht="15.9">
      <c r="A128" s="394" t="s">
        <v>533</v>
      </c>
      <c r="B128" s="395" t="s">
        <v>1277</v>
      </c>
      <c r="C128" s="395" t="s">
        <v>1276</v>
      </c>
      <c r="D128" s="395" t="s">
        <v>1276</v>
      </c>
      <c r="E128" s="395" t="s">
        <v>1276</v>
      </c>
      <c r="F128" s="395" t="s">
        <v>1276</v>
      </c>
      <c r="G128" s="395" t="s">
        <v>1276</v>
      </c>
      <c r="H128" s="395" t="s">
        <v>1276</v>
      </c>
      <c r="I128" s="395" t="s">
        <v>1276</v>
      </c>
      <c r="J128" s="395" t="s">
        <v>1276</v>
      </c>
      <c r="K128" s="395" t="s">
        <v>1276</v>
      </c>
      <c r="M128" s="396" t="s">
        <v>1277</v>
      </c>
      <c r="N128" s="396" t="s">
        <v>1277</v>
      </c>
    </row>
    <row r="129" spans="1:14" ht="15.9">
      <c r="A129" s="312" t="s">
        <v>1278</v>
      </c>
      <c r="B129" s="365">
        <v>0</v>
      </c>
      <c r="C129" s="366">
        <v>0</v>
      </c>
      <c r="D129" s="366">
        <v>0</v>
      </c>
      <c r="E129" s="366">
        <v>0</v>
      </c>
      <c r="F129" s="366">
        <v>0</v>
      </c>
      <c r="G129" s="366">
        <v>0</v>
      </c>
      <c r="H129" s="366">
        <v>0</v>
      </c>
      <c r="I129" s="366">
        <v>0</v>
      </c>
      <c r="J129" s="366">
        <v>0</v>
      </c>
      <c r="K129" s="367">
        <v>0</v>
      </c>
      <c r="M129" s="366">
        <v>0</v>
      </c>
      <c r="N129" s="366">
        <v>0</v>
      </c>
    </row>
    <row r="130" spans="1:14" ht="15.9">
      <c r="A130" s="312" t="s">
        <v>35</v>
      </c>
      <c r="B130" s="398" t="s">
        <v>1367</v>
      </c>
      <c r="C130" s="398" t="s">
        <v>1367</v>
      </c>
      <c r="D130" s="398" t="s">
        <v>1367</v>
      </c>
      <c r="E130" s="398" t="s">
        <v>1367</v>
      </c>
      <c r="F130" s="398" t="s">
        <v>1367</v>
      </c>
      <c r="G130" s="398" t="s">
        <v>1367</v>
      </c>
      <c r="H130" s="398" t="s">
        <v>1367</v>
      </c>
      <c r="I130" s="398" t="s">
        <v>1367</v>
      </c>
      <c r="J130" s="398" t="s">
        <v>1367</v>
      </c>
      <c r="K130" s="398" t="s">
        <v>1367</v>
      </c>
      <c r="M130" s="399" t="s">
        <v>1368</v>
      </c>
      <c r="N130" s="399" t="s">
        <v>1368</v>
      </c>
    </row>
    <row r="131" spans="1:14" ht="15.9">
      <c r="A131" s="312" t="s">
        <v>1282</v>
      </c>
      <c r="B131" s="401">
        <v>100</v>
      </c>
      <c r="C131" s="401">
        <v>100</v>
      </c>
      <c r="D131" s="401">
        <v>100</v>
      </c>
      <c r="E131" s="401">
        <v>100</v>
      </c>
      <c r="F131" s="401">
        <v>100</v>
      </c>
      <c r="G131" s="401">
        <v>100</v>
      </c>
      <c r="H131" s="401">
        <v>100</v>
      </c>
      <c r="I131" s="401">
        <v>100</v>
      </c>
      <c r="J131" s="401">
        <v>100</v>
      </c>
      <c r="K131" s="401">
        <v>100</v>
      </c>
      <c r="M131" s="402">
        <v>100</v>
      </c>
      <c r="N131" s="402">
        <v>100</v>
      </c>
    </row>
    <row r="132" spans="1:14" ht="15.9">
      <c r="A132" s="312" t="s">
        <v>1283</v>
      </c>
      <c r="B132" s="401" t="s">
        <v>1369</v>
      </c>
      <c r="C132" s="402" t="s">
        <v>1370</v>
      </c>
      <c r="D132" s="402" t="s">
        <v>1371</v>
      </c>
      <c r="E132" s="402" t="s">
        <v>1372</v>
      </c>
      <c r="F132" s="402" t="s">
        <v>1373</v>
      </c>
      <c r="G132" s="402" t="s">
        <v>1374</v>
      </c>
      <c r="H132" s="402" t="s">
        <v>1375</v>
      </c>
      <c r="I132" s="402" t="s">
        <v>1376</v>
      </c>
      <c r="J132" s="402" t="s">
        <v>1377</v>
      </c>
      <c r="K132" s="415" t="s">
        <v>1378</v>
      </c>
      <c r="M132" s="402" t="s">
        <v>1379</v>
      </c>
      <c r="N132" s="402" t="s">
        <v>1379</v>
      </c>
    </row>
    <row r="133" spans="1:14" ht="15.9">
      <c r="A133" s="312" t="s">
        <v>1294</v>
      </c>
      <c r="B133" s="355" t="s">
        <v>655</v>
      </c>
      <c r="C133" s="356" t="s">
        <v>655</v>
      </c>
      <c r="D133" s="356" t="s">
        <v>655</v>
      </c>
      <c r="E133" s="356" t="s">
        <v>655</v>
      </c>
      <c r="F133" s="356" t="s">
        <v>655</v>
      </c>
      <c r="G133" s="356" t="s">
        <v>655</v>
      </c>
      <c r="H133" s="356" t="s">
        <v>655</v>
      </c>
      <c r="I133" s="356" t="s">
        <v>655</v>
      </c>
      <c r="J133" s="356" t="s">
        <v>655</v>
      </c>
      <c r="K133" s="357" t="s">
        <v>655</v>
      </c>
      <c r="M133" s="356" t="s">
        <v>1380</v>
      </c>
      <c r="N133" s="356" t="s">
        <v>1380</v>
      </c>
    </row>
    <row r="134" spans="1:14" ht="14.6">
      <c r="B134" s="417"/>
      <c r="K134" s="416"/>
    </row>
    <row r="135" spans="1:14" ht="15.9">
      <c r="A135" s="312" t="s">
        <v>1251</v>
      </c>
      <c r="B135" s="423" t="s">
        <v>1381</v>
      </c>
      <c r="C135" s="424" t="s">
        <v>1382</v>
      </c>
      <c r="D135" s="424" t="s">
        <v>1383</v>
      </c>
      <c r="E135" s="424" t="s">
        <v>1384</v>
      </c>
      <c r="F135" s="424" t="s">
        <v>1385</v>
      </c>
      <c r="G135" s="424" t="s">
        <v>1386</v>
      </c>
      <c r="H135" s="424" t="s">
        <v>1387</v>
      </c>
      <c r="I135" s="424" t="s">
        <v>1388</v>
      </c>
      <c r="J135" s="424" t="s">
        <v>1389</v>
      </c>
      <c r="K135" s="425" t="s">
        <v>1390</v>
      </c>
      <c r="M135" s="424" t="s">
        <v>1391</v>
      </c>
      <c r="N135" s="424" t="s">
        <v>1391</v>
      </c>
    </row>
    <row r="136" spans="1:14" ht="15.9">
      <c r="A136" s="312" t="s">
        <v>1261</v>
      </c>
      <c r="B136" s="340" t="s">
        <v>1221</v>
      </c>
      <c r="C136" s="319" t="s">
        <v>1225</v>
      </c>
      <c r="D136" s="321" t="s">
        <v>1227</v>
      </c>
      <c r="E136" s="323" t="s">
        <v>1229</v>
      </c>
      <c r="F136" s="341" t="s">
        <v>1231</v>
      </c>
      <c r="G136" s="327" t="s">
        <v>1233</v>
      </c>
      <c r="H136" s="328" t="s">
        <v>1235</v>
      </c>
      <c r="I136" s="329" t="s">
        <v>1237</v>
      </c>
      <c r="J136" s="330" t="s">
        <v>1239</v>
      </c>
      <c r="K136" s="342" t="s">
        <v>1241</v>
      </c>
      <c r="M136" s="317" t="s">
        <v>1223</v>
      </c>
      <c r="N136" s="333" t="s">
        <v>1242</v>
      </c>
    </row>
    <row r="137" spans="1:14" ht="15.9">
      <c r="A137" s="312" t="s">
        <v>1262</v>
      </c>
      <c r="B137" s="343" t="s">
        <v>1230</v>
      </c>
      <c r="C137" s="344" t="s">
        <v>1230</v>
      </c>
      <c r="D137" s="344" t="s">
        <v>1230</v>
      </c>
      <c r="E137" s="344" t="s">
        <v>1230</v>
      </c>
      <c r="F137" s="344" t="s">
        <v>1230</v>
      </c>
      <c r="G137" s="344" t="s">
        <v>1230</v>
      </c>
      <c r="H137" s="344" t="s">
        <v>1230</v>
      </c>
      <c r="I137" s="344" t="s">
        <v>1230</v>
      </c>
      <c r="J137" s="344" t="s">
        <v>1230</v>
      </c>
      <c r="K137" s="345" t="s">
        <v>1230</v>
      </c>
      <c r="M137" s="344" t="s">
        <v>1230</v>
      </c>
      <c r="N137" s="344" t="s">
        <v>1230</v>
      </c>
    </row>
    <row r="138" spans="1:14" ht="15.9">
      <c r="A138" s="346" t="s">
        <v>491</v>
      </c>
      <c r="B138" s="347" t="s">
        <v>1366</v>
      </c>
      <c r="C138" s="348" t="s">
        <v>1366</v>
      </c>
      <c r="D138" s="348" t="s">
        <v>1366</v>
      </c>
      <c r="E138" s="348" t="s">
        <v>1366</v>
      </c>
      <c r="F138" s="348" t="s">
        <v>1366</v>
      </c>
      <c r="G138" s="348" t="s">
        <v>1366</v>
      </c>
      <c r="H138" s="348" t="s">
        <v>1366</v>
      </c>
      <c r="I138" s="348" t="s">
        <v>1366</v>
      </c>
      <c r="J138" s="348" t="s">
        <v>1366</v>
      </c>
      <c r="K138" s="349" t="s">
        <v>1366</v>
      </c>
      <c r="M138" s="348" t="s">
        <v>1366</v>
      </c>
      <c r="N138" s="348" t="s">
        <v>1366</v>
      </c>
    </row>
    <row r="139" spans="1:14" ht="15.9">
      <c r="A139" s="350" t="s">
        <v>1264</v>
      </c>
      <c r="B139" s="351" t="s">
        <v>1392</v>
      </c>
      <c r="C139" s="352" t="s">
        <v>1392</v>
      </c>
      <c r="D139" s="352" t="s">
        <v>1392</v>
      </c>
      <c r="E139" s="352" t="s">
        <v>1392</v>
      </c>
      <c r="F139" s="352" t="s">
        <v>1392</v>
      </c>
      <c r="G139" s="352" t="s">
        <v>1392</v>
      </c>
      <c r="H139" s="352" t="s">
        <v>1392</v>
      </c>
      <c r="I139" s="352" t="s">
        <v>1392</v>
      </c>
      <c r="J139" s="352" t="s">
        <v>1392</v>
      </c>
      <c r="K139" s="353" t="s">
        <v>1392</v>
      </c>
      <c r="M139" s="352" t="s">
        <v>1392</v>
      </c>
      <c r="N139" s="352" t="s">
        <v>1392</v>
      </c>
    </row>
    <row r="140" spans="1:14" ht="15.9">
      <c r="A140" s="354" t="s">
        <v>495</v>
      </c>
      <c r="B140" s="355">
        <v>3</v>
      </c>
      <c r="C140" s="356">
        <v>2</v>
      </c>
      <c r="D140" s="356">
        <v>2</v>
      </c>
      <c r="E140" s="356">
        <v>2</v>
      </c>
      <c r="F140" s="356">
        <v>2</v>
      </c>
      <c r="G140" s="356">
        <v>2</v>
      </c>
      <c r="H140" s="356">
        <v>2</v>
      </c>
      <c r="I140" s="356">
        <v>2</v>
      </c>
      <c r="J140" s="356">
        <v>2</v>
      </c>
      <c r="K140" s="357">
        <v>2</v>
      </c>
      <c r="M140" s="356">
        <v>2</v>
      </c>
      <c r="N140" s="356">
        <v>2</v>
      </c>
    </row>
    <row r="141" spans="1:14" ht="15.9">
      <c r="A141" s="358" t="s">
        <v>497</v>
      </c>
      <c r="B141" s="359">
        <v>3</v>
      </c>
      <c r="C141" s="360">
        <v>2</v>
      </c>
      <c r="D141" s="360">
        <v>2</v>
      </c>
      <c r="E141" s="360">
        <v>2</v>
      </c>
      <c r="F141" s="360">
        <v>2</v>
      </c>
      <c r="G141" s="360">
        <v>2</v>
      </c>
      <c r="H141" s="360">
        <v>2</v>
      </c>
      <c r="I141" s="360">
        <v>2</v>
      </c>
      <c r="J141" s="360">
        <v>2</v>
      </c>
      <c r="K141" s="361">
        <v>2</v>
      </c>
      <c r="M141" s="360">
        <v>2</v>
      </c>
      <c r="N141" s="360">
        <v>2</v>
      </c>
    </row>
    <row r="142" spans="1:14" ht="15.9">
      <c r="A142" s="312" t="s">
        <v>1266</v>
      </c>
      <c r="B142" s="362">
        <v>0</v>
      </c>
      <c r="C142" s="363">
        <v>0</v>
      </c>
      <c r="D142" s="363">
        <v>0</v>
      </c>
      <c r="E142" s="363">
        <v>0</v>
      </c>
      <c r="F142" s="363">
        <v>0</v>
      </c>
      <c r="G142" s="363">
        <v>0</v>
      </c>
      <c r="H142" s="363">
        <v>0</v>
      </c>
      <c r="I142" s="363">
        <v>0</v>
      </c>
      <c r="J142" s="363">
        <v>0</v>
      </c>
      <c r="K142" s="364">
        <v>0.5</v>
      </c>
      <c r="M142" s="363">
        <v>0</v>
      </c>
      <c r="N142" s="363">
        <v>0</v>
      </c>
    </row>
    <row r="143" spans="1:14" ht="15.9">
      <c r="A143" s="312" t="s">
        <v>1267</v>
      </c>
      <c r="B143" s="365">
        <v>0</v>
      </c>
      <c r="C143" s="366">
        <v>0</v>
      </c>
      <c r="D143" s="366">
        <v>0</v>
      </c>
      <c r="E143" s="366">
        <v>0</v>
      </c>
      <c r="F143" s="366">
        <v>0</v>
      </c>
      <c r="G143" s="366">
        <v>0</v>
      </c>
      <c r="H143" s="366">
        <v>0</v>
      </c>
      <c r="I143" s="366">
        <v>0</v>
      </c>
      <c r="J143" s="366">
        <v>0.5</v>
      </c>
      <c r="K143" s="367">
        <v>0</v>
      </c>
      <c r="M143" s="366">
        <v>0.5</v>
      </c>
      <c r="N143" s="366">
        <v>0.5</v>
      </c>
    </row>
    <row r="144" spans="1:14" ht="15.9">
      <c r="A144" s="312" t="s">
        <v>1268</v>
      </c>
      <c r="B144" s="368">
        <v>0</v>
      </c>
      <c r="C144" s="369">
        <v>0</v>
      </c>
      <c r="D144" s="369">
        <v>0</v>
      </c>
      <c r="E144" s="369">
        <v>0</v>
      </c>
      <c r="F144" s="369">
        <v>0</v>
      </c>
      <c r="G144" s="369">
        <v>0</v>
      </c>
      <c r="H144" s="369">
        <v>0.5</v>
      </c>
      <c r="I144" s="369">
        <v>0</v>
      </c>
      <c r="J144" s="369">
        <v>0</v>
      </c>
      <c r="K144" s="370">
        <v>0</v>
      </c>
      <c r="M144" s="369">
        <v>0</v>
      </c>
      <c r="N144" s="369">
        <v>0</v>
      </c>
    </row>
    <row r="145" spans="1:14" ht="15.9">
      <c r="A145" s="312" t="s">
        <v>1269</v>
      </c>
      <c r="B145" s="371">
        <v>0</v>
      </c>
      <c r="C145" s="372">
        <v>0</v>
      </c>
      <c r="D145" s="372">
        <v>0.5</v>
      </c>
      <c r="E145" s="372">
        <v>0</v>
      </c>
      <c r="F145" s="372">
        <v>0</v>
      </c>
      <c r="G145" s="372">
        <v>0</v>
      </c>
      <c r="H145" s="372">
        <v>0</v>
      </c>
      <c r="I145" s="372">
        <v>0</v>
      </c>
      <c r="J145" s="372">
        <v>0</v>
      </c>
      <c r="K145" s="373">
        <v>0</v>
      </c>
      <c r="M145" s="372">
        <v>0</v>
      </c>
      <c r="N145" s="372">
        <v>0</v>
      </c>
    </row>
    <row r="146" spans="1:14" ht="15.9">
      <c r="A146" s="374" t="s">
        <v>1270</v>
      </c>
      <c r="B146" s="375">
        <v>0</v>
      </c>
      <c r="C146" s="376">
        <v>0</v>
      </c>
      <c r="D146" s="376">
        <v>0</v>
      </c>
      <c r="E146" s="376">
        <v>0</v>
      </c>
      <c r="F146" s="376">
        <v>0.5</v>
      </c>
      <c r="G146" s="376">
        <v>0</v>
      </c>
      <c r="H146" s="376">
        <v>0</v>
      </c>
      <c r="I146" s="376">
        <v>0</v>
      </c>
      <c r="J146" s="376">
        <v>0</v>
      </c>
      <c r="K146" s="377">
        <v>0</v>
      </c>
      <c r="M146" s="376">
        <v>0</v>
      </c>
      <c r="N146" s="376">
        <v>0</v>
      </c>
    </row>
    <row r="147" spans="1:14" ht="15.9">
      <c r="A147" s="312" t="s">
        <v>1271</v>
      </c>
      <c r="B147" s="378">
        <v>0</v>
      </c>
      <c r="C147" s="379">
        <v>0</v>
      </c>
      <c r="D147" s="379">
        <v>0</v>
      </c>
      <c r="E147" s="379">
        <v>0</v>
      </c>
      <c r="F147" s="379">
        <v>0</v>
      </c>
      <c r="G147" s="379">
        <v>0</v>
      </c>
      <c r="H147" s="379">
        <v>0</v>
      </c>
      <c r="I147" s="379">
        <v>0.5</v>
      </c>
      <c r="J147" s="379">
        <v>0</v>
      </c>
      <c r="K147" s="380">
        <v>0</v>
      </c>
      <c r="M147" s="379">
        <v>0</v>
      </c>
      <c r="N147" s="379">
        <v>0</v>
      </c>
    </row>
    <row r="148" spans="1:14" ht="15.9">
      <c r="A148" s="312" t="s">
        <v>1272</v>
      </c>
      <c r="B148" s="381">
        <v>0</v>
      </c>
      <c r="C148" s="382">
        <v>0</v>
      </c>
      <c r="D148" s="382">
        <v>0</v>
      </c>
      <c r="E148" s="382">
        <v>0.5</v>
      </c>
      <c r="F148" s="382">
        <v>0</v>
      </c>
      <c r="G148" s="382">
        <v>0</v>
      </c>
      <c r="H148" s="382">
        <v>0</v>
      </c>
      <c r="I148" s="382">
        <v>0</v>
      </c>
      <c r="J148" s="382">
        <v>0</v>
      </c>
      <c r="K148" s="411">
        <v>0</v>
      </c>
      <c r="M148" s="382">
        <v>0</v>
      </c>
      <c r="N148" s="382">
        <v>0</v>
      </c>
    </row>
    <row r="149" spans="1:14" ht="15.9">
      <c r="A149" s="312" t="s">
        <v>1273</v>
      </c>
      <c r="B149" s="384">
        <v>0</v>
      </c>
      <c r="C149" s="385">
        <v>0</v>
      </c>
      <c r="D149" s="385">
        <v>0</v>
      </c>
      <c r="E149" s="385">
        <v>0</v>
      </c>
      <c r="F149" s="385">
        <v>0</v>
      </c>
      <c r="G149" s="385">
        <v>0.5</v>
      </c>
      <c r="H149" s="385">
        <v>0</v>
      </c>
      <c r="I149" s="385">
        <v>0</v>
      </c>
      <c r="J149" s="385">
        <v>0</v>
      </c>
      <c r="K149" s="412">
        <v>0</v>
      </c>
      <c r="M149" s="385">
        <v>0</v>
      </c>
      <c r="N149" s="385">
        <v>0</v>
      </c>
    </row>
    <row r="150" spans="1:14" ht="15.9">
      <c r="A150" s="312" t="s">
        <v>1274</v>
      </c>
      <c r="B150" s="387">
        <v>0</v>
      </c>
      <c r="C150" s="388">
        <v>0.5</v>
      </c>
      <c r="D150" s="388">
        <v>0</v>
      </c>
      <c r="E150" s="388">
        <v>0</v>
      </c>
      <c r="F150" s="388">
        <v>0</v>
      </c>
      <c r="G150" s="388">
        <v>0</v>
      </c>
      <c r="H150" s="388">
        <v>0</v>
      </c>
      <c r="I150" s="388">
        <v>0</v>
      </c>
      <c r="J150" s="388">
        <v>0</v>
      </c>
      <c r="K150" s="413">
        <v>0</v>
      </c>
      <c r="M150" s="388">
        <v>0</v>
      </c>
      <c r="N150" s="388">
        <v>0</v>
      </c>
    </row>
    <row r="151" spans="1:14" ht="15.9">
      <c r="A151" s="312" t="s">
        <v>519</v>
      </c>
      <c r="B151" s="355">
        <v>1</v>
      </c>
      <c r="C151" s="356">
        <v>1</v>
      </c>
      <c r="D151" s="356">
        <v>1</v>
      </c>
      <c r="E151" s="356">
        <v>1</v>
      </c>
      <c r="F151" s="356">
        <v>1</v>
      </c>
      <c r="G151" s="356">
        <v>1</v>
      </c>
      <c r="H151" s="356">
        <v>1</v>
      </c>
      <c r="I151" s="356">
        <v>1</v>
      </c>
      <c r="J151" s="356">
        <v>1</v>
      </c>
      <c r="K151" s="357">
        <v>1</v>
      </c>
      <c r="M151" s="356">
        <v>1</v>
      </c>
      <c r="N151" s="356">
        <v>1</v>
      </c>
    </row>
    <row r="152" spans="1:14" ht="15.9">
      <c r="A152" s="312" t="s">
        <v>521</v>
      </c>
      <c r="B152" s="355">
        <v>1</v>
      </c>
      <c r="C152" s="356">
        <v>1</v>
      </c>
      <c r="D152" s="356">
        <v>1</v>
      </c>
      <c r="E152" s="356">
        <v>1</v>
      </c>
      <c r="F152" s="356">
        <v>1</v>
      </c>
      <c r="G152" s="356">
        <v>1</v>
      </c>
      <c r="H152" s="356">
        <v>1</v>
      </c>
      <c r="I152" s="356">
        <v>1</v>
      </c>
      <c r="J152" s="356">
        <v>1</v>
      </c>
      <c r="K152" s="357">
        <v>1</v>
      </c>
      <c r="M152" s="356">
        <v>1</v>
      </c>
      <c r="N152" s="356">
        <v>1</v>
      </c>
    </row>
    <row r="153" spans="1:14" ht="15.9">
      <c r="A153" s="312" t="s">
        <v>522</v>
      </c>
      <c r="B153" s="391">
        <v>1</v>
      </c>
      <c r="C153" s="392">
        <v>1</v>
      </c>
      <c r="D153" s="392">
        <v>1</v>
      </c>
      <c r="E153" s="392">
        <v>1</v>
      </c>
      <c r="F153" s="392">
        <v>1</v>
      </c>
      <c r="G153" s="392">
        <v>1</v>
      </c>
      <c r="H153" s="392">
        <v>1</v>
      </c>
      <c r="I153" s="392">
        <v>1</v>
      </c>
      <c r="J153" s="392">
        <v>1</v>
      </c>
      <c r="K153" s="414">
        <v>1</v>
      </c>
      <c r="M153" s="392">
        <v>1</v>
      </c>
      <c r="N153" s="392">
        <v>1</v>
      </c>
    </row>
    <row r="154" spans="1:14" ht="15.9">
      <c r="A154" s="312" t="s">
        <v>13</v>
      </c>
      <c r="B154" s="355" t="s">
        <v>1393</v>
      </c>
      <c r="C154" s="356" t="s">
        <v>1393</v>
      </c>
      <c r="D154" s="356" t="s">
        <v>1393</v>
      </c>
      <c r="E154" s="356" t="s">
        <v>1393</v>
      </c>
      <c r="F154" s="356" t="s">
        <v>1393</v>
      </c>
      <c r="G154" s="356" t="s">
        <v>1393</v>
      </c>
      <c r="H154" s="356" t="s">
        <v>1393</v>
      </c>
      <c r="I154" s="356" t="s">
        <v>1393</v>
      </c>
      <c r="J154" s="356" t="s">
        <v>1393</v>
      </c>
      <c r="K154" s="357" t="s">
        <v>1393</v>
      </c>
      <c r="M154" s="356" t="s">
        <v>1393</v>
      </c>
      <c r="N154" s="356" t="s">
        <v>1393</v>
      </c>
    </row>
    <row r="155" spans="1:14" ht="15.9">
      <c r="A155" s="394" t="s">
        <v>533</v>
      </c>
      <c r="B155" s="395" t="s">
        <v>1394</v>
      </c>
      <c r="C155" s="395" t="s">
        <v>1276</v>
      </c>
      <c r="D155" s="395" t="s">
        <v>1276</v>
      </c>
      <c r="E155" s="395" t="s">
        <v>1276</v>
      </c>
      <c r="F155" s="395" t="s">
        <v>1276</v>
      </c>
      <c r="G155" s="395" t="s">
        <v>1276</v>
      </c>
      <c r="H155" s="395" t="s">
        <v>1276</v>
      </c>
      <c r="I155" s="395" t="s">
        <v>1276</v>
      </c>
      <c r="J155" s="395" t="s">
        <v>1276</v>
      </c>
      <c r="K155" s="395" t="s">
        <v>1276</v>
      </c>
      <c r="M155" s="396" t="s">
        <v>1394</v>
      </c>
      <c r="N155" s="396" t="s">
        <v>1394</v>
      </c>
    </row>
    <row r="156" spans="1:14" ht="15.9">
      <c r="A156" s="312" t="s">
        <v>1278</v>
      </c>
      <c r="B156" s="365">
        <v>0</v>
      </c>
      <c r="C156" s="366">
        <v>0</v>
      </c>
      <c r="D156" s="366">
        <v>0</v>
      </c>
      <c r="E156" s="366">
        <v>0</v>
      </c>
      <c r="F156" s="366">
        <v>0</v>
      </c>
      <c r="G156" s="366">
        <v>0</v>
      </c>
      <c r="H156" s="366">
        <v>0</v>
      </c>
      <c r="I156" s="366">
        <v>0</v>
      </c>
      <c r="J156" s="366">
        <v>0</v>
      </c>
      <c r="K156" s="367">
        <v>0</v>
      </c>
      <c r="M156" s="366">
        <v>0</v>
      </c>
      <c r="N156" s="366">
        <v>0</v>
      </c>
    </row>
    <row r="157" spans="1:14" ht="15.9">
      <c r="A157" s="312" t="s">
        <v>35</v>
      </c>
      <c r="B157" s="398" t="s">
        <v>1395</v>
      </c>
      <c r="C157" s="398" t="s">
        <v>1395</v>
      </c>
      <c r="D157" s="398" t="s">
        <v>1395</v>
      </c>
      <c r="E157" s="398" t="s">
        <v>1395</v>
      </c>
      <c r="F157" s="398" t="s">
        <v>1395</v>
      </c>
      <c r="G157" s="398" t="s">
        <v>1395</v>
      </c>
      <c r="H157" s="398" t="s">
        <v>1395</v>
      </c>
      <c r="I157" s="398" t="s">
        <v>1395</v>
      </c>
      <c r="J157" s="398" t="s">
        <v>1395</v>
      </c>
      <c r="K157" s="398" t="s">
        <v>1395</v>
      </c>
      <c r="M157" s="399" t="s">
        <v>1396</v>
      </c>
      <c r="N157" s="399" t="s">
        <v>1396</v>
      </c>
    </row>
    <row r="158" spans="1:14" ht="15.9">
      <c r="A158" s="312" t="s">
        <v>1282</v>
      </c>
      <c r="B158" s="401">
        <v>100</v>
      </c>
      <c r="C158" s="401">
        <v>100</v>
      </c>
      <c r="D158" s="401">
        <v>100</v>
      </c>
      <c r="E158" s="401">
        <v>100</v>
      </c>
      <c r="F158" s="401">
        <v>100</v>
      </c>
      <c r="G158" s="401">
        <v>100</v>
      </c>
      <c r="H158" s="401">
        <v>100</v>
      </c>
      <c r="I158" s="401">
        <v>100</v>
      </c>
      <c r="J158" s="401">
        <v>100</v>
      </c>
      <c r="K158" s="401">
        <v>100</v>
      </c>
      <c r="M158" s="402">
        <v>100</v>
      </c>
      <c r="N158" s="402">
        <v>100</v>
      </c>
    </row>
    <row r="159" spans="1:14" ht="15.9">
      <c r="A159" s="312" t="s">
        <v>1283</v>
      </c>
      <c r="B159" s="401" t="s">
        <v>1397</v>
      </c>
      <c r="C159" s="401" t="s">
        <v>1397</v>
      </c>
      <c r="D159" s="401" t="s">
        <v>1397</v>
      </c>
      <c r="E159" s="401" t="s">
        <v>1397</v>
      </c>
      <c r="F159" s="401" t="s">
        <v>1397</v>
      </c>
      <c r="G159" s="401" t="s">
        <v>1397</v>
      </c>
      <c r="H159" s="401" t="s">
        <v>1397</v>
      </c>
      <c r="I159" s="401" t="s">
        <v>1397</v>
      </c>
      <c r="J159" s="401" t="s">
        <v>1397</v>
      </c>
      <c r="K159" s="401" t="s">
        <v>1397</v>
      </c>
      <c r="M159" s="402" t="s">
        <v>1398</v>
      </c>
      <c r="N159" s="402" t="s">
        <v>1398</v>
      </c>
    </row>
    <row r="160" spans="1:14" ht="15.9">
      <c r="A160" s="312" t="s">
        <v>1294</v>
      </c>
      <c r="B160" s="355" t="s">
        <v>1399</v>
      </c>
      <c r="C160" s="355" t="s">
        <v>1399</v>
      </c>
      <c r="D160" s="355" t="s">
        <v>1399</v>
      </c>
      <c r="E160" s="355" t="s">
        <v>1399</v>
      </c>
      <c r="F160" s="355" t="s">
        <v>1399</v>
      </c>
      <c r="G160" s="355" t="s">
        <v>1399</v>
      </c>
      <c r="H160" s="355" t="s">
        <v>1399</v>
      </c>
      <c r="I160" s="355" t="s">
        <v>1399</v>
      </c>
      <c r="J160" s="355" t="s">
        <v>1399</v>
      </c>
      <c r="K160" s="355" t="s">
        <v>1399</v>
      </c>
      <c r="M160" s="356" t="s">
        <v>655</v>
      </c>
      <c r="N160" s="356" t="s">
        <v>655</v>
      </c>
    </row>
    <row r="161" spans="1:14" ht="14.6">
      <c r="B161" s="417"/>
      <c r="K161" s="416"/>
    </row>
    <row r="162" spans="1:14" ht="15.9">
      <c r="A162" s="312" t="s">
        <v>1251</v>
      </c>
      <c r="B162" s="426" t="s">
        <v>1400</v>
      </c>
      <c r="C162" s="427" t="s">
        <v>1401</v>
      </c>
      <c r="D162" s="427" t="s">
        <v>1402</v>
      </c>
      <c r="E162" s="427" t="s">
        <v>1403</v>
      </c>
      <c r="F162" s="427" t="s">
        <v>1404</v>
      </c>
      <c r="G162" s="427" t="s">
        <v>1405</v>
      </c>
      <c r="H162" s="427" t="s">
        <v>1406</v>
      </c>
      <c r="I162" s="427" t="s">
        <v>1407</v>
      </c>
      <c r="J162" s="427" t="s">
        <v>1408</v>
      </c>
      <c r="K162" s="428" t="s">
        <v>1409</v>
      </c>
      <c r="M162" s="427" t="s">
        <v>1410</v>
      </c>
      <c r="N162" s="427" t="s">
        <v>1410</v>
      </c>
    </row>
    <row r="163" spans="1:14" ht="15.9">
      <c r="A163" s="312" t="s">
        <v>1261</v>
      </c>
      <c r="B163" s="340" t="s">
        <v>1221</v>
      </c>
      <c r="C163" s="319" t="s">
        <v>1225</v>
      </c>
      <c r="D163" s="321" t="s">
        <v>1227</v>
      </c>
      <c r="E163" s="323" t="s">
        <v>1229</v>
      </c>
      <c r="F163" s="341" t="s">
        <v>1231</v>
      </c>
      <c r="G163" s="327" t="s">
        <v>1233</v>
      </c>
      <c r="H163" s="328" t="s">
        <v>1235</v>
      </c>
      <c r="I163" s="329" t="s">
        <v>1237</v>
      </c>
      <c r="J163" s="330" t="s">
        <v>1239</v>
      </c>
      <c r="K163" s="342" t="s">
        <v>1241</v>
      </c>
      <c r="M163" s="317" t="s">
        <v>1223</v>
      </c>
      <c r="N163" s="333" t="s">
        <v>1242</v>
      </c>
    </row>
    <row r="164" spans="1:14" ht="15.9">
      <c r="A164" s="312" t="s">
        <v>1262</v>
      </c>
      <c r="B164" s="343" t="s">
        <v>1222</v>
      </c>
      <c r="C164" s="344" t="s">
        <v>1222</v>
      </c>
      <c r="D164" s="344" t="s">
        <v>1222</v>
      </c>
      <c r="E164" s="344" t="s">
        <v>1222</v>
      </c>
      <c r="F164" s="344" t="s">
        <v>1222</v>
      </c>
      <c r="G164" s="344" t="s">
        <v>1222</v>
      </c>
      <c r="H164" s="344" t="s">
        <v>1222</v>
      </c>
      <c r="I164" s="344" t="s">
        <v>1222</v>
      </c>
      <c r="J164" s="344" t="s">
        <v>1222</v>
      </c>
      <c r="K164" s="345" t="s">
        <v>1222</v>
      </c>
      <c r="M164" s="344" t="s">
        <v>1222</v>
      </c>
      <c r="N164" s="344" t="s">
        <v>1222</v>
      </c>
    </row>
    <row r="165" spans="1:14" ht="15.9">
      <c r="A165" s="346" t="s">
        <v>491</v>
      </c>
      <c r="B165" s="347" t="s">
        <v>1411</v>
      </c>
      <c r="C165" s="348" t="s">
        <v>1412</v>
      </c>
      <c r="D165" s="348" t="s">
        <v>1411</v>
      </c>
      <c r="E165" s="348" t="s">
        <v>1265</v>
      </c>
      <c r="F165" s="348" t="s">
        <v>1336</v>
      </c>
      <c r="G165" s="348" t="s">
        <v>1413</v>
      </c>
      <c r="H165" s="348" t="s">
        <v>1411</v>
      </c>
      <c r="I165" s="348" t="s">
        <v>1265</v>
      </c>
      <c r="J165" s="348" t="s">
        <v>1365</v>
      </c>
      <c r="K165" s="349" t="s">
        <v>1411</v>
      </c>
      <c r="M165" s="348" t="s">
        <v>1366</v>
      </c>
      <c r="N165" s="348" t="s">
        <v>1366</v>
      </c>
    </row>
    <row r="166" spans="1:14" ht="15.9">
      <c r="A166" s="350" t="s">
        <v>1264</v>
      </c>
      <c r="B166" s="351" t="s">
        <v>1265</v>
      </c>
      <c r="C166" s="352" t="s">
        <v>1336</v>
      </c>
      <c r="D166" s="352" t="s">
        <v>1265</v>
      </c>
      <c r="E166" s="352" t="s">
        <v>1265</v>
      </c>
      <c r="F166" s="352" t="s">
        <v>1265</v>
      </c>
      <c r="G166" s="352" t="s">
        <v>1336</v>
      </c>
      <c r="H166" s="352" t="s">
        <v>1265</v>
      </c>
      <c r="I166" s="352" t="s">
        <v>1265</v>
      </c>
      <c r="J166" s="352" t="s">
        <v>1414</v>
      </c>
      <c r="K166" s="353" t="s">
        <v>1265</v>
      </c>
      <c r="M166" s="352" t="s">
        <v>1366</v>
      </c>
      <c r="N166" s="352" t="s">
        <v>1366</v>
      </c>
    </row>
    <row r="167" spans="1:14" ht="15.9">
      <c r="A167" s="354" t="s">
        <v>495</v>
      </c>
      <c r="B167" s="355">
        <v>1</v>
      </c>
      <c r="C167" s="356">
        <v>1</v>
      </c>
      <c r="D167" s="356">
        <v>1</v>
      </c>
      <c r="E167" s="356">
        <v>1</v>
      </c>
      <c r="F167" s="356">
        <v>1</v>
      </c>
      <c r="G167" s="356">
        <v>1</v>
      </c>
      <c r="H167" s="356">
        <v>1</v>
      </c>
      <c r="I167" s="356">
        <v>2</v>
      </c>
      <c r="J167" s="356">
        <v>2</v>
      </c>
      <c r="K167" s="357">
        <v>1</v>
      </c>
      <c r="M167" s="356">
        <v>1</v>
      </c>
      <c r="N167" s="356">
        <v>1</v>
      </c>
    </row>
    <row r="168" spans="1:14" ht="15.9">
      <c r="A168" s="358" t="s">
        <v>497</v>
      </c>
      <c r="B168" s="359">
        <v>2</v>
      </c>
      <c r="C168" s="360">
        <v>2</v>
      </c>
      <c r="D168" s="360">
        <v>2</v>
      </c>
      <c r="E168" s="360">
        <v>1</v>
      </c>
      <c r="F168" s="360">
        <v>2</v>
      </c>
      <c r="G168" s="360">
        <v>2</v>
      </c>
      <c r="H168" s="360">
        <v>2</v>
      </c>
      <c r="I168" s="360">
        <v>2</v>
      </c>
      <c r="J168" s="360">
        <v>2</v>
      </c>
      <c r="K168" s="361">
        <v>2</v>
      </c>
      <c r="M168" s="360">
        <v>1</v>
      </c>
      <c r="N168" s="360">
        <v>1</v>
      </c>
    </row>
    <row r="169" spans="1:14" ht="15.9">
      <c r="A169" s="312" t="s">
        <v>1266</v>
      </c>
      <c r="B169" s="362">
        <v>0.1</v>
      </c>
      <c r="C169" s="363">
        <v>0</v>
      </c>
      <c r="D169" s="363">
        <v>0</v>
      </c>
      <c r="E169" s="363">
        <v>0</v>
      </c>
      <c r="F169" s="363">
        <v>0</v>
      </c>
      <c r="G169" s="363">
        <v>0</v>
      </c>
      <c r="H169" s="363">
        <v>0</v>
      </c>
      <c r="I169" s="363">
        <v>0.1</v>
      </c>
      <c r="J169" s="363">
        <v>0</v>
      </c>
      <c r="K169" s="364">
        <v>0.5</v>
      </c>
      <c r="M169" s="363">
        <v>0</v>
      </c>
      <c r="N169" s="363">
        <v>0</v>
      </c>
    </row>
    <row r="170" spans="1:14" ht="15.9">
      <c r="A170" s="312" t="s">
        <v>1267</v>
      </c>
      <c r="B170" s="365">
        <v>0.1</v>
      </c>
      <c r="C170" s="366">
        <v>0</v>
      </c>
      <c r="D170" s="366">
        <v>0.2</v>
      </c>
      <c r="E170" s="366">
        <v>0</v>
      </c>
      <c r="F170" s="366">
        <v>0</v>
      </c>
      <c r="G170" s="366">
        <v>0</v>
      </c>
      <c r="H170" s="366">
        <v>0.2</v>
      </c>
      <c r="I170" s="366">
        <v>0.1</v>
      </c>
      <c r="J170" s="366">
        <v>0.5</v>
      </c>
      <c r="K170" s="367">
        <v>0</v>
      </c>
      <c r="M170" s="366">
        <v>0</v>
      </c>
      <c r="N170" s="366">
        <v>0</v>
      </c>
    </row>
    <row r="171" spans="1:14" ht="15.9">
      <c r="A171" s="312" t="s">
        <v>1268</v>
      </c>
      <c r="B171" s="368">
        <v>0.1</v>
      </c>
      <c r="C171" s="369">
        <v>0.1</v>
      </c>
      <c r="D171" s="369">
        <v>0</v>
      </c>
      <c r="E171" s="369">
        <v>0.2</v>
      </c>
      <c r="F171" s="369">
        <v>0</v>
      </c>
      <c r="G171" s="369">
        <v>0</v>
      </c>
      <c r="H171" s="369">
        <v>0.5</v>
      </c>
      <c r="I171" s="369">
        <v>0.1</v>
      </c>
      <c r="J171" s="369">
        <v>0</v>
      </c>
      <c r="K171" s="370">
        <v>0.2</v>
      </c>
      <c r="M171" s="369">
        <v>0</v>
      </c>
      <c r="N171" s="369">
        <v>0</v>
      </c>
    </row>
    <row r="172" spans="1:14" ht="15.9">
      <c r="A172" s="312" t="s">
        <v>1269</v>
      </c>
      <c r="B172" s="371">
        <v>0.1</v>
      </c>
      <c r="C172" s="372">
        <v>0</v>
      </c>
      <c r="D172" s="372">
        <v>0.5</v>
      </c>
      <c r="E172" s="372">
        <v>0</v>
      </c>
      <c r="F172" s="372">
        <v>0</v>
      </c>
      <c r="G172" s="372">
        <v>0</v>
      </c>
      <c r="H172" s="372">
        <v>0</v>
      </c>
      <c r="I172" s="372">
        <v>0.1</v>
      </c>
      <c r="J172" s="372">
        <v>0</v>
      </c>
      <c r="K172" s="373">
        <v>0</v>
      </c>
      <c r="M172" s="372">
        <v>0</v>
      </c>
      <c r="N172" s="372">
        <v>0</v>
      </c>
    </row>
    <row r="173" spans="1:14" ht="15.9">
      <c r="A173" s="374" t="s">
        <v>1270</v>
      </c>
      <c r="B173" s="375">
        <v>0.1</v>
      </c>
      <c r="C173" s="376">
        <v>0</v>
      </c>
      <c r="D173" s="376">
        <v>0</v>
      </c>
      <c r="E173" s="376">
        <v>0</v>
      </c>
      <c r="F173" s="376">
        <v>0.5</v>
      </c>
      <c r="G173" s="376">
        <v>0</v>
      </c>
      <c r="H173" s="376">
        <v>0</v>
      </c>
      <c r="I173" s="376">
        <v>0.1</v>
      </c>
      <c r="J173" s="376">
        <v>0</v>
      </c>
      <c r="K173" s="377">
        <v>0</v>
      </c>
      <c r="M173" s="376">
        <v>0</v>
      </c>
      <c r="N173" s="376">
        <v>0</v>
      </c>
    </row>
    <row r="174" spans="1:14" ht="15.9">
      <c r="A174" s="312" t="s">
        <v>1271</v>
      </c>
      <c r="B174" s="378">
        <v>0.1</v>
      </c>
      <c r="C174" s="379">
        <v>0</v>
      </c>
      <c r="D174" s="379">
        <v>0</v>
      </c>
      <c r="E174" s="379">
        <v>0</v>
      </c>
      <c r="F174" s="379">
        <v>0</v>
      </c>
      <c r="G174" s="379">
        <v>0</v>
      </c>
      <c r="H174" s="379">
        <v>0</v>
      </c>
      <c r="I174" s="379">
        <v>0.3</v>
      </c>
      <c r="J174" s="379">
        <v>0</v>
      </c>
      <c r="K174" s="380">
        <v>0</v>
      </c>
      <c r="M174" s="379">
        <v>0</v>
      </c>
      <c r="N174" s="379">
        <v>0</v>
      </c>
    </row>
    <row r="175" spans="1:14" ht="15.9">
      <c r="A175" s="312" t="s">
        <v>1272</v>
      </c>
      <c r="B175" s="381">
        <v>0.1</v>
      </c>
      <c r="C175" s="382">
        <v>0</v>
      </c>
      <c r="D175" s="382">
        <v>0</v>
      </c>
      <c r="E175" s="382">
        <v>0.5</v>
      </c>
      <c r="F175" s="382">
        <v>0</v>
      </c>
      <c r="G175" s="382">
        <v>0</v>
      </c>
      <c r="H175" s="382">
        <v>0</v>
      </c>
      <c r="I175" s="382">
        <v>0.1</v>
      </c>
      <c r="J175" s="382">
        <v>0</v>
      </c>
      <c r="K175" s="411">
        <v>0</v>
      </c>
      <c r="M175" s="382">
        <v>0</v>
      </c>
      <c r="N175" s="382">
        <v>0</v>
      </c>
    </row>
    <row r="176" spans="1:14" ht="15.9">
      <c r="A176" s="312" t="s">
        <v>1273</v>
      </c>
      <c r="B176" s="384">
        <v>0.1</v>
      </c>
      <c r="C176" s="385">
        <v>0</v>
      </c>
      <c r="D176" s="385">
        <v>0</v>
      </c>
      <c r="E176" s="385">
        <v>0</v>
      </c>
      <c r="F176" s="385">
        <v>0</v>
      </c>
      <c r="G176" s="385">
        <v>0.5</v>
      </c>
      <c r="H176" s="385">
        <v>0</v>
      </c>
      <c r="I176" s="385">
        <v>0.1</v>
      </c>
      <c r="J176" s="385">
        <v>0</v>
      </c>
      <c r="K176" s="412">
        <v>0</v>
      </c>
      <c r="M176" s="385">
        <v>0</v>
      </c>
      <c r="N176" s="385">
        <v>0</v>
      </c>
    </row>
    <row r="177" spans="1:14" ht="15.9">
      <c r="A177" s="312" t="s">
        <v>1274</v>
      </c>
      <c r="B177" s="387">
        <v>0.1</v>
      </c>
      <c r="C177" s="388">
        <v>0.5</v>
      </c>
      <c r="D177" s="388">
        <v>0</v>
      </c>
      <c r="E177" s="388">
        <v>0</v>
      </c>
      <c r="F177" s="388">
        <v>0</v>
      </c>
      <c r="G177" s="388">
        <v>0</v>
      </c>
      <c r="H177" s="388">
        <v>0</v>
      </c>
      <c r="I177" s="388">
        <v>0.1</v>
      </c>
      <c r="J177" s="388">
        <v>0</v>
      </c>
      <c r="K177" s="413">
        <v>0</v>
      </c>
      <c r="M177" s="388">
        <v>0</v>
      </c>
      <c r="N177" s="388">
        <v>0</v>
      </c>
    </row>
    <row r="178" spans="1:14" ht="15.9">
      <c r="A178" s="312" t="s">
        <v>519</v>
      </c>
      <c r="B178" s="355">
        <v>1</v>
      </c>
      <c r="C178" s="356">
        <v>1</v>
      </c>
      <c r="D178" s="356">
        <v>1</v>
      </c>
      <c r="E178" s="356">
        <v>1</v>
      </c>
      <c r="F178" s="356">
        <v>1</v>
      </c>
      <c r="G178" s="356">
        <v>1</v>
      </c>
      <c r="H178" s="356">
        <v>1</v>
      </c>
      <c r="I178" s="356">
        <v>1</v>
      </c>
      <c r="J178" s="356">
        <v>1</v>
      </c>
      <c r="K178" s="357">
        <v>1</v>
      </c>
      <c r="M178" s="356">
        <v>1</v>
      </c>
      <c r="N178" s="356">
        <v>1</v>
      </c>
    </row>
    <row r="179" spans="1:14" ht="15.9">
      <c r="A179" s="312" t="s">
        <v>521</v>
      </c>
      <c r="B179" s="355">
        <v>1</v>
      </c>
      <c r="C179" s="356">
        <v>1</v>
      </c>
      <c r="D179" s="356">
        <v>1</v>
      </c>
      <c r="E179" s="356">
        <v>1</v>
      </c>
      <c r="F179" s="356">
        <v>1</v>
      </c>
      <c r="G179" s="356">
        <v>1</v>
      </c>
      <c r="H179" s="356">
        <v>1</v>
      </c>
      <c r="I179" s="356">
        <v>1</v>
      </c>
      <c r="J179" s="356">
        <v>1</v>
      </c>
      <c r="K179" s="357">
        <v>1</v>
      </c>
      <c r="M179" s="356">
        <v>1</v>
      </c>
      <c r="N179" s="356">
        <v>1</v>
      </c>
    </row>
    <row r="180" spans="1:14" ht="15.9">
      <c r="A180" s="312" t="s">
        <v>522</v>
      </c>
      <c r="B180" s="391">
        <v>1</v>
      </c>
      <c r="C180" s="392">
        <v>1</v>
      </c>
      <c r="D180" s="392">
        <v>1</v>
      </c>
      <c r="E180" s="392">
        <v>1</v>
      </c>
      <c r="F180" s="392">
        <v>1</v>
      </c>
      <c r="G180" s="392">
        <v>1</v>
      </c>
      <c r="H180" s="392">
        <v>1</v>
      </c>
      <c r="I180" s="392">
        <v>1</v>
      </c>
      <c r="J180" s="392">
        <v>1</v>
      </c>
      <c r="K180" s="414">
        <v>1</v>
      </c>
      <c r="M180" s="392">
        <v>1</v>
      </c>
      <c r="N180" s="392">
        <v>1</v>
      </c>
    </row>
    <row r="181" spans="1:14" ht="15.9">
      <c r="A181" s="312" t="s">
        <v>13</v>
      </c>
      <c r="B181" s="355" t="s">
        <v>1415</v>
      </c>
      <c r="C181" s="356" t="s">
        <v>1416</v>
      </c>
      <c r="D181" s="356" t="s">
        <v>1415</v>
      </c>
      <c r="E181" s="356" t="s">
        <v>1417</v>
      </c>
      <c r="F181" s="356" t="s">
        <v>1418</v>
      </c>
      <c r="G181" s="356" t="s">
        <v>655</v>
      </c>
      <c r="H181" s="356" t="s">
        <v>1415</v>
      </c>
      <c r="I181" s="356" t="s">
        <v>1418</v>
      </c>
      <c r="J181" s="356" t="s">
        <v>1419</v>
      </c>
      <c r="K181" s="357" t="s">
        <v>1415</v>
      </c>
      <c r="M181" s="356" t="s">
        <v>1420</v>
      </c>
      <c r="N181" s="356" t="s">
        <v>1420</v>
      </c>
    </row>
    <row r="182" spans="1:14" ht="15.9">
      <c r="A182" s="394" t="s">
        <v>533</v>
      </c>
      <c r="B182" s="395" t="s">
        <v>1277</v>
      </c>
      <c r="C182" s="395" t="s">
        <v>1276</v>
      </c>
      <c r="D182" s="395" t="s">
        <v>1276</v>
      </c>
      <c r="E182" s="395" t="s">
        <v>1276</v>
      </c>
      <c r="F182" s="395" t="s">
        <v>1276</v>
      </c>
      <c r="G182" s="395" t="s">
        <v>1276</v>
      </c>
      <c r="H182" s="395" t="s">
        <v>1276</v>
      </c>
      <c r="I182" s="395" t="s">
        <v>1276</v>
      </c>
      <c r="J182" s="395" t="s">
        <v>1276</v>
      </c>
      <c r="K182" s="395" t="s">
        <v>1276</v>
      </c>
      <c r="M182" s="396" t="s">
        <v>1277</v>
      </c>
      <c r="N182" s="396" t="s">
        <v>1277</v>
      </c>
    </row>
    <row r="183" spans="1:14" ht="15.9">
      <c r="A183" s="312" t="s">
        <v>1278</v>
      </c>
      <c r="B183" s="365">
        <v>0</v>
      </c>
      <c r="C183" s="366">
        <v>0</v>
      </c>
      <c r="D183" s="366">
        <v>0</v>
      </c>
      <c r="E183" s="366">
        <v>0</v>
      </c>
      <c r="F183" s="366">
        <v>0</v>
      </c>
      <c r="G183" s="366">
        <v>0</v>
      </c>
      <c r="H183" s="366">
        <v>0</v>
      </c>
      <c r="I183" s="366">
        <v>0</v>
      </c>
      <c r="J183" s="366">
        <v>0</v>
      </c>
      <c r="K183" s="367">
        <v>0</v>
      </c>
      <c r="M183" s="366">
        <v>0</v>
      </c>
      <c r="N183" s="366">
        <v>0</v>
      </c>
    </row>
    <row r="184" spans="1:14" ht="15.9">
      <c r="A184" s="312" t="s">
        <v>35</v>
      </c>
      <c r="B184" s="398" t="s">
        <v>1421</v>
      </c>
      <c r="C184" s="399" t="s">
        <v>1421</v>
      </c>
      <c r="D184" s="399" t="s">
        <v>1421</v>
      </c>
      <c r="E184" s="399" t="s">
        <v>1421</v>
      </c>
      <c r="F184" s="399" t="s">
        <v>1421</v>
      </c>
      <c r="G184" s="399" t="s">
        <v>1421</v>
      </c>
      <c r="H184" s="399" t="s">
        <v>1421</v>
      </c>
      <c r="I184" s="399" t="s">
        <v>1421</v>
      </c>
      <c r="J184" s="399" t="s">
        <v>1421</v>
      </c>
      <c r="K184" s="399" t="s">
        <v>1421</v>
      </c>
      <c r="M184" s="399" t="s">
        <v>1368</v>
      </c>
      <c r="N184" s="399" t="s">
        <v>1368</v>
      </c>
    </row>
    <row r="185" spans="1:14" ht="15.9">
      <c r="A185" s="312" t="s">
        <v>1282</v>
      </c>
      <c r="B185" s="401">
        <v>100</v>
      </c>
      <c r="C185" s="401">
        <v>100</v>
      </c>
      <c r="D185" s="401">
        <v>100</v>
      </c>
      <c r="E185" s="401">
        <v>100</v>
      </c>
      <c r="F185" s="401">
        <v>100</v>
      </c>
      <c r="G185" s="401">
        <v>100</v>
      </c>
      <c r="H185" s="401">
        <v>100</v>
      </c>
      <c r="I185" s="401">
        <v>100</v>
      </c>
      <c r="J185" s="401">
        <v>100</v>
      </c>
      <c r="K185" s="401">
        <v>100</v>
      </c>
      <c r="M185" s="402">
        <v>100</v>
      </c>
      <c r="N185" s="402">
        <v>100</v>
      </c>
    </row>
    <row r="186" spans="1:14" ht="31.75">
      <c r="A186" s="312" t="s">
        <v>1283</v>
      </c>
      <c r="B186" s="401" t="s">
        <v>655</v>
      </c>
      <c r="C186" s="402" t="s">
        <v>1422</v>
      </c>
      <c r="D186" s="402" t="s">
        <v>655</v>
      </c>
      <c r="E186" s="402" t="s">
        <v>655</v>
      </c>
      <c r="F186" s="402" t="s">
        <v>1423</v>
      </c>
      <c r="G186" s="429" t="s">
        <v>1424</v>
      </c>
      <c r="H186" s="402" t="s">
        <v>1425</v>
      </c>
      <c r="I186" s="402" t="s">
        <v>1426</v>
      </c>
      <c r="J186" s="402" t="s">
        <v>655</v>
      </c>
      <c r="K186" s="415" t="s">
        <v>655</v>
      </c>
      <c r="M186" s="402" t="s">
        <v>655</v>
      </c>
      <c r="N186" s="402" t="s">
        <v>655</v>
      </c>
    </row>
    <row r="187" spans="1:14" ht="15.9">
      <c r="A187" s="312" t="s">
        <v>1294</v>
      </c>
      <c r="B187" s="355" t="s">
        <v>1427</v>
      </c>
      <c r="C187" s="356" t="s">
        <v>655</v>
      </c>
      <c r="D187" s="356" t="s">
        <v>1428</v>
      </c>
      <c r="E187" s="402" t="s">
        <v>1429</v>
      </c>
      <c r="F187" s="356" t="s">
        <v>655</v>
      </c>
      <c r="G187" s="356" t="s">
        <v>655</v>
      </c>
      <c r="H187" s="356" t="s">
        <v>1430</v>
      </c>
      <c r="I187" s="356" t="s">
        <v>655</v>
      </c>
      <c r="J187" s="356" t="s">
        <v>655</v>
      </c>
      <c r="K187" s="357" t="s">
        <v>1431</v>
      </c>
      <c r="M187" s="356" t="s">
        <v>655</v>
      </c>
      <c r="N187" s="356" t="s">
        <v>655</v>
      </c>
    </row>
    <row r="188" spans="1:14" ht="14.6">
      <c r="B188" s="417"/>
      <c r="K188" s="416"/>
    </row>
    <row r="189" spans="1:14" ht="15.9">
      <c r="A189" s="312" t="s">
        <v>1251</v>
      </c>
      <c r="B189" s="430" t="s">
        <v>1432</v>
      </c>
      <c r="C189" s="430" t="s">
        <v>546</v>
      </c>
      <c r="D189" s="430" t="s">
        <v>1433</v>
      </c>
      <c r="E189" s="430" t="s">
        <v>1434</v>
      </c>
      <c r="F189" s="430" t="s">
        <v>1435</v>
      </c>
      <c r="G189" s="430" t="s">
        <v>1436</v>
      </c>
      <c r="H189" s="430" t="s">
        <v>1437</v>
      </c>
      <c r="I189" s="430" t="s">
        <v>1438</v>
      </c>
      <c r="J189" s="430" t="s">
        <v>1439</v>
      </c>
      <c r="K189" s="430" t="s">
        <v>1440</v>
      </c>
      <c r="M189" s="430" t="s">
        <v>1441</v>
      </c>
      <c r="N189" s="430" t="s">
        <v>1441</v>
      </c>
    </row>
    <row r="190" spans="1:14" ht="15.9">
      <c r="A190" s="312" t="s">
        <v>1261</v>
      </c>
      <c r="B190" s="340" t="s">
        <v>1221</v>
      </c>
      <c r="C190" s="319" t="s">
        <v>1225</v>
      </c>
      <c r="D190" s="321" t="s">
        <v>1227</v>
      </c>
      <c r="E190" s="323" t="s">
        <v>1229</v>
      </c>
      <c r="F190" s="341" t="s">
        <v>1231</v>
      </c>
      <c r="G190" s="327" t="s">
        <v>1233</v>
      </c>
      <c r="H190" s="328" t="s">
        <v>1235</v>
      </c>
      <c r="I190" s="329" t="s">
        <v>1237</v>
      </c>
      <c r="J190" s="330" t="s">
        <v>1239</v>
      </c>
      <c r="K190" s="342" t="s">
        <v>1241</v>
      </c>
      <c r="M190" s="317" t="s">
        <v>1223</v>
      </c>
      <c r="N190" s="333" t="s">
        <v>1242</v>
      </c>
    </row>
    <row r="191" spans="1:14" ht="15.9">
      <c r="A191" s="312" t="s">
        <v>1262</v>
      </c>
      <c r="B191" s="343" t="s">
        <v>1228</v>
      </c>
      <c r="C191" s="344" t="s">
        <v>1228</v>
      </c>
      <c r="D191" s="344" t="s">
        <v>1228</v>
      </c>
      <c r="E191" s="344" t="s">
        <v>1228</v>
      </c>
      <c r="F191" s="344" t="s">
        <v>1228</v>
      </c>
      <c r="G191" s="344" t="s">
        <v>1228</v>
      </c>
      <c r="H191" s="344" t="s">
        <v>1228</v>
      </c>
      <c r="I191" s="344" t="s">
        <v>1228</v>
      </c>
      <c r="J191" s="344" t="s">
        <v>1228</v>
      </c>
      <c r="K191" s="345" t="s">
        <v>1228</v>
      </c>
      <c r="M191" s="344" t="s">
        <v>1228</v>
      </c>
      <c r="N191" s="344" t="s">
        <v>1228</v>
      </c>
    </row>
    <row r="192" spans="1:14" ht="15.9">
      <c r="A192" s="346" t="s">
        <v>491</v>
      </c>
      <c r="B192" s="347" t="s">
        <v>1365</v>
      </c>
      <c r="C192" s="347" t="s">
        <v>1442</v>
      </c>
      <c r="D192" s="348" t="s">
        <v>1411</v>
      </c>
      <c r="E192" s="348" t="s">
        <v>1443</v>
      </c>
      <c r="F192" s="348" t="s">
        <v>1414</v>
      </c>
      <c r="G192" s="348" t="s">
        <v>1265</v>
      </c>
      <c r="H192" s="348" t="s">
        <v>1263</v>
      </c>
      <c r="I192" s="348" t="s">
        <v>1411</v>
      </c>
      <c r="J192" s="348" t="s">
        <v>1263</v>
      </c>
      <c r="K192" s="348" t="s">
        <v>1411</v>
      </c>
      <c r="M192" s="348" t="s">
        <v>1263</v>
      </c>
      <c r="N192" s="348" t="s">
        <v>1263</v>
      </c>
    </row>
    <row r="193" spans="1:14" ht="15.9">
      <c r="A193" s="350" t="s">
        <v>1264</v>
      </c>
      <c r="B193" s="351" t="s">
        <v>1265</v>
      </c>
      <c r="C193" s="351" t="s">
        <v>1265</v>
      </c>
      <c r="D193" s="351" t="s">
        <v>1265</v>
      </c>
      <c r="E193" s="352" t="s">
        <v>655</v>
      </c>
      <c r="F193" s="351" t="s">
        <v>1265</v>
      </c>
      <c r="G193" s="351" t="s">
        <v>1265</v>
      </c>
      <c r="H193" s="352" t="s">
        <v>1263</v>
      </c>
      <c r="I193" s="351" t="s">
        <v>1265</v>
      </c>
      <c r="J193" s="351" t="s">
        <v>1263</v>
      </c>
      <c r="K193" s="351" t="s">
        <v>1263</v>
      </c>
      <c r="M193" s="351" t="s">
        <v>655</v>
      </c>
      <c r="N193" s="351" t="s">
        <v>655</v>
      </c>
    </row>
    <row r="194" spans="1:14" ht="15.9">
      <c r="A194" s="354" t="s">
        <v>495</v>
      </c>
      <c r="B194" s="355">
        <v>1</v>
      </c>
      <c r="C194" s="355">
        <v>1</v>
      </c>
      <c r="D194" s="355">
        <v>1</v>
      </c>
      <c r="E194" s="355">
        <v>1</v>
      </c>
      <c r="F194" s="355">
        <v>2</v>
      </c>
      <c r="G194" s="355">
        <v>1</v>
      </c>
      <c r="H194" s="355">
        <v>1</v>
      </c>
      <c r="I194" s="355">
        <v>1</v>
      </c>
      <c r="J194" s="355">
        <v>1</v>
      </c>
      <c r="K194" s="355">
        <v>1</v>
      </c>
      <c r="M194" s="355">
        <v>1</v>
      </c>
      <c r="N194" s="355">
        <v>1</v>
      </c>
    </row>
    <row r="195" spans="1:14" ht="15.9">
      <c r="A195" s="358" t="s">
        <v>497</v>
      </c>
      <c r="B195" s="359">
        <v>1</v>
      </c>
      <c r="C195" s="359">
        <v>1</v>
      </c>
      <c r="D195" s="359">
        <v>3</v>
      </c>
      <c r="E195" s="359">
        <v>1</v>
      </c>
      <c r="F195" s="359">
        <v>1</v>
      </c>
      <c r="G195" s="359">
        <v>1</v>
      </c>
      <c r="H195" s="359">
        <v>1</v>
      </c>
      <c r="I195" s="359">
        <v>1</v>
      </c>
      <c r="J195" s="359">
        <v>1</v>
      </c>
      <c r="K195" s="359">
        <v>1</v>
      </c>
      <c r="M195" s="359">
        <v>1</v>
      </c>
      <c r="N195" s="359">
        <v>1</v>
      </c>
    </row>
    <row r="196" spans="1:14" ht="15.9">
      <c r="A196" s="312" t="s">
        <v>1266</v>
      </c>
      <c r="B196" s="362">
        <v>0</v>
      </c>
      <c r="C196" s="362">
        <v>0</v>
      </c>
      <c r="D196" s="362">
        <v>0</v>
      </c>
      <c r="E196" s="362">
        <v>0</v>
      </c>
      <c r="F196" s="362">
        <v>0</v>
      </c>
      <c r="G196" s="362">
        <v>-0.5</v>
      </c>
      <c r="H196" s="362">
        <v>0</v>
      </c>
      <c r="I196" s="362">
        <v>0</v>
      </c>
      <c r="J196" s="362">
        <v>0</v>
      </c>
      <c r="K196" s="362">
        <v>0</v>
      </c>
      <c r="M196" s="362">
        <v>0</v>
      </c>
      <c r="N196" s="362">
        <v>0</v>
      </c>
    </row>
    <row r="197" spans="1:14" ht="15.9">
      <c r="A197" s="312" t="s">
        <v>1267</v>
      </c>
      <c r="B197" s="365">
        <v>0</v>
      </c>
      <c r="C197" s="365">
        <v>0</v>
      </c>
      <c r="D197" s="365">
        <v>0</v>
      </c>
      <c r="E197" s="365">
        <v>0</v>
      </c>
      <c r="F197" s="365">
        <v>0</v>
      </c>
      <c r="G197" s="365">
        <v>0.5</v>
      </c>
      <c r="H197" s="365">
        <v>0</v>
      </c>
      <c r="I197" s="365">
        <v>0</v>
      </c>
      <c r="J197" s="365">
        <v>0</v>
      </c>
      <c r="K197" s="365">
        <v>0</v>
      </c>
      <c r="M197" s="365">
        <v>0</v>
      </c>
      <c r="N197" s="365">
        <v>0</v>
      </c>
    </row>
    <row r="198" spans="1:14" ht="15.9">
      <c r="A198" s="312" t="s">
        <v>1268</v>
      </c>
      <c r="B198" s="368">
        <v>0</v>
      </c>
      <c r="C198" s="368">
        <v>0</v>
      </c>
      <c r="D198" s="368">
        <v>-1</v>
      </c>
      <c r="E198" s="368">
        <v>0</v>
      </c>
      <c r="F198" s="368">
        <v>0</v>
      </c>
      <c r="G198" s="368">
        <v>0</v>
      </c>
      <c r="H198" s="368">
        <v>0</v>
      </c>
      <c r="I198" s="368">
        <v>0</v>
      </c>
      <c r="J198" s="368">
        <v>0</v>
      </c>
      <c r="K198" s="368">
        <v>0</v>
      </c>
      <c r="M198" s="368">
        <v>0</v>
      </c>
      <c r="N198" s="368">
        <v>0</v>
      </c>
    </row>
    <row r="199" spans="1:14" ht="15.9">
      <c r="A199" s="312" t="s">
        <v>1269</v>
      </c>
      <c r="B199" s="371">
        <v>0</v>
      </c>
      <c r="C199" s="371">
        <v>0</v>
      </c>
      <c r="D199" s="371">
        <v>1</v>
      </c>
      <c r="E199" s="371">
        <v>0</v>
      </c>
      <c r="F199" s="371">
        <v>0</v>
      </c>
      <c r="G199" s="371">
        <v>0</v>
      </c>
      <c r="H199" s="371">
        <v>0</v>
      </c>
      <c r="I199" s="371">
        <v>0</v>
      </c>
      <c r="J199" s="371">
        <v>0</v>
      </c>
      <c r="K199" s="371">
        <v>0</v>
      </c>
      <c r="M199" s="371">
        <v>0</v>
      </c>
      <c r="N199" s="371">
        <v>0</v>
      </c>
    </row>
    <row r="200" spans="1:14" ht="15.9">
      <c r="A200" s="374" t="s">
        <v>1270</v>
      </c>
      <c r="B200" s="431">
        <v>0</v>
      </c>
      <c r="C200" s="431">
        <v>0</v>
      </c>
      <c r="D200" s="431">
        <v>-1</v>
      </c>
      <c r="E200" s="431">
        <v>0</v>
      </c>
      <c r="F200" s="431">
        <v>0</v>
      </c>
      <c r="G200" s="431">
        <v>0</v>
      </c>
      <c r="H200" s="431">
        <v>0</v>
      </c>
      <c r="I200" s="431">
        <v>0</v>
      </c>
      <c r="J200" s="431">
        <v>0</v>
      </c>
      <c r="K200" s="431">
        <v>0</v>
      </c>
      <c r="M200" s="431">
        <v>0</v>
      </c>
      <c r="N200" s="431">
        <v>0</v>
      </c>
    </row>
    <row r="201" spans="1:14" ht="15.9">
      <c r="A201" s="312" t="s">
        <v>1271</v>
      </c>
      <c r="B201" s="378">
        <v>0</v>
      </c>
      <c r="C201" s="378">
        <v>0</v>
      </c>
      <c r="D201" s="378">
        <v>0</v>
      </c>
      <c r="E201" s="378">
        <v>0</v>
      </c>
      <c r="F201" s="378">
        <v>0.5</v>
      </c>
      <c r="G201" s="378">
        <v>0</v>
      </c>
      <c r="H201" s="378">
        <v>0</v>
      </c>
      <c r="I201" s="378">
        <v>0</v>
      </c>
      <c r="J201" s="378">
        <v>0</v>
      </c>
      <c r="K201" s="378">
        <v>0</v>
      </c>
      <c r="M201" s="378">
        <v>0</v>
      </c>
      <c r="N201" s="378">
        <v>0</v>
      </c>
    </row>
    <row r="202" spans="1:14" ht="15.9">
      <c r="A202" s="312" t="s">
        <v>1272</v>
      </c>
      <c r="B202" s="381">
        <v>0</v>
      </c>
      <c r="C202" s="381">
        <v>0</v>
      </c>
      <c r="D202" s="381">
        <v>0</v>
      </c>
      <c r="E202" s="381">
        <v>0</v>
      </c>
      <c r="F202" s="381">
        <v>-0.5</v>
      </c>
      <c r="G202" s="381">
        <v>-0.5</v>
      </c>
      <c r="H202" s="381">
        <v>0</v>
      </c>
      <c r="I202" s="381">
        <v>0</v>
      </c>
      <c r="J202" s="381">
        <v>0</v>
      </c>
      <c r="K202" s="381">
        <v>0</v>
      </c>
      <c r="M202" s="381">
        <v>0</v>
      </c>
      <c r="N202" s="381">
        <v>0</v>
      </c>
    </row>
    <row r="203" spans="1:14" ht="15.9">
      <c r="A203" s="312" t="s">
        <v>1273</v>
      </c>
      <c r="B203" s="384">
        <v>0</v>
      </c>
      <c r="C203" s="384">
        <v>0</v>
      </c>
      <c r="D203" s="384">
        <v>-0.5</v>
      </c>
      <c r="E203" s="384">
        <v>0</v>
      </c>
      <c r="F203" s="384">
        <v>0</v>
      </c>
      <c r="G203" s="384">
        <v>0.5</v>
      </c>
      <c r="H203" s="384">
        <v>0</v>
      </c>
      <c r="I203" s="384">
        <v>0</v>
      </c>
      <c r="J203" s="384">
        <v>0</v>
      </c>
      <c r="K203" s="384">
        <v>0</v>
      </c>
      <c r="M203" s="384">
        <v>0</v>
      </c>
      <c r="N203" s="384">
        <v>0</v>
      </c>
    </row>
    <row r="204" spans="1:14" ht="15.9">
      <c r="A204" s="312" t="s">
        <v>1274</v>
      </c>
      <c r="B204" s="387">
        <v>0</v>
      </c>
      <c r="C204" s="387">
        <v>0</v>
      </c>
      <c r="D204" s="387">
        <v>0.5</v>
      </c>
      <c r="E204" s="387">
        <v>0</v>
      </c>
      <c r="F204" s="387">
        <v>0.5</v>
      </c>
      <c r="G204" s="387">
        <v>0</v>
      </c>
      <c r="H204" s="387">
        <v>0</v>
      </c>
      <c r="I204" s="387">
        <v>0</v>
      </c>
      <c r="J204" s="387">
        <v>0</v>
      </c>
      <c r="K204" s="387">
        <v>0</v>
      </c>
      <c r="M204" s="387">
        <v>0</v>
      </c>
      <c r="N204" s="387">
        <v>0</v>
      </c>
    </row>
    <row r="205" spans="1:14" ht="15.9">
      <c r="A205" s="312" t="s">
        <v>519</v>
      </c>
      <c r="B205" s="355">
        <v>1</v>
      </c>
      <c r="C205" s="355">
        <v>1</v>
      </c>
      <c r="D205" s="355">
        <v>1</v>
      </c>
      <c r="E205" s="355">
        <v>1</v>
      </c>
      <c r="F205" s="355">
        <v>1</v>
      </c>
      <c r="G205" s="355">
        <v>1</v>
      </c>
      <c r="H205" s="355">
        <v>1</v>
      </c>
      <c r="I205" s="355">
        <v>1</v>
      </c>
      <c r="J205" s="355">
        <v>1</v>
      </c>
      <c r="K205" s="355">
        <v>1</v>
      </c>
      <c r="M205" s="355">
        <v>1</v>
      </c>
      <c r="N205" s="355">
        <v>1</v>
      </c>
    </row>
    <row r="206" spans="1:14" ht="15.9">
      <c r="A206" s="312" t="s">
        <v>521</v>
      </c>
      <c r="B206" s="355">
        <v>1</v>
      </c>
      <c r="C206" s="355">
        <v>1</v>
      </c>
      <c r="D206" s="355">
        <v>1</v>
      </c>
      <c r="E206" s="355">
        <v>1</v>
      </c>
      <c r="F206" s="355">
        <v>1</v>
      </c>
      <c r="G206" s="355">
        <v>1</v>
      </c>
      <c r="H206" s="355">
        <v>1</v>
      </c>
      <c r="I206" s="355">
        <v>1</v>
      </c>
      <c r="J206" s="355">
        <v>1</v>
      </c>
      <c r="K206" s="355">
        <v>1</v>
      </c>
      <c r="M206" s="355">
        <v>1</v>
      </c>
      <c r="N206" s="355">
        <v>1</v>
      </c>
    </row>
    <row r="207" spans="1:14" ht="15" customHeight="1">
      <c r="A207" s="312" t="s">
        <v>522</v>
      </c>
      <c r="B207" s="391">
        <v>1</v>
      </c>
      <c r="C207" s="391">
        <v>1</v>
      </c>
      <c r="D207" s="391">
        <v>1</v>
      </c>
      <c r="E207" s="391">
        <v>1</v>
      </c>
      <c r="F207" s="391">
        <v>1</v>
      </c>
      <c r="G207" s="391">
        <v>1</v>
      </c>
      <c r="H207" s="391">
        <v>1</v>
      </c>
      <c r="I207" s="391">
        <v>1</v>
      </c>
      <c r="J207" s="391">
        <v>1</v>
      </c>
      <c r="K207" s="391">
        <v>1</v>
      </c>
      <c r="M207" s="391">
        <v>1</v>
      </c>
      <c r="N207" s="391">
        <v>1</v>
      </c>
    </row>
    <row r="208" spans="1:14" ht="15.75" customHeight="1">
      <c r="A208" s="312" t="s">
        <v>13</v>
      </c>
      <c r="B208" s="432" t="s">
        <v>1444</v>
      </c>
      <c r="C208" s="432" t="s">
        <v>1445</v>
      </c>
      <c r="D208" s="356" t="s">
        <v>1446</v>
      </c>
      <c r="E208" s="432" t="s">
        <v>1447</v>
      </c>
      <c r="F208" s="432" t="s">
        <v>1448</v>
      </c>
      <c r="G208" s="432" t="s">
        <v>1449</v>
      </c>
      <c r="H208" s="356" t="s">
        <v>1450</v>
      </c>
      <c r="I208" s="432" t="s">
        <v>1451</v>
      </c>
      <c r="J208" s="356" t="s">
        <v>1452</v>
      </c>
      <c r="K208" s="357" t="s">
        <v>1453</v>
      </c>
      <c r="M208" s="432" t="s">
        <v>1454</v>
      </c>
      <c r="N208" s="432" t="s">
        <v>1454</v>
      </c>
    </row>
    <row r="209" spans="1:17" ht="15.9">
      <c r="A209" s="394" t="s">
        <v>533</v>
      </c>
      <c r="B209" s="395" t="s">
        <v>1277</v>
      </c>
      <c r="C209" s="395" t="s">
        <v>1276</v>
      </c>
      <c r="D209" s="395" t="s">
        <v>1276</v>
      </c>
      <c r="E209" s="395" t="s">
        <v>1276</v>
      </c>
      <c r="F209" s="395" t="s">
        <v>1276</v>
      </c>
      <c r="G209" s="395" t="s">
        <v>1276</v>
      </c>
      <c r="H209" s="395" t="s">
        <v>1276</v>
      </c>
      <c r="I209" s="395" t="s">
        <v>1276</v>
      </c>
      <c r="J209" s="395" t="s">
        <v>1276</v>
      </c>
      <c r="K209" s="395" t="s">
        <v>1276</v>
      </c>
      <c r="M209" s="395" t="s">
        <v>1277</v>
      </c>
      <c r="N209" s="395" t="s">
        <v>1277</v>
      </c>
    </row>
    <row r="210" spans="1:17" ht="15.9">
      <c r="A210" s="312" t="s">
        <v>1278</v>
      </c>
      <c r="B210" s="365">
        <v>0</v>
      </c>
      <c r="C210" s="365">
        <v>0</v>
      </c>
      <c r="D210" s="365">
        <v>0</v>
      </c>
      <c r="E210" s="365">
        <v>0</v>
      </c>
      <c r="F210" s="365">
        <v>0</v>
      </c>
      <c r="G210" s="365">
        <v>0</v>
      </c>
      <c r="H210" s="365">
        <v>0</v>
      </c>
      <c r="I210" s="365">
        <v>0</v>
      </c>
      <c r="J210" s="365">
        <v>0</v>
      </c>
      <c r="K210" s="365">
        <v>0</v>
      </c>
      <c r="M210" s="365">
        <v>0</v>
      </c>
      <c r="N210" s="365">
        <v>0</v>
      </c>
    </row>
    <row r="211" spans="1:17" ht="15.9">
      <c r="A211" s="312" t="s">
        <v>35</v>
      </c>
      <c r="B211" s="398" t="s">
        <v>1455</v>
      </c>
      <c r="C211" s="398" t="s">
        <v>1455</v>
      </c>
      <c r="D211" s="398" t="s">
        <v>1456</v>
      </c>
      <c r="E211" s="398" t="s">
        <v>1455</v>
      </c>
      <c r="F211" s="398" t="s">
        <v>1455</v>
      </c>
      <c r="G211" s="398" t="s">
        <v>1455</v>
      </c>
      <c r="H211" s="398" t="s">
        <v>1456</v>
      </c>
      <c r="I211" s="398" t="s">
        <v>1456</v>
      </c>
      <c r="J211" s="398" t="s">
        <v>1456</v>
      </c>
      <c r="K211" s="398" t="s">
        <v>1455</v>
      </c>
      <c r="M211" s="398" t="s">
        <v>1457</v>
      </c>
      <c r="N211" s="398" t="s">
        <v>1457</v>
      </c>
    </row>
    <row r="212" spans="1:17" ht="15.9">
      <c r="A212" s="312" t="s">
        <v>1282</v>
      </c>
      <c r="B212" s="401">
        <v>100</v>
      </c>
      <c r="C212" s="401">
        <v>100</v>
      </c>
      <c r="D212" s="401">
        <v>100</v>
      </c>
      <c r="E212" s="401">
        <v>100</v>
      </c>
      <c r="F212" s="401">
        <v>100</v>
      </c>
      <c r="G212" s="401">
        <v>100</v>
      </c>
      <c r="H212" s="401">
        <v>100</v>
      </c>
      <c r="I212" s="401">
        <v>100</v>
      </c>
      <c r="J212" s="401">
        <v>100</v>
      </c>
      <c r="K212" s="401">
        <v>100</v>
      </c>
      <c r="M212" s="402">
        <v>100</v>
      </c>
      <c r="N212" s="402">
        <v>100</v>
      </c>
    </row>
    <row r="213" spans="1:17" ht="47.6">
      <c r="A213" s="312" t="s">
        <v>1283</v>
      </c>
      <c r="B213" s="402" t="s">
        <v>655</v>
      </c>
      <c r="C213" s="402" t="s">
        <v>1458</v>
      </c>
      <c r="D213" s="402" t="s">
        <v>1459</v>
      </c>
      <c r="E213" s="401" t="s">
        <v>1460</v>
      </c>
      <c r="F213" s="429" t="s">
        <v>1461</v>
      </c>
      <c r="G213" s="402" t="s">
        <v>655</v>
      </c>
      <c r="H213" s="402" t="s">
        <v>1462</v>
      </c>
      <c r="I213" s="402" t="s">
        <v>1463</v>
      </c>
      <c r="J213" s="402" t="s">
        <v>655</v>
      </c>
      <c r="K213" s="402" t="s">
        <v>1463</v>
      </c>
      <c r="M213" s="402" t="s">
        <v>1464</v>
      </c>
      <c r="N213" s="402" t="s">
        <v>1464</v>
      </c>
    </row>
    <row r="214" spans="1:17" ht="18.75" customHeight="1">
      <c r="A214" s="312" t="s">
        <v>1294</v>
      </c>
      <c r="B214" s="429" t="s">
        <v>1465</v>
      </c>
      <c r="C214" s="402" t="s">
        <v>1466</v>
      </c>
      <c r="D214" s="433" t="s">
        <v>1467</v>
      </c>
      <c r="E214" s="402" t="s">
        <v>655</v>
      </c>
      <c r="F214" s="402"/>
      <c r="G214" s="402" t="s">
        <v>655</v>
      </c>
      <c r="H214" s="402" t="s">
        <v>655</v>
      </c>
      <c r="I214" s="402" t="s">
        <v>1468</v>
      </c>
      <c r="J214" s="429" t="s">
        <v>1469</v>
      </c>
      <c r="K214" s="402" t="s">
        <v>1470</v>
      </c>
      <c r="M214" s="402" t="s">
        <v>1471</v>
      </c>
      <c r="N214" s="402" t="s">
        <v>1471</v>
      </c>
    </row>
    <row r="215" spans="1:17" ht="15.9">
      <c r="B215" s="402"/>
      <c r="F215" s="402"/>
    </row>
    <row r="216" spans="1:17" ht="15.9">
      <c r="A216" s="312" t="s">
        <v>1251</v>
      </c>
      <c r="B216" s="434" t="s">
        <v>1472</v>
      </c>
      <c r="C216" s="434" t="s">
        <v>1473</v>
      </c>
      <c r="D216" s="434" t="s">
        <v>1474</v>
      </c>
      <c r="E216" s="434" t="s">
        <v>1475</v>
      </c>
      <c r="F216" s="434" t="s">
        <v>1476</v>
      </c>
      <c r="G216" s="434" t="s">
        <v>1477</v>
      </c>
      <c r="H216" s="434" t="s">
        <v>1478</v>
      </c>
      <c r="I216" s="434" t="s">
        <v>1479</v>
      </c>
      <c r="J216" s="434" t="s">
        <v>1480</v>
      </c>
      <c r="K216" s="434" t="s">
        <v>1481</v>
      </c>
      <c r="M216" s="435" t="s">
        <v>1482</v>
      </c>
      <c r="N216" s="435" t="s">
        <v>1483</v>
      </c>
      <c r="O216" s="435" t="s">
        <v>1484</v>
      </c>
      <c r="P216" s="436" t="s">
        <v>1485</v>
      </c>
      <c r="Q216" s="436"/>
    </row>
    <row r="217" spans="1:17" ht="15.9">
      <c r="A217" s="312" t="s">
        <v>1261</v>
      </c>
      <c r="B217" s="340" t="s">
        <v>1221</v>
      </c>
      <c r="C217" s="319" t="s">
        <v>1225</v>
      </c>
      <c r="D217" s="321" t="s">
        <v>1227</v>
      </c>
      <c r="E217" s="323" t="s">
        <v>1229</v>
      </c>
      <c r="F217" s="341" t="s">
        <v>1231</v>
      </c>
      <c r="G217" s="327" t="s">
        <v>1221</v>
      </c>
      <c r="H217" s="328" t="s">
        <v>1235</v>
      </c>
      <c r="I217" s="329" t="s">
        <v>1237</v>
      </c>
      <c r="J217" s="330" t="s">
        <v>1239</v>
      </c>
      <c r="K217" s="342" t="s">
        <v>1241</v>
      </c>
      <c r="M217" s="317" t="s">
        <v>1223</v>
      </c>
      <c r="N217" s="333" t="s">
        <v>1242</v>
      </c>
      <c r="O217" s="333"/>
      <c r="P217" s="333"/>
      <c r="Q217" s="333"/>
    </row>
    <row r="218" spans="1:17" ht="15.9">
      <c r="A218" s="312" t="s">
        <v>1262</v>
      </c>
      <c r="B218" s="343" t="s">
        <v>1224</v>
      </c>
      <c r="C218" s="344" t="s">
        <v>1232</v>
      </c>
      <c r="D218" s="344" t="s">
        <v>1232</v>
      </c>
      <c r="E218" s="344" t="s">
        <v>1226</v>
      </c>
      <c r="F218" s="344" t="s">
        <v>1232</v>
      </c>
      <c r="G218" s="343" t="s">
        <v>1224</v>
      </c>
      <c r="H218" s="344" t="s">
        <v>1222</v>
      </c>
      <c r="I218" s="344" t="s">
        <v>1230</v>
      </c>
      <c r="J218" s="344" t="s">
        <v>1230</v>
      </c>
      <c r="K218" s="345" t="s">
        <v>1228</v>
      </c>
      <c r="M218" s="437" t="s">
        <v>1232</v>
      </c>
      <c r="N218" s="344" t="s">
        <v>1232</v>
      </c>
      <c r="O218" s="437" t="s">
        <v>1232</v>
      </c>
      <c r="P218" s="437" t="s">
        <v>1486</v>
      </c>
    </row>
    <row r="219" spans="1:17" ht="15.9">
      <c r="A219" s="346" t="s">
        <v>491</v>
      </c>
      <c r="B219" s="347" t="s">
        <v>1412</v>
      </c>
      <c r="C219" s="348" t="s">
        <v>1265</v>
      </c>
      <c r="D219" s="348" t="s">
        <v>1487</v>
      </c>
      <c r="E219" s="348" t="s">
        <v>1265</v>
      </c>
      <c r="F219" s="348" t="s">
        <v>1336</v>
      </c>
      <c r="G219" s="347" t="s">
        <v>1365</v>
      </c>
      <c r="H219" s="348" t="s">
        <v>1263</v>
      </c>
      <c r="I219" s="348" t="s">
        <v>1365</v>
      </c>
      <c r="J219" s="348" t="s">
        <v>1265</v>
      </c>
      <c r="K219" s="349" t="s">
        <v>1265</v>
      </c>
      <c r="M219" s="438" t="s">
        <v>1487</v>
      </c>
      <c r="N219" s="348" t="s">
        <v>1265</v>
      </c>
      <c r="O219" s="438" t="s">
        <v>1488</v>
      </c>
      <c r="P219" s="438" t="s">
        <v>1414</v>
      </c>
    </row>
    <row r="220" spans="1:17" ht="15.9">
      <c r="A220" s="350" t="s">
        <v>1264</v>
      </c>
      <c r="B220" s="351" t="s">
        <v>655</v>
      </c>
      <c r="C220" s="352" t="s">
        <v>1265</v>
      </c>
      <c r="D220" s="352" t="s">
        <v>1265</v>
      </c>
      <c r="E220" s="352" t="s">
        <v>1265</v>
      </c>
      <c r="F220" s="352" t="s">
        <v>1265</v>
      </c>
      <c r="G220" s="351" t="s">
        <v>655</v>
      </c>
      <c r="H220" s="352" t="s">
        <v>655</v>
      </c>
      <c r="I220" s="352" t="s">
        <v>1265</v>
      </c>
      <c r="J220" s="352" t="s">
        <v>1265</v>
      </c>
      <c r="K220" s="353" t="s">
        <v>655</v>
      </c>
      <c r="M220" s="439" t="s">
        <v>655</v>
      </c>
      <c r="N220" s="352" t="s">
        <v>1265</v>
      </c>
      <c r="O220" s="439" t="s">
        <v>655</v>
      </c>
      <c r="P220" s="439" t="s">
        <v>655</v>
      </c>
    </row>
    <row r="221" spans="1:17" ht="15.9">
      <c r="A221" s="354" t="s">
        <v>495</v>
      </c>
      <c r="B221" s="355">
        <v>-5</v>
      </c>
      <c r="C221" s="356">
        <v>3</v>
      </c>
      <c r="D221" s="356">
        <v>1</v>
      </c>
      <c r="E221" s="356">
        <v>0</v>
      </c>
      <c r="F221" s="356">
        <v>0</v>
      </c>
      <c r="G221" s="355">
        <v>1</v>
      </c>
      <c r="H221" s="356">
        <v>2</v>
      </c>
      <c r="I221" s="356">
        <v>2</v>
      </c>
      <c r="J221" s="356">
        <v>4</v>
      </c>
      <c r="K221" s="357">
        <v>5</v>
      </c>
      <c r="M221" s="440">
        <v>1</v>
      </c>
      <c r="N221" s="356">
        <v>4</v>
      </c>
      <c r="O221" s="440">
        <v>1</v>
      </c>
      <c r="P221" s="440">
        <v>1</v>
      </c>
    </row>
    <row r="222" spans="1:17" ht="15.9">
      <c r="A222" s="358" t="s">
        <v>497</v>
      </c>
      <c r="B222" s="359">
        <v>-5</v>
      </c>
      <c r="C222" s="360">
        <v>3</v>
      </c>
      <c r="D222" s="360">
        <v>1</v>
      </c>
      <c r="E222" s="360">
        <v>10</v>
      </c>
      <c r="F222" s="360">
        <v>0</v>
      </c>
      <c r="G222" s="359">
        <v>1</v>
      </c>
      <c r="H222" s="360">
        <v>2</v>
      </c>
      <c r="I222" s="360">
        <v>2</v>
      </c>
      <c r="J222" s="360">
        <v>4</v>
      </c>
      <c r="K222" s="361">
        <v>5</v>
      </c>
      <c r="M222" s="441">
        <v>1</v>
      </c>
      <c r="N222" s="360">
        <v>4</v>
      </c>
      <c r="O222" s="441">
        <v>1</v>
      </c>
      <c r="P222" s="441">
        <v>1</v>
      </c>
    </row>
    <row r="223" spans="1:17" ht="15.9">
      <c r="A223" s="312" t="s">
        <v>1266</v>
      </c>
      <c r="B223" s="362">
        <v>-0.5</v>
      </c>
      <c r="C223" s="363">
        <v>0</v>
      </c>
      <c r="D223" s="363">
        <v>0.2</v>
      </c>
      <c r="E223" s="363">
        <v>-0.2</v>
      </c>
      <c r="F223" s="363">
        <v>0</v>
      </c>
      <c r="G223" s="362">
        <v>-0.5</v>
      </c>
      <c r="H223" s="363">
        <v>0</v>
      </c>
      <c r="I223" s="363">
        <v>0</v>
      </c>
      <c r="J223" s="363">
        <v>0</v>
      </c>
      <c r="K223" s="364">
        <v>0.8</v>
      </c>
      <c r="M223" s="442">
        <v>-0.5</v>
      </c>
      <c r="N223" s="363">
        <v>0</v>
      </c>
      <c r="O223" s="442">
        <v>-0.5</v>
      </c>
      <c r="P223" s="442">
        <v>-0.5</v>
      </c>
    </row>
    <row r="224" spans="1:17" ht="15.9">
      <c r="A224" s="312" t="s">
        <v>1267</v>
      </c>
      <c r="B224" s="365">
        <v>-0.5</v>
      </c>
      <c r="C224" s="366">
        <v>0</v>
      </c>
      <c r="D224" s="366">
        <v>0</v>
      </c>
      <c r="E224" s="366">
        <v>-0.2</v>
      </c>
      <c r="F224" s="366">
        <v>0</v>
      </c>
      <c r="G224" s="365">
        <v>0.5</v>
      </c>
      <c r="H224" s="366">
        <v>0</v>
      </c>
      <c r="I224" s="366">
        <v>0</v>
      </c>
      <c r="J224" s="366">
        <v>1</v>
      </c>
      <c r="K224" s="367">
        <v>0</v>
      </c>
      <c r="M224" s="443">
        <v>0</v>
      </c>
      <c r="N224" s="366">
        <v>0</v>
      </c>
      <c r="O224" s="443">
        <v>0.5</v>
      </c>
      <c r="P224" s="443">
        <v>0</v>
      </c>
    </row>
    <row r="225" spans="1:16" ht="15.9">
      <c r="A225" s="312" t="s">
        <v>1268</v>
      </c>
      <c r="B225" s="368">
        <v>-0.5</v>
      </c>
      <c r="C225" s="369">
        <v>0</v>
      </c>
      <c r="D225" s="369">
        <v>0</v>
      </c>
      <c r="E225" s="369">
        <v>-0.2</v>
      </c>
      <c r="F225" s="369">
        <v>0</v>
      </c>
      <c r="G225" s="368">
        <v>-0.5</v>
      </c>
      <c r="H225" s="369">
        <v>2</v>
      </c>
      <c r="I225" s="369">
        <v>0</v>
      </c>
      <c r="J225" s="369">
        <v>0</v>
      </c>
      <c r="K225" s="370">
        <v>0</v>
      </c>
      <c r="M225" s="444">
        <v>-0.5</v>
      </c>
      <c r="N225" s="369">
        <v>0</v>
      </c>
      <c r="O225" s="444">
        <v>0.5</v>
      </c>
      <c r="P225" s="444">
        <v>-0.5</v>
      </c>
    </row>
    <row r="226" spans="1:16" ht="15.9">
      <c r="A226" s="312" t="s">
        <v>1269</v>
      </c>
      <c r="B226" s="371">
        <v>-0.5</v>
      </c>
      <c r="C226" s="372">
        <v>0</v>
      </c>
      <c r="D226" s="372">
        <v>0.4</v>
      </c>
      <c r="E226" s="372">
        <v>-0.2</v>
      </c>
      <c r="F226" s="372">
        <v>0</v>
      </c>
      <c r="G226" s="371">
        <v>-0.5</v>
      </c>
      <c r="H226" s="372">
        <v>0</v>
      </c>
      <c r="I226" s="372">
        <v>0</v>
      </c>
      <c r="J226" s="372">
        <v>0</v>
      </c>
      <c r="K226" s="373">
        <v>0</v>
      </c>
      <c r="M226" s="445">
        <v>0.5</v>
      </c>
      <c r="N226" s="372">
        <v>0</v>
      </c>
      <c r="O226" s="445">
        <v>-0.5</v>
      </c>
      <c r="P226" s="445">
        <v>0</v>
      </c>
    </row>
    <row r="227" spans="1:16" ht="15.9">
      <c r="A227" s="374" t="s">
        <v>1270</v>
      </c>
      <c r="B227" s="376">
        <v>-0.5</v>
      </c>
      <c r="C227" s="376">
        <v>0.2</v>
      </c>
      <c r="D227" s="446">
        <v>0</v>
      </c>
      <c r="E227" s="446">
        <v>-0.2</v>
      </c>
      <c r="F227" s="376">
        <v>0.9</v>
      </c>
      <c r="G227" s="431">
        <v>0</v>
      </c>
      <c r="H227" s="376">
        <v>0</v>
      </c>
      <c r="I227" s="376">
        <v>0</v>
      </c>
      <c r="J227" s="376">
        <v>0</v>
      </c>
      <c r="K227" s="377">
        <v>0</v>
      </c>
      <c r="M227" s="447">
        <v>0</v>
      </c>
      <c r="N227" s="376">
        <v>0</v>
      </c>
      <c r="O227" s="447">
        <v>0</v>
      </c>
      <c r="P227" s="447">
        <v>0</v>
      </c>
    </row>
    <row r="228" spans="1:16" ht="15.9">
      <c r="A228" s="312" t="s">
        <v>1271</v>
      </c>
      <c r="B228" s="378">
        <v>-0.5</v>
      </c>
      <c r="C228" s="379">
        <v>0.2</v>
      </c>
      <c r="D228" s="379">
        <v>0</v>
      </c>
      <c r="E228" s="379">
        <v>-0.2</v>
      </c>
      <c r="F228" s="379">
        <v>0</v>
      </c>
      <c r="G228" s="378">
        <v>0</v>
      </c>
      <c r="H228" s="379">
        <v>0</v>
      </c>
      <c r="I228" s="379">
        <v>0</v>
      </c>
      <c r="J228" s="379">
        <v>0</v>
      </c>
      <c r="K228" s="380">
        <v>0</v>
      </c>
      <c r="M228" s="448">
        <v>0</v>
      </c>
      <c r="N228" s="379">
        <v>0</v>
      </c>
      <c r="O228" s="448">
        <v>0</v>
      </c>
      <c r="P228" s="448">
        <v>0</v>
      </c>
    </row>
    <row r="229" spans="1:16" ht="15.9">
      <c r="A229" s="312" t="s">
        <v>1272</v>
      </c>
      <c r="B229" s="381">
        <v>-0.5</v>
      </c>
      <c r="C229" s="382">
        <v>0.2</v>
      </c>
      <c r="D229" s="382">
        <v>0</v>
      </c>
      <c r="E229" s="382">
        <v>-0.2</v>
      </c>
      <c r="F229" s="382">
        <v>0</v>
      </c>
      <c r="G229" s="381">
        <v>0</v>
      </c>
      <c r="H229" s="382">
        <v>0</v>
      </c>
      <c r="I229" s="382">
        <v>0</v>
      </c>
      <c r="J229" s="382">
        <v>0</v>
      </c>
      <c r="K229" s="411">
        <v>0</v>
      </c>
      <c r="M229" s="449">
        <v>0</v>
      </c>
      <c r="N229" s="382">
        <v>0</v>
      </c>
      <c r="O229" s="449">
        <v>-0.5</v>
      </c>
      <c r="P229" s="449">
        <v>0.5</v>
      </c>
    </row>
    <row r="230" spans="1:16" ht="15.9">
      <c r="A230" s="312" t="s">
        <v>1273</v>
      </c>
      <c r="B230" s="384">
        <v>-0.5</v>
      </c>
      <c r="C230" s="385" t="s">
        <v>1489</v>
      </c>
      <c r="D230" s="385">
        <v>0</v>
      </c>
      <c r="E230" s="385">
        <v>-0.2</v>
      </c>
      <c r="F230" s="385">
        <v>0</v>
      </c>
      <c r="G230" s="384">
        <v>0.5</v>
      </c>
      <c r="H230" s="385">
        <v>0</v>
      </c>
      <c r="I230" s="385">
        <v>0</v>
      </c>
      <c r="J230" s="385">
        <v>0</v>
      </c>
      <c r="K230" s="412">
        <v>0</v>
      </c>
      <c r="M230" s="450">
        <v>0</v>
      </c>
      <c r="N230" s="385">
        <v>0</v>
      </c>
      <c r="O230" s="450">
        <v>0</v>
      </c>
      <c r="P230" s="450">
        <v>0</v>
      </c>
    </row>
    <row r="231" spans="1:16" ht="15.9">
      <c r="A231" s="312" t="s">
        <v>1274</v>
      </c>
      <c r="B231" s="387">
        <v>-0.5</v>
      </c>
      <c r="C231" s="388">
        <v>0.5</v>
      </c>
      <c r="D231" s="388">
        <v>0</v>
      </c>
      <c r="E231" s="388">
        <v>-0.2</v>
      </c>
      <c r="F231" s="388">
        <v>0</v>
      </c>
      <c r="G231" s="387">
        <v>0.5</v>
      </c>
      <c r="H231" s="388">
        <v>0</v>
      </c>
      <c r="I231" s="388">
        <v>0</v>
      </c>
      <c r="J231" s="388">
        <v>0</v>
      </c>
      <c r="K231" s="413">
        <v>0</v>
      </c>
      <c r="M231" s="451">
        <v>0</v>
      </c>
      <c r="N231" s="388">
        <v>0.3</v>
      </c>
      <c r="O231" s="451">
        <v>0</v>
      </c>
      <c r="P231" s="451">
        <v>0</v>
      </c>
    </row>
    <row r="232" spans="1:16" ht="15.9">
      <c r="A232" s="312" t="s">
        <v>519</v>
      </c>
      <c r="B232" s="355">
        <v>1</v>
      </c>
      <c r="C232" s="356">
        <v>1</v>
      </c>
      <c r="D232" s="356">
        <v>1</v>
      </c>
      <c r="E232" s="356">
        <v>1</v>
      </c>
      <c r="F232" s="356">
        <v>1</v>
      </c>
      <c r="G232" s="355">
        <v>1</v>
      </c>
      <c r="H232" s="356">
        <v>1</v>
      </c>
      <c r="I232" s="356">
        <v>1</v>
      </c>
      <c r="J232" s="356">
        <v>1</v>
      </c>
      <c r="K232" s="357">
        <v>1</v>
      </c>
      <c r="M232" s="440">
        <v>1</v>
      </c>
      <c r="N232" s="356">
        <v>1</v>
      </c>
      <c r="O232" s="440">
        <v>1</v>
      </c>
      <c r="P232" s="440">
        <v>1</v>
      </c>
    </row>
    <row r="233" spans="1:16" ht="15.9">
      <c r="A233" s="312" t="s">
        <v>521</v>
      </c>
      <c r="B233" s="355">
        <v>1</v>
      </c>
      <c r="C233" s="356">
        <v>1</v>
      </c>
      <c r="D233" s="356">
        <v>1</v>
      </c>
      <c r="E233" s="356">
        <v>1</v>
      </c>
      <c r="F233" s="356">
        <v>1</v>
      </c>
      <c r="G233" s="355">
        <v>1</v>
      </c>
      <c r="H233" s="356">
        <v>1</v>
      </c>
      <c r="I233" s="356">
        <v>1</v>
      </c>
      <c r="J233" s="356">
        <v>1</v>
      </c>
      <c r="K233" s="357">
        <v>1</v>
      </c>
      <c r="M233" s="440">
        <v>1</v>
      </c>
      <c r="N233" s="356">
        <v>1</v>
      </c>
      <c r="O233" s="440">
        <v>1</v>
      </c>
      <c r="P233" s="440">
        <v>1</v>
      </c>
    </row>
    <row r="234" spans="1:16" ht="15.9">
      <c r="A234" s="312" t="s">
        <v>522</v>
      </c>
      <c r="B234" s="391">
        <v>1</v>
      </c>
      <c r="C234" s="392">
        <v>1</v>
      </c>
      <c r="D234" s="392">
        <v>1</v>
      </c>
      <c r="E234" s="392">
        <v>1</v>
      </c>
      <c r="F234" s="392">
        <v>1</v>
      </c>
      <c r="G234" s="391">
        <v>1</v>
      </c>
      <c r="H234" s="392">
        <v>1</v>
      </c>
      <c r="I234" s="392">
        <v>1</v>
      </c>
      <c r="J234" s="392">
        <v>1</v>
      </c>
      <c r="K234" s="414">
        <v>1</v>
      </c>
      <c r="M234" s="452">
        <v>1</v>
      </c>
      <c r="N234" s="392">
        <v>1</v>
      </c>
      <c r="O234" s="452">
        <v>1</v>
      </c>
      <c r="P234" s="452">
        <v>1</v>
      </c>
    </row>
    <row r="235" spans="1:16" ht="15.9">
      <c r="A235" s="312" t="s">
        <v>13</v>
      </c>
      <c r="B235" s="355" t="s">
        <v>1490</v>
      </c>
      <c r="C235" s="356" t="s">
        <v>1491</v>
      </c>
      <c r="D235" s="356" t="s">
        <v>1492</v>
      </c>
      <c r="E235" s="356" t="s">
        <v>1493</v>
      </c>
      <c r="F235" s="356" t="s">
        <v>1494</v>
      </c>
      <c r="G235" s="355" t="s">
        <v>1495</v>
      </c>
      <c r="H235" s="356" t="s">
        <v>655</v>
      </c>
      <c r="I235" s="356" t="s">
        <v>1496</v>
      </c>
      <c r="J235" s="356" t="s">
        <v>1497</v>
      </c>
      <c r="K235" s="357" t="s">
        <v>1498</v>
      </c>
      <c r="M235" s="440" t="s">
        <v>1499</v>
      </c>
      <c r="N235" s="356" t="s">
        <v>1500</v>
      </c>
      <c r="O235" s="440" t="s">
        <v>1501</v>
      </c>
      <c r="P235" s="453" t="s">
        <v>1502</v>
      </c>
    </row>
    <row r="236" spans="1:16" ht="15.9">
      <c r="A236" s="394" t="s">
        <v>533</v>
      </c>
      <c r="B236" s="395" t="s">
        <v>1277</v>
      </c>
      <c r="C236" s="395" t="s">
        <v>1276</v>
      </c>
      <c r="D236" s="395" t="s">
        <v>1276</v>
      </c>
      <c r="E236" s="395" t="s">
        <v>1276</v>
      </c>
      <c r="F236" s="395" t="s">
        <v>1276</v>
      </c>
      <c r="G236" s="395" t="s">
        <v>1277</v>
      </c>
      <c r="H236" s="395" t="s">
        <v>1276</v>
      </c>
      <c r="I236" s="395" t="s">
        <v>1276</v>
      </c>
      <c r="J236" s="395" t="s">
        <v>1276</v>
      </c>
      <c r="K236" s="395" t="s">
        <v>1276</v>
      </c>
      <c r="M236" s="454" t="s">
        <v>1277</v>
      </c>
      <c r="N236" s="396" t="s">
        <v>1277</v>
      </c>
      <c r="O236" s="454" t="s">
        <v>1277</v>
      </c>
      <c r="P236" s="454" t="s">
        <v>1277</v>
      </c>
    </row>
    <row r="237" spans="1:16" ht="15.9">
      <c r="A237" s="312" t="s">
        <v>1278</v>
      </c>
      <c r="B237" s="365">
        <v>0</v>
      </c>
      <c r="C237" s="366">
        <v>0.3</v>
      </c>
      <c r="D237" s="366">
        <v>0.2</v>
      </c>
      <c r="E237" s="366">
        <v>0</v>
      </c>
      <c r="F237" s="366">
        <v>0</v>
      </c>
      <c r="G237" s="365">
        <v>0</v>
      </c>
      <c r="H237" s="366">
        <v>0</v>
      </c>
      <c r="I237" s="366">
        <v>0</v>
      </c>
      <c r="J237" s="366">
        <v>0</v>
      </c>
      <c r="K237" s="367">
        <v>0</v>
      </c>
      <c r="M237" s="443">
        <v>0</v>
      </c>
      <c r="N237" s="366">
        <v>0</v>
      </c>
      <c r="O237" s="443">
        <v>0</v>
      </c>
      <c r="P237" s="443">
        <v>0</v>
      </c>
    </row>
    <row r="238" spans="1:16" ht="15.9">
      <c r="A238" s="312" t="s">
        <v>35</v>
      </c>
      <c r="B238" s="398" t="s">
        <v>1503</v>
      </c>
      <c r="C238" s="399" t="s">
        <v>1504</v>
      </c>
      <c r="D238" s="399" t="s">
        <v>1505</v>
      </c>
      <c r="E238" s="399" t="s">
        <v>1506</v>
      </c>
      <c r="F238" s="399" t="s">
        <v>1507</v>
      </c>
      <c r="G238" s="398" t="s">
        <v>1508</v>
      </c>
      <c r="H238" s="399" t="s">
        <v>1509</v>
      </c>
      <c r="I238" s="399" t="s">
        <v>1510</v>
      </c>
      <c r="J238" s="399" t="s">
        <v>1511</v>
      </c>
      <c r="K238" s="419" t="s">
        <v>1512</v>
      </c>
      <c r="M238" s="399" t="s">
        <v>1513</v>
      </c>
      <c r="N238" s="399" t="s">
        <v>1514</v>
      </c>
      <c r="O238" s="455" t="s">
        <v>1514</v>
      </c>
      <c r="P238" s="455" t="s">
        <v>1514</v>
      </c>
    </row>
    <row r="239" spans="1:16" ht="15.9">
      <c r="A239" s="312" t="s">
        <v>1282</v>
      </c>
      <c r="B239" s="401">
        <v>200</v>
      </c>
      <c r="C239" s="402">
        <v>200</v>
      </c>
      <c r="D239" s="402">
        <v>200</v>
      </c>
      <c r="E239" s="402">
        <v>200</v>
      </c>
      <c r="F239" s="402">
        <v>200</v>
      </c>
      <c r="G239" s="401">
        <v>200</v>
      </c>
      <c r="H239" s="402">
        <v>200</v>
      </c>
      <c r="I239" s="402">
        <v>200</v>
      </c>
      <c r="J239" s="402">
        <v>200</v>
      </c>
      <c r="K239" s="415">
        <v>200</v>
      </c>
      <c r="M239" s="456">
        <v>200</v>
      </c>
      <c r="N239" s="402">
        <v>200</v>
      </c>
      <c r="O239" s="456">
        <v>200</v>
      </c>
      <c r="P239" s="456">
        <v>200</v>
      </c>
    </row>
    <row r="240" spans="1:16" ht="31.75">
      <c r="A240" s="312" t="s">
        <v>1283</v>
      </c>
      <c r="B240" s="457" t="s">
        <v>1515</v>
      </c>
      <c r="C240" s="402" t="s">
        <v>655</v>
      </c>
      <c r="D240" s="402" t="s">
        <v>1516</v>
      </c>
      <c r="E240" s="402" t="s">
        <v>1517</v>
      </c>
      <c r="F240" s="402" t="s">
        <v>1518</v>
      </c>
      <c r="G240" s="401" t="s">
        <v>1519</v>
      </c>
      <c r="H240" s="429" t="s">
        <v>1520</v>
      </c>
      <c r="I240" s="402" t="s">
        <v>1399</v>
      </c>
      <c r="J240" s="402" t="s">
        <v>1521</v>
      </c>
      <c r="K240" s="415" t="s">
        <v>1522</v>
      </c>
      <c r="M240" s="456" t="s">
        <v>1523</v>
      </c>
      <c r="N240" s="402" t="s">
        <v>655</v>
      </c>
      <c r="O240" s="456" t="s">
        <v>1524</v>
      </c>
      <c r="P240" s="456" t="s">
        <v>1524</v>
      </c>
    </row>
    <row r="241" spans="1:16" ht="31.75">
      <c r="A241" s="312" t="s">
        <v>1294</v>
      </c>
      <c r="B241" s="458" t="s">
        <v>1525</v>
      </c>
      <c r="C241" s="459" t="s">
        <v>1526</v>
      </c>
      <c r="D241" s="433" t="s">
        <v>1527</v>
      </c>
      <c r="E241" s="433" t="s">
        <v>1528</v>
      </c>
      <c r="F241" s="433" t="s">
        <v>1529</v>
      </c>
      <c r="G241" s="460" t="s">
        <v>1530</v>
      </c>
      <c r="H241" s="433" t="s">
        <v>655</v>
      </c>
      <c r="I241" s="459" t="s">
        <v>1531</v>
      </c>
      <c r="J241" s="461" t="s">
        <v>1532</v>
      </c>
      <c r="K241" s="462" t="s">
        <v>1533</v>
      </c>
      <c r="M241" s="456" t="s">
        <v>1534</v>
      </c>
      <c r="N241" s="402" t="s">
        <v>1535</v>
      </c>
      <c r="O241" s="456" t="s">
        <v>1536</v>
      </c>
      <c r="P241" s="463" t="s">
        <v>1537</v>
      </c>
    </row>
    <row r="242" spans="1:16" ht="15.9">
      <c r="O242" s="456"/>
      <c r="P242" s="456"/>
    </row>
    <row r="243" spans="1:16" ht="12.75" customHeight="1">
      <c r="B243" s="861" t="s">
        <v>1538</v>
      </c>
      <c r="C243" s="861"/>
      <c r="D243" s="861"/>
      <c r="E243" s="861"/>
      <c r="F243" s="861"/>
      <c r="G243" s="861"/>
      <c r="H243" s="861"/>
      <c r="I243" s="861"/>
      <c r="J243" s="861"/>
      <c r="K243" s="861"/>
    </row>
    <row r="244" spans="1:16" ht="12.75" customHeight="1">
      <c r="B244" s="861"/>
      <c r="C244" s="861"/>
      <c r="D244" s="861"/>
      <c r="E244" s="861"/>
      <c r="F244" s="861"/>
      <c r="G244" s="861"/>
      <c r="H244" s="861"/>
      <c r="I244" s="861"/>
      <c r="J244" s="861"/>
      <c r="K244" s="861"/>
    </row>
    <row r="245" spans="1:16" ht="12.75" customHeight="1">
      <c r="B245" s="861"/>
      <c r="C245" s="861"/>
      <c r="D245" s="861"/>
      <c r="E245" s="861"/>
      <c r="F245" s="861"/>
      <c r="G245" s="861"/>
      <c r="H245" s="861"/>
      <c r="I245" s="861"/>
      <c r="J245" s="861"/>
      <c r="K245" s="861"/>
    </row>
    <row r="246" spans="1:16" ht="12.75" customHeight="1">
      <c r="B246" s="861"/>
      <c r="C246" s="861"/>
      <c r="D246" s="861"/>
      <c r="E246" s="861"/>
      <c r="F246" s="861"/>
      <c r="G246" s="861"/>
      <c r="H246" s="861"/>
      <c r="I246" s="861"/>
      <c r="J246" s="861"/>
      <c r="K246" s="861"/>
    </row>
    <row r="247" spans="1:16" ht="12.75" customHeight="1">
      <c r="B247" s="861"/>
      <c r="C247" s="861"/>
      <c r="D247" s="861"/>
      <c r="E247" s="861"/>
      <c r="F247" s="861"/>
      <c r="G247" s="861"/>
      <c r="H247" s="861"/>
      <c r="I247" s="861"/>
      <c r="J247" s="861"/>
      <c r="K247" s="861"/>
    </row>
    <row r="248" spans="1:16" ht="12.75" customHeight="1">
      <c r="B248" s="861"/>
      <c r="C248" s="861"/>
      <c r="D248" s="861"/>
      <c r="E248" s="861"/>
      <c r="F248" s="861"/>
      <c r="G248" s="861"/>
      <c r="H248" s="861"/>
      <c r="I248" s="861"/>
      <c r="J248" s="861"/>
      <c r="K248" s="861"/>
    </row>
    <row r="249" spans="1:16" ht="14.6"/>
    <row r="250" spans="1:16" ht="15.9">
      <c r="A250" s="312" t="s">
        <v>1251</v>
      </c>
      <c r="B250" s="338" t="s">
        <v>1539</v>
      </c>
      <c r="C250" s="338" t="s">
        <v>1540</v>
      </c>
      <c r="D250" s="338" t="s">
        <v>1541</v>
      </c>
      <c r="E250" s="338" t="s">
        <v>1542</v>
      </c>
      <c r="F250" s="338" t="s">
        <v>1543</v>
      </c>
      <c r="G250" s="338" t="s">
        <v>1544</v>
      </c>
      <c r="H250" s="338" t="s">
        <v>1545</v>
      </c>
      <c r="I250" s="338" t="s">
        <v>1546</v>
      </c>
      <c r="J250" s="338" t="s">
        <v>1547</v>
      </c>
      <c r="K250" s="338" t="s">
        <v>1548</v>
      </c>
      <c r="M250" s="338" t="s">
        <v>1549</v>
      </c>
      <c r="N250" s="338" t="s">
        <v>1549</v>
      </c>
    </row>
    <row r="251" spans="1:16" ht="15.9">
      <c r="A251" s="312" t="s">
        <v>1261</v>
      </c>
      <c r="B251" s="315" t="s">
        <v>1221</v>
      </c>
      <c r="C251" s="319" t="s">
        <v>1225</v>
      </c>
      <c r="D251" s="321" t="s">
        <v>1227</v>
      </c>
      <c r="E251" s="323" t="s">
        <v>1229</v>
      </c>
      <c r="F251" s="341" t="s">
        <v>1231</v>
      </c>
      <c r="G251" s="327" t="s">
        <v>1233</v>
      </c>
      <c r="H251" s="328" t="s">
        <v>1235</v>
      </c>
      <c r="I251" s="329" t="s">
        <v>1237</v>
      </c>
      <c r="J251" s="330" t="s">
        <v>1239</v>
      </c>
      <c r="K251" s="332" t="s">
        <v>1241</v>
      </c>
      <c r="M251" s="317" t="s">
        <v>1223</v>
      </c>
      <c r="N251" s="333" t="s">
        <v>1242</v>
      </c>
    </row>
    <row r="252" spans="1:16" ht="15.9">
      <c r="A252" s="312" t="s">
        <v>1262</v>
      </c>
      <c r="B252" s="344" t="s">
        <v>1224</v>
      </c>
      <c r="C252" s="344" t="s">
        <v>1224</v>
      </c>
      <c r="D252" s="344" t="s">
        <v>1224</v>
      </c>
      <c r="E252" s="344" t="s">
        <v>1224</v>
      </c>
      <c r="F252" s="344" t="s">
        <v>1224</v>
      </c>
      <c r="G252" s="344" t="s">
        <v>1224</v>
      </c>
      <c r="H252" s="344" t="s">
        <v>1224</v>
      </c>
      <c r="I252" s="344" t="s">
        <v>1224</v>
      </c>
      <c r="J252" s="344" t="s">
        <v>1224</v>
      </c>
      <c r="K252" s="344" t="s">
        <v>1224</v>
      </c>
      <c r="M252" s="344" t="s">
        <v>1224</v>
      </c>
      <c r="N252" s="344" t="s">
        <v>1224</v>
      </c>
    </row>
    <row r="253" spans="1:16" ht="15.9">
      <c r="A253" s="346" t="s">
        <v>491</v>
      </c>
      <c r="B253" s="464" t="s">
        <v>1550</v>
      </c>
      <c r="C253" s="464" t="s">
        <v>1551</v>
      </c>
      <c r="D253" s="464" t="s">
        <v>1551</v>
      </c>
      <c r="E253" s="464" t="s">
        <v>1551</v>
      </c>
      <c r="F253" s="464" t="s">
        <v>1551</v>
      </c>
      <c r="G253" s="464" t="s">
        <v>1552</v>
      </c>
      <c r="H253" s="464" t="s">
        <v>1551</v>
      </c>
      <c r="I253" s="464" t="s">
        <v>1551</v>
      </c>
      <c r="J253" s="464" t="s">
        <v>1551</v>
      </c>
      <c r="K253" s="464" t="s">
        <v>1413</v>
      </c>
      <c r="M253" s="464" t="s">
        <v>1551</v>
      </c>
      <c r="N253" s="464" t="s">
        <v>1551</v>
      </c>
    </row>
    <row r="254" spans="1:16" ht="15.9">
      <c r="A254" s="350" t="s">
        <v>1264</v>
      </c>
      <c r="B254" s="352" t="s">
        <v>655</v>
      </c>
      <c r="C254" s="352" t="s">
        <v>655</v>
      </c>
      <c r="D254" s="352" t="s">
        <v>655</v>
      </c>
      <c r="E254" s="352" t="s">
        <v>655</v>
      </c>
      <c r="F254" s="352" t="s">
        <v>655</v>
      </c>
      <c r="G254" s="352" t="s">
        <v>655</v>
      </c>
      <c r="H254" s="352" t="s">
        <v>655</v>
      </c>
      <c r="I254" s="352" t="s">
        <v>655</v>
      </c>
      <c r="J254" s="352" t="s">
        <v>655</v>
      </c>
      <c r="K254" s="352" t="s">
        <v>655</v>
      </c>
      <c r="M254" s="352" t="s">
        <v>655</v>
      </c>
      <c r="N254" s="352" t="s">
        <v>655</v>
      </c>
    </row>
    <row r="255" spans="1:16" ht="15.9">
      <c r="A255" s="354" t="s">
        <v>495</v>
      </c>
      <c r="B255" s="356">
        <v>4</v>
      </c>
      <c r="C255" s="356">
        <v>4</v>
      </c>
      <c r="D255" s="356">
        <v>4</v>
      </c>
      <c r="E255" s="356">
        <v>4</v>
      </c>
      <c r="F255" s="356">
        <v>4</v>
      </c>
      <c r="G255" s="356">
        <v>4</v>
      </c>
      <c r="H255" s="356">
        <v>4</v>
      </c>
      <c r="I255" s="356">
        <v>4</v>
      </c>
      <c r="J255" s="356">
        <v>4</v>
      </c>
      <c r="K255" s="356">
        <v>0</v>
      </c>
      <c r="M255" s="356">
        <v>4</v>
      </c>
      <c r="N255" s="356">
        <v>4</v>
      </c>
    </row>
    <row r="256" spans="1:16" ht="15.9">
      <c r="A256" s="358" t="s">
        <v>497</v>
      </c>
      <c r="B256" s="360">
        <v>4</v>
      </c>
      <c r="C256" s="360">
        <v>4</v>
      </c>
      <c r="D256" s="360">
        <v>4</v>
      </c>
      <c r="E256" s="360">
        <v>4</v>
      </c>
      <c r="F256" s="360">
        <v>4</v>
      </c>
      <c r="G256" s="360">
        <v>4</v>
      </c>
      <c r="H256" s="360">
        <v>4</v>
      </c>
      <c r="I256" s="360">
        <v>4</v>
      </c>
      <c r="J256" s="360">
        <v>4</v>
      </c>
      <c r="K256" s="360">
        <v>0</v>
      </c>
      <c r="M256" s="360">
        <v>4</v>
      </c>
      <c r="N256" s="360">
        <v>4</v>
      </c>
    </row>
    <row r="257" spans="1:14" ht="15.9">
      <c r="A257" s="312" t="s">
        <v>1266</v>
      </c>
      <c r="B257" s="363">
        <v>0</v>
      </c>
      <c r="C257" s="363">
        <v>0</v>
      </c>
      <c r="D257" s="363">
        <v>0</v>
      </c>
      <c r="E257" s="363">
        <v>0</v>
      </c>
      <c r="F257" s="363">
        <v>0</v>
      </c>
      <c r="G257" s="363">
        <v>0</v>
      </c>
      <c r="H257" s="363">
        <v>0</v>
      </c>
      <c r="I257" s="363">
        <v>0</v>
      </c>
      <c r="J257" s="363">
        <v>0</v>
      </c>
      <c r="K257" s="363">
        <v>1</v>
      </c>
      <c r="M257" s="363">
        <v>0</v>
      </c>
      <c r="N257" s="363">
        <v>0</v>
      </c>
    </row>
    <row r="258" spans="1:14" ht="15.9">
      <c r="A258" s="312" t="s">
        <v>1267</v>
      </c>
      <c r="B258" s="366">
        <v>0</v>
      </c>
      <c r="C258" s="366">
        <v>0</v>
      </c>
      <c r="D258" s="366">
        <v>0</v>
      </c>
      <c r="E258" s="366">
        <v>0</v>
      </c>
      <c r="F258" s="366">
        <v>0</v>
      </c>
      <c r="G258" s="366">
        <v>0</v>
      </c>
      <c r="H258" s="366">
        <v>0</v>
      </c>
      <c r="I258" s="366">
        <v>0</v>
      </c>
      <c r="J258" s="366">
        <v>1</v>
      </c>
      <c r="K258" s="366">
        <v>0</v>
      </c>
      <c r="M258" s="366">
        <v>1</v>
      </c>
      <c r="N258" s="366">
        <v>1</v>
      </c>
    </row>
    <row r="259" spans="1:14" ht="15.9">
      <c r="A259" s="312" t="s">
        <v>1268</v>
      </c>
      <c r="B259" s="369">
        <v>0</v>
      </c>
      <c r="C259" s="369">
        <v>0</v>
      </c>
      <c r="D259" s="369">
        <v>0</v>
      </c>
      <c r="E259" s="369">
        <v>0</v>
      </c>
      <c r="F259" s="369">
        <v>0</v>
      </c>
      <c r="G259" s="369">
        <v>0</v>
      </c>
      <c r="H259" s="369">
        <v>1</v>
      </c>
      <c r="I259" s="369">
        <v>0</v>
      </c>
      <c r="J259" s="369">
        <v>0</v>
      </c>
      <c r="K259" s="369">
        <v>0</v>
      </c>
      <c r="M259" s="369">
        <v>0</v>
      </c>
      <c r="N259" s="369">
        <v>0</v>
      </c>
    </row>
    <row r="260" spans="1:14" ht="15.9">
      <c r="A260" s="312" t="s">
        <v>1269</v>
      </c>
      <c r="B260" s="372">
        <v>0</v>
      </c>
      <c r="C260" s="372">
        <v>0</v>
      </c>
      <c r="D260" s="372">
        <v>1</v>
      </c>
      <c r="E260" s="372">
        <v>0</v>
      </c>
      <c r="F260" s="372">
        <v>0</v>
      </c>
      <c r="G260" s="372">
        <v>0</v>
      </c>
      <c r="H260" s="372">
        <v>0</v>
      </c>
      <c r="I260" s="372">
        <v>0</v>
      </c>
      <c r="J260" s="372">
        <v>0</v>
      </c>
      <c r="K260" s="372">
        <v>0</v>
      </c>
      <c r="M260" s="372">
        <v>0</v>
      </c>
      <c r="N260" s="372">
        <v>0</v>
      </c>
    </row>
    <row r="261" spans="1:14" ht="15.9">
      <c r="A261" s="465" t="s">
        <v>1270</v>
      </c>
      <c r="B261" s="376">
        <v>0</v>
      </c>
      <c r="C261" s="376">
        <v>0</v>
      </c>
      <c r="D261" s="376">
        <v>0</v>
      </c>
      <c r="E261" s="376">
        <v>0</v>
      </c>
      <c r="F261" s="376">
        <v>1</v>
      </c>
      <c r="G261" s="376">
        <v>0</v>
      </c>
      <c r="H261" s="376">
        <v>0</v>
      </c>
      <c r="I261" s="376">
        <v>0</v>
      </c>
      <c r="J261" s="376">
        <v>0</v>
      </c>
      <c r="K261" s="376">
        <v>0</v>
      </c>
      <c r="M261" s="376">
        <v>0</v>
      </c>
      <c r="N261" s="376">
        <v>0</v>
      </c>
    </row>
    <row r="262" spans="1:14" ht="15.9">
      <c r="A262" s="312" t="s">
        <v>1271</v>
      </c>
      <c r="B262" s="379">
        <v>0</v>
      </c>
      <c r="C262" s="379">
        <v>0</v>
      </c>
      <c r="D262" s="379">
        <v>0</v>
      </c>
      <c r="E262" s="379">
        <v>0</v>
      </c>
      <c r="F262" s="379">
        <v>0</v>
      </c>
      <c r="G262" s="379">
        <v>0</v>
      </c>
      <c r="H262" s="379">
        <v>0</v>
      </c>
      <c r="I262" s="379">
        <v>1</v>
      </c>
      <c r="J262" s="379">
        <v>0</v>
      </c>
      <c r="K262" s="379">
        <v>0</v>
      </c>
      <c r="M262" s="379">
        <v>0</v>
      </c>
      <c r="N262" s="379">
        <v>0</v>
      </c>
    </row>
    <row r="263" spans="1:14" ht="15.9">
      <c r="A263" s="312" t="s">
        <v>1272</v>
      </c>
      <c r="B263" s="382">
        <v>0</v>
      </c>
      <c r="C263" s="382">
        <v>0</v>
      </c>
      <c r="D263" s="382">
        <v>0</v>
      </c>
      <c r="E263" s="382">
        <v>1</v>
      </c>
      <c r="F263" s="382">
        <v>0</v>
      </c>
      <c r="G263" s="382">
        <v>0</v>
      </c>
      <c r="H263" s="382">
        <v>0</v>
      </c>
      <c r="I263" s="382">
        <v>0</v>
      </c>
      <c r="J263" s="382">
        <v>0</v>
      </c>
      <c r="K263" s="382">
        <v>0</v>
      </c>
      <c r="M263" s="382">
        <v>0</v>
      </c>
      <c r="N263" s="382">
        <v>0</v>
      </c>
    </row>
    <row r="264" spans="1:14" ht="15.9">
      <c r="A264" s="312" t="s">
        <v>1273</v>
      </c>
      <c r="B264" s="385">
        <v>1</v>
      </c>
      <c r="C264" s="385">
        <v>0</v>
      </c>
      <c r="D264" s="385">
        <v>0</v>
      </c>
      <c r="E264" s="385">
        <v>0</v>
      </c>
      <c r="F264" s="385">
        <v>0</v>
      </c>
      <c r="G264" s="385">
        <v>1</v>
      </c>
      <c r="H264" s="385">
        <v>0</v>
      </c>
      <c r="I264" s="385">
        <v>0</v>
      </c>
      <c r="J264" s="385">
        <v>0</v>
      </c>
      <c r="K264" s="385">
        <v>0</v>
      </c>
      <c r="M264" s="385">
        <v>0</v>
      </c>
      <c r="N264" s="385">
        <v>0</v>
      </c>
    </row>
    <row r="265" spans="1:14" ht="15.9">
      <c r="A265" s="312" t="s">
        <v>1274</v>
      </c>
      <c r="B265" s="388">
        <v>1</v>
      </c>
      <c r="C265" s="388">
        <v>1</v>
      </c>
      <c r="D265" s="388">
        <v>0</v>
      </c>
      <c r="E265" s="388">
        <v>0</v>
      </c>
      <c r="F265" s="388">
        <v>0</v>
      </c>
      <c r="G265" s="388">
        <v>0</v>
      </c>
      <c r="H265" s="388">
        <v>0</v>
      </c>
      <c r="I265" s="388">
        <v>0</v>
      </c>
      <c r="J265" s="388">
        <v>0</v>
      </c>
      <c r="K265" s="388">
        <v>0</v>
      </c>
      <c r="M265" s="388">
        <v>0</v>
      </c>
      <c r="N265" s="388">
        <v>0</v>
      </c>
    </row>
    <row r="266" spans="1:14" ht="15.9">
      <c r="A266" s="312" t="s">
        <v>519</v>
      </c>
      <c r="B266" s="356">
        <v>4</v>
      </c>
      <c r="C266" s="356">
        <v>4</v>
      </c>
      <c r="D266" s="356">
        <v>4</v>
      </c>
      <c r="E266" s="356">
        <v>4</v>
      </c>
      <c r="F266" s="356">
        <v>4</v>
      </c>
      <c r="G266" s="356" t="s">
        <v>1553</v>
      </c>
      <c r="H266" s="356">
        <v>4</v>
      </c>
      <c r="I266" s="356">
        <v>4</v>
      </c>
      <c r="J266" s="356">
        <v>4</v>
      </c>
      <c r="K266" s="356">
        <v>4</v>
      </c>
      <c r="M266" s="356">
        <v>1</v>
      </c>
      <c r="N266" s="356">
        <v>1</v>
      </c>
    </row>
    <row r="267" spans="1:14" ht="15.9">
      <c r="A267" s="312" t="s">
        <v>521</v>
      </c>
      <c r="B267" s="356">
        <v>4</v>
      </c>
      <c r="C267" s="356">
        <v>4</v>
      </c>
      <c r="D267" s="356">
        <v>4</v>
      </c>
      <c r="E267" s="356">
        <v>4</v>
      </c>
      <c r="F267" s="356">
        <v>4</v>
      </c>
      <c r="G267" s="356">
        <v>4</v>
      </c>
      <c r="H267" s="356">
        <v>4</v>
      </c>
      <c r="I267" s="356">
        <v>4</v>
      </c>
      <c r="J267" s="356">
        <v>4</v>
      </c>
      <c r="K267" s="356">
        <v>4</v>
      </c>
      <c r="M267" s="356">
        <v>1</v>
      </c>
      <c r="N267" s="356">
        <v>1</v>
      </c>
    </row>
    <row r="268" spans="1:14" ht="15.9">
      <c r="A268" s="312" t="s">
        <v>522</v>
      </c>
      <c r="B268" s="392">
        <v>4</v>
      </c>
      <c r="C268" s="392">
        <v>4</v>
      </c>
      <c r="D268" s="392">
        <v>4</v>
      </c>
      <c r="E268" s="392">
        <v>4</v>
      </c>
      <c r="F268" s="392">
        <v>4</v>
      </c>
      <c r="G268" s="392">
        <v>4</v>
      </c>
      <c r="H268" s="392">
        <v>4</v>
      </c>
      <c r="I268" s="392">
        <v>4</v>
      </c>
      <c r="J268" s="392">
        <v>4</v>
      </c>
      <c r="K268" s="392">
        <v>4</v>
      </c>
      <c r="M268" s="392">
        <v>1</v>
      </c>
      <c r="N268" s="392">
        <v>1</v>
      </c>
    </row>
    <row r="269" spans="1:14" ht="15.9">
      <c r="A269" s="312" t="s">
        <v>13</v>
      </c>
      <c r="B269" s="356" t="s">
        <v>1554</v>
      </c>
      <c r="C269" s="356" t="s">
        <v>1554</v>
      </c>
      <c r="D269" s="356" t="s">
        <v>1554</v>
      </c>
      <c r="E269" s="356" t="s">
        <v>1554</v>
      </c>
      <c r="F269" s="356" t="s">
        <v>1554</v>
      </c>
      <c r="G269" s="356" t="s">
        <v>1554</v>
      </c>
      <c r="H269" s="356" t="s">
        <v>1554</v>
      </c>
      <c r="I269" s="356" t="s">
        <v>1554</v>
      </c>
      <c r="J269" s="356" t="s">
        <v>1554</v>
      </c>
      <c r="K269" s="356" t="s">
        <v>1554</v>
      </c>
      <c r="M269" s="356" t="s">
        <v>1554</v>
      </c>
      <c r="N269" s="356" t="s">
        <v>1554</v>
      </c>
    </row>
    <row r="270" spans="1:14" ht="15.9">
      <c r="A270" s="394" t="s">
        <v>533</v>
      </c>
      <c r="B270" s="396" t="s">
        <v>1276</v>
      </c>
      <c r="C270" s="396" t="s">
        <v>1276</v>
      </c>
      <c r="D270" s="396" t="s">
        <v>1276</v>
      </c>
      <c r="E270" s="396" t="s">
        <v>1276</v>
      </c>
      <c r="F270" s="396" t="s">
        <v>1276</v>
      </c>
      <c r="G270" s="396" t="s">
        <v>1276</v>
      </c>
      <c r="H270" s="396" t="s">
        <v>1276</v>
      </c>
      <c r="I270" s="396" t="s">
        <v>1276</v>
      </c>
      <c r="J270" s="396" t="s">
        <v>1276</v>
      </c>
      <c r="K270" s="396" t="s">
        <v>1276</v>
      </c>
      <c r="M270" s="396" t="s">
        <v>1276</v>
      </c>
      <c r="N270" s="396" t="s">
        <v>1276</v>
      </c>
    </row>
    <row r="271" spans="1:14" ht="15.9">
      <c r="A271" s="312" t="s">
        <v>1555</v>
      </c>
      <c r="B271" s="366">
        <v>0</v>
      </c>
      <c r="C271" s="366">
        <v>0</v>
      </c>
      <c r="D271" s="366">
        <v>0</v>
      </c>
      <c r="E271" s="366">
        <v>0</v>
      </c>
      <c r="F271" s="366">
        <v>0</v>
      </c>
      <c r="G271" s="366">
        <v>0</v>
      </c>
      <c r="H271" s="366">
        <v>0</v>
      </c>
      <c r="I271" s="366">
        <v>0</v>
      </c>
      <c r="J271" s="366">
        <v>0</v>
      </c>
      <c r="K271" s="366">
        <v>0</v>
      </c>
      <c r="M271" s="366">
        <v>0</v>
      </c>
      <c r="N271" s="366">
        <v>0</v>
      </c>
    </row>
    <row r="272" spans="1:14" ht="15.9">
      <c r="A272" s="312" t="s">
        <v>35</v>
      </c>
      <c r="B272" s="399" t="s">
        <v>1556</v>
      </c>
      <c r="C272" s="399" t="s">
        <v>1556</v>
      </c>
      <c r="D272" s="399" t="s">
        <v>1556</v>
      </c>
      <c r="E272" s="399" t="s">
        <v>1556</v>
      </c>
      <c r="F272" s="399" t="s">
        <v>1556</v>
      </c>
      <c r="G272" s="399" t="s">
        <v>1556</v>
      </c>
      <c r="H272" s="399" t="s">
        <v>1556</v>
      </c>
      <c r="I272" s="399" t="s">
        <v>1556</v>
      </c>
      <c r="J272" s="399" t="s">
        <v>1556</v>
      </c>
      <c r="K272" s="399" t="s">
        <v>1556</v>
      </c>
      <c r="M272" s="399" t="s">
        <v>1557</v>
      </c>
      <c r="N272" s="399" t="s">
        <v>1557</v>
      </c>
    </row>
    <row r="273" spans="1:14" ht="15.9">
      <c r="A273" s="312" t="s">
        <v>1282</v>
      </c>
      <c r="B273" s="402">
        <v>400</v>
      </c>
      <c r="C273" s="402">
        <v>400</v>
      </c>
      <c r="D273" s="402">
        <v>400</v>
      </c>
      <c r="E273" s="402">
        <v>400</v>
      </c>
      <c r="F273" s="402">
        <v>400</v>
      </c>
      <c r="G273" s="402">
        <v>400</v>
      </c>
      <c r="H273" s="402">
        <v>400</v>
      </c>
      <c r="I273" s="402">
        <v>400</v>
      </c>
      <c r="J273" s="402">
        <v>400</v>
      </c>
      <c r="K273" s="402">
        <v>400</v>
      </c>
      <c r="M273" s="402">
        <v>400</v>
      </c>
      <c r="N273" s="402">
        <v>400</v>
      </c>
    </row>
    <row r="274" spans="1:14" ht="15.9">
      <c r="A274" s="312" t="s">
        <v>542</v>
      </c>
      <c r="B274" s="402">
        <v>4</v>
      </c>
      <c r="C274" s="402">
        <v>4</v>
      </c>
      <c r="D274" s="402">
        <v>4</v>
      </c>
      <c r="E274" s="402">
        <v>4</v>
      </c>
      <c r="F274" s="402">
        <v>4</v>
      </c>
      <c r="G274" s="402">
        <v>4</v>
      </c>
      <c r="H274" s="402">
        <v>4</v>
      </c>
      <c r="I274" s="402">
        <v>4</v>
      </c>
      <c r="J274" s="402">
        <v>4</v>
      </c>
      <c r="K274" s="402">
        <v>4</v>
      </c>
      <c r="M274" s="402">
        <v>2</v>
      </c>
      <c r="N274" s="402">
        <v>2</v>
      </c>
    </row>
    <row r="275" spans="1:14" ht="15.9">
      <c r="A275" s="312" t="s">
        <v>1283</v>
      </c>
      <c r="B275" s="402" t="s">
        <v>1284</v>
      </c>
      <c r="C275" s="402" t="s">
        <v>1285</v>
      </c>
      <c r="D275" s="402" t="s">
        <v>1286</v>
      </c>
      <c r="E275" s="402" t="s">
        <v>1287</v>
      </c>
      <c r="F275" s="402" t="s">
        <v>1288</v>
      </c>
      <c r="G275" s="402" t="s">
        <v>1289</v>
      </c>
      <c r="H275" s="402" t="s">
        <v>1284</v>
      </c>
      <c r="I275" s="402" t="s">
        <v>1290</v>
      </c>
      <c r="J275" s="402" t="s">
        <v>1291</v>
      </c>
      <c r="K275" s="402" t="s">
        <v>1292</v>
      </c>
      <c r="M275" s="402" t="s">
        <v>1558</v>
      </c>
      <c r="N275" s="402" t="s">
        <v>1558</v>
      </c>
    </row>
    <row r="276" spans="1:14" ht="15.9">
      <c r="A276" s="312" t="s">
        <v>1294</v>
      </c>
      <c r="B276" s="310" t="s">
        <v>655</v>
      </c>
      <c r="C276" s="310" t="s">
        <v>1559</v>
      </c>
      <c r="D276" s="310" t="s">
        <v>1560</v>
      </c>
      <c r="E276" s="310" t="s">
        <v>1561</v>
      </c>
      <c r="F276" s="310" t="s">
        <v>1562</v>
      </c>
      <c r="G276" s="310" t="s">
        <v>655</v>
      </c>
      <c r="H276" s="310" t="s">
        <v>1563</v>
      </c>
      <c r="I276" s="310" t="s">
        <v>1564</v>
      </c>
      <c r="J276" s="310" t="s">
        <v>1565</v>
      </c>
      <c r="K276" s="310" t="s">
        <v>1423</v>
      </c>
      <c r="M276" s="310" t="s">
        <v>1566</v>
      </c>
      <c r="N276" s="310" t="s">
        <v>1566</v>
      </c>
    </row>
    <row r="277" spans="1:14" ht="29.15">
      <c r="A277" s="312" t="s">
        <v>1567</v>
      </c>
      <c r="B277" s="310" t="s">
        <v>655</v>
      </c>
      <c r="C277" s="310" t="s">
        <v>655</v>
      </c>
      <c r="D277" s="310" t="s">
        <v>655</v>
      </c>
      <c r="E277" s="466" t="s">
        <v>1568</v>
      </c>
      <c r="F277" s="310" t="s">
        <v>655</v>
      </c>
      <c r="G277" s="310" t="s">
        <v>655</v>
      </c>
      <c r="H277" s="310" t="s">
        <v>655</v>
      </c>
      <c r="I277" s="310" t="s">
        <v>655</v>
      </c>
      <c r="J277" s="310" t="s">
        <v>655</v>
      </c>
      <c r="K277" s="310" t="s">
        <v>655</v>
      </c>
      <c r="M277" s="310" t="s">
        <v>655</v>
      </c>
      <c r="N277" s="310" t="s">
        <v>655</v>
      </c>
    </row>
    <row r="279" spans="1:14" ht="15.9">
      <c r="A279" s="312" t="s">
        <v>1251</v>
      </c>
      <c r="B279" s="407" t="s">
        <v>1569</v>
      </c>
      <c r="C279" s="407" t="s">
        <v>1570</v>
      </c>
      <c r="D279" s="407" t="s">
        <v>1571</v>
      </c>
      <c r="E279" s="407" t="s">
        <v>1572</v>
      </c>
      <c r="F279" s="407" t="s">
        <v>1573</v>
      </c>
      <c r="G279" s="407" t="s">
        <v>1574</v>
      </c>
      <c r="H279" s="407" t="s">
        <v>1575</v>
      </c>
      <c r="I279" s="407" t="s">
        <v>1576</v>
      </c>
      <c r="J279" s="407" t="s">
        <v>1577</v>
      </c>
      <c r="K279" s="407" t="s">
        <v>1578</v>
      </c>
      <c r="M279" s="407" t="s">
        <v>1579</v>
      </c>
      <c r="N279" s="407" t="s">
        <v>1579</v>
      </c>
    </row>
    <row r="280" spans="1:14" ht="15.9">
      <c r="A280" s="312" t="s">
        <v>1261</v>
      </c>
      <c r="B280" s="315" t="s">
        <v>1221</v>
      </c>
      <c r="C280" s="319" t="s">
        <v>1225</v>
      </c>
      <c r="D280" s="321" t="s">
        <v>1227</v>
      </c>
      <c r="E280" s="323" t="s">
        <v>1229</v>
      </c>
      <c r="F280" s="341" t="s">
        <v>1231</v>
      </c>
      <c r="G280" s="327" t="s">
        <v>1233</v>
      </c>
      <c r="H280" s="328" t="s">
        <v>1235</v>
      </c>
      <c r="I280" s="329" t="s">
        <v>1237</v>
      </c>
      <c r="J280" s="330" t="s">
        <v>1239</v>
      </c>
      <c r="K280" s="332" t="s">
        <v>1241</v>
      </c>
      <c r="M280" s="317" t="s">
        <v>1223</v>
      </c>
      <c r="N280" s="333" t="s">
        <v>1242</v>
      </c>
    </row>
    <row r="281" spans="1:14" ht="15.9">
      <c r="A281" s="312" t="s">
        <v>1262</v>
      </c>
      <c r="B281" s="312" t="s">
        <v>1232</v>
      </c>
      <c r="C281" s="312" t="s">
        <v>1232</v>
      </c>
      <c r="D281" s="312" t="s">
        <v>1232</v>
      </c>
      <c r="E281" s="312" t="s">
        <v>1232</v>
      </c>
      <c r="F281" s="312" t="s">
        <v>1232</v>
      </c>
      <c r="G281" s="312" t="s">
        <v>1232</v>
      </c>
      <c r="H281" s="312" t="s">
        <v>1232</v>
      </c>
      <c r="I281" s="312" t="s">
        <v>1232</v>
      </c>
      <c r="J281" s="312" t="s">
        <v>1232</v>
      </c>
      <c r="K281" s="312" t="s">
        <v>1232</v>
      </c>
      <c r="M281" s="312" t="s">
        <v>1232</v>
      </c>
      <c r="N281" s="312" t="s">
        <v>1232</v>
      </c>
    </row>
    <row r="282" spans="1:14" ht="15.9">
      <c r="A282" s="346" t="s">
        <v>491</v>
      </c>
      <c r="B282" s="348" t="s">
        <v>1551</v>
      </c>
      <c r="C282" s="348" t="s">
        <v>1413</v>
      </c>
      <c r="D282" s="348" t="s">
        <v>1413</v>
      </c>
      <c r="E282" s="348" t="s">
        <v>1413</v>
      </c>
      <c r="F282" s="348" t="s">
        <v>1413</v>
      </c>
      <c r="G282" s="348" t="s">
        <v>1413</v>
      </c>
      <c r="H282" s="348" t="s">
        <v>1413</v>
      </c>
      <c r="I282" s="348" t="s">
        <v>1413</v>
      </c>
      <c r="J282" s="348" t="s">
        <v>1365</v>
      </c>
      <c r="K282" s="348" t="s">
        <v>1413</v>
      </c>
      <c r="M282" s="348" t="s">
        <v>1365</v>
      </c>
      <c r="N282" s="348" t="s">
        <v>1365</v>
      </c>
    </row>
    <row r="283" spans="1:14" ht="15.9">
      <c r="A283" s="350" t="s">
        <v>1264</v>
      </c>
      <c r="B283" s="352" t="s">
        <v>655</v>
      </c>
      <c r="C283" s="352" t="s">
        <v>655</v>
      </c>
      <c r="D283" s="352" t="s">
        <v>655</v>
      </c>
      <c r="E283" s="352" t="s">
        <v>1551</v>
      </c>
      <c r="F283" s="352" t="s">
        <v>1413</v>
      </c>
      <c r="G283" s="352" t="s">
        <v>1580</v>
      </c>
      <c r="H283" s="352" t="s">
        <v>655</v>
      </c>
      <c r="I283" s="352" t="s">
        <v>655</v>
      </c>
      <c r="J283" s="352" t="s">
        <v>655</v>
      </c>
      <c r="K283" s="352" t="s">
        <v>655</v>
      </c>
      <c r="M283" s="352" t="s">
        <v>655</v>
      </c>
      <c r="N283" s="352" t="s">
        <v>655</v>
      </c>
    </row>
    <row r="284" spans="1:14" ht="15.9">
      <c r="A284" s="354" t="s">
        <v>495</v>
      </c>
      <c r="B284" s="356">
        <v>4</v>
      </c>
      <c r="C284" s="356">
        <v>4</v>
      </c>
      <c r="D284" s="356">
        <v>4</v>
      </c>
      <c r="E284" s="356">
        <v>4</v>
      </c>
      <c r="F284" s="356">
        <v>4</v>
      </c>
      <c r="G284" s="356">
        <v>4</v>
      </c>
      <c r="H284" s="356">
        <v>4</v>
      </c>
      <c r="I284" s="356">
        <v>6</v>
      </c>
      <c r="J284" s="356">
        <v>0</v>
      </c>
      <c r="K284" s="356">
        <v>4</v>
      </c>
      <c r="M284" s="356">
        <v>0</v>
      </c>
      <c r="N284" s="356">
        <v>0</v>
      </c>
    </row>
    <row r="285" spans="1:14" ht="15.9">
      <c r="A285" s="358" t="s">
        <v>497</v>
      </c>
      <c r="B285" s="360">
        <v>4</v>
      </c>
      <c r="C285" s="360">
        <v>4</v>
      </c>
      <c r="D285" s="360">
        <v>4</v>
      </c>
      <c r="E285" s="360">
        <v>4</v>
      </c>
      <c r="F285" s="360">
        <v>4</v>
      </c>
      <c r="G285" s="360">
        <v>4</v>
      </c>
      <c r="H285" s="360">
        <v>4</v>
      </c>
      <c r="I285" s="360">
        <v>4</v>
      </c>
      <c r="J285" s="360">
        <v>0</v>
      </c>
      <c r="K285" s="360">
        <v>4</v>
      </c>
      <c r="M285" s="360">
        <v>0</v>
      </c>
      <c r="N285" s="360">
        <v>0</v>
      </c>
    </row>
    <row r="286" spans="1:14" ht="15.9">
      <c r="A286" s="312" t="s">
        <v>1266</v>
      </c>
      <c r="B286" s="363">
        <v>0</v>
      </c>
      <c r="C286" s="363">
        <v>0</v>
      </c>
      <c r="D286" s="363">
        <v>0</v>
      </c>
      <c r="E286" s="363">
        <v>0</v>
      </c>
      <c r="F286" s="363">
        <v>0</v>
      </c>
      <c r="G286" s="363">
        <v>0</v>
      </c>
      <c r="H286" s="363">
        <v>0</v>
      </c>
      <c r="I286" s="363">
        <v>0</v>
      </c>
      <c r="J286" s="363">
        <v>0</v>
      </c>
      <c r="K286" s="363">
        <v>0.2</v>
      </c>
      <c r="M286" s="363">
        <v>0</v>
      </c>
      <c r="N286" s="363">
        <v>0</v>
      </c>
    </row>
    <row r="287" spans="1:14" ht="15.9">
      <c r="A287" s="312" t="s">
        <v>1267</v>
      </c>
      <c r="B287" s="366">
        <v>0</v>
      </c>
      <c r="C287" s="366">
        <v>0</v>
      </c>
      <c r="D287" s="366">
        <v>0</v>
      </c>
      <c r="E287" s="366">
        <v>0</v>
      </c>
      <c r="F287" s="366">
        <v>0</v>
      </c>
      <c r="G287" s="366">
        <v>0</v>
      </c>
      <c r="H287" s="366">
        <v>0</v>
      </c>
      <c r="I287" s="366">
        <v>0</v>
      </c>
      <c r="J287" s="366">
        <v>0.2</v>
      </c>
      <c r="K287" s="366">
        <v>0</v>
      </c>
      <c r="M287" s="366">
        <v>0</v>
      </c>
      <c r="N287" s="366">
        <v>0</v>
      </c>
    </row>
    <row r="288" spans="1:14" ht="15.9">
      <c r="A288" s="312" t="s">
        <v>1268</v>
      </c>
      <c r="B288" s="369">
        <v>0</v>
      </c>
      <c r="C288" s="369">
        <v>0</v>
      </c>
      <c r="D288" s="369">
        <v>0</v>
      </c>
      <c r="E288" s="369">
        <v>0</v>
      </c>
      <c r="F288" s="369">
        <v>0</v>
      </c>
      <c r="G288" s="369">
        <v>0</v>
      </c>
      <c r="H288" s="369">
        <v>0.2</v>
      </c>
      <c r="I288" s="369">
        <v>0</v>
      </c>
      <c r="J288" s="369">
        <v>0</v>
      </c>
      <c r="K288" s="369">
        <v>0</v>
      </c>
      <c r="M288" s="369">
        <v>0</v>
      </c>
      <c r="N288" s="369">
        <v>0</v>
      </c>
    </row>
    <row r="289" spans="1:14" ht="15.9">
      <c r="A289" s="312" t="s">
        <v>1269</v>
      </c>
      <c r="B289" s="372">
        <v>0</v>
      </c>
      <c r="C289" s="372">
        <v>0</v>
      </c>
      <c r="D289" s="372">
        <v>0.2</v>
      </c>
      <c r="E289" s="372">
        <v>0</v>
      </c>
      <c r="F289" s="372">
        <v>0</v>
      </c>
      <c r="G289" s="372">
        <v>0</v>
      </c>
      <c r="H289" s="372">
        <v>0</v>
      </c>
      <c r="I289" s="372">
        <v>0</v>
      </c>
      <c r="J289" s="372">
        <v>0</v>
      </c>
      <c r="K289" s="372">
        <v>0</v>
      </c>
      <c r="M289" s="372">
        <v>0</v>
      </c>
      <c r="N289" s="372">
        <v>0</v>
      </c>
    </row>
    <row r="290" spans="1:14" ht="15.9">
      <c r="A290" s="465" t="s">
        <v>1270</v>
      </c>
      <c r="B290" s="376">
        <v>0</v>
      </c>
      <c r="C290" s="376">
        <v>0</v>
      </c>
      <c r="D290" s="376">
        <v>0</v>
      </c>
      <c r="E290" s="376">
        <v>0</v>
      </c>
      <c r="F290" s="376">
        <v>0</v>
      </c>
      <c r="G290" s="376">
        <v>0</v>
      </c>
      <c r="H290" s="376">
        <v>0</v>
      </c>
      <c r="I290" s="376">
        <v>0</v>
      </c>
      <c r="J290" s="376">
        <v>0</v>
      </c>
      <c r="K290" s="376">
        <v>0</v>
      </c>
      <c r="M290" s="376">
        <v>0</v>
      </c>
      <c r="N290" s="376">
        <v>0</v>
      </c>
    </row>
    <row r="291" spans="1:14" ht="15.9">
      <c r="A291" s="312" t="s">
        <v>1271</v>
      </c>
      <c r="B291" s="379">
        <v>0</v>
      </c>
      <c r="C291" s="379">
        <v>0</v>
      </c>
      <c r="D291" s="379">
        <v>0</v>
      </c>
      <c r="E291" s="379">
        <v>0</v>
      </c>
      <c r="F291" s="379">
        <v>0</v>
      </c>
      <c r="G291" s="379">
        <v>0</v>
      </c>
      <c r="H291" s="379">
        <v>0</v>
      </c>
      <c r="I291" s="379">
        <v>0.2</v>
      </c>
      <c r="J291" s="379">
        <v>0</v>
      </c>
      <c r="K291" s="379">
        <v>0</v>
      </c>
      <c r="M291" s="379">
        <v>0</v>
      </c>
      <c r="N291" s="379">
        <v>0</v>
      </c>
    </row>
    <row r="292" spans="1:14" ht="15.9">
      <c r="A292" s="312" t="s">
        <v>1272</v>
      </c>
      <c r="B292" s="382">
        <v>0</v>
      </c>
      <c r="C292" s="382">
        <v>0</v>
      </c>
      <c r="D292" s="382">
        <v>0</v>
      </c>
      <c r="E292" s="382">
        <v>0.2</v>
      </c>
      <c r="F292" s="382">
        <v>0</v>
      </c>
      <c r="G292" s="382">
        <v>0</v>
      </c>
      <c r="H292" s="382">
        <v>0</v>
      </c>
      <c r="I292" s="382">
        <v>0</v>
      </c>
      <c r="J292" s="382">
        <v>0</v>
      </c>
      <c r="K292" s="382">
        <v>0</v>
      </c>
      <c r="M292" s="382">
        <v>0</v>
      </c>
      <c r="N292" s="382">
        <v>0</v>
      </c>
    </row>
    <row r="293" spans="1:14" ht="15.9">
      <c r="A293" s="312" t="s">
        <v>1273</v>
      </c>
      <c r="B293" s="385">
        <v>0</v>
      </c>
      <c r="C293" s="385">
        <v>0</v>
      </c>
      <c r="D293" s="385">
        <v>0</v>
      </c>
      <c r="E293" s="385">
        <v>0</v>
      </c>
      <c r="F293" s="385">
        <v>0</v>
      </c>
      <c r="G293" s="385">
        <v>0.2</v>
      </c>
      <c r="H293" s="385">
        <v>0</v>
      </c>
      <c r="I293" s="385">
        <v>0</v>
      </c>
      <c r="J293" s="385">
        <v>0</v>
      </c>
      <c r="K293" s="385">
        <v>0</v>
      </c>
      <c r="M293" s="385">
        <v>0</v>
      </c>
      <c r="N293" s="385">
        <v>0</v>
      </c>
    </row>
    <row r="294" spans="1:14" ht="15.9">
      <c r="A294" s="312" t="s">
        <v>1274</v>
      </c>
      <c r="B294" s="388">
        <v>0</v>
      </c>
      <c r="C294" s="388">
        <v>0.2</v>
      </c>
      <c r="D294" s="388">
        <v>0</v>
      </c>
      <c r="E294" s="388">
        <v>0</v>
      </c>
      <c r="F294" s="388">
        <v>0</v>
      </c>
      <c r="G294" s="388">
        <v>0</v>
      </c>
      <c r="H294" s="388">
        <v>0</v>
      </c>
      <c r="I294" s="388">
        <v>0</v>
      </c>
      <c r="J294" s="388">
        <v>0</v>
      </c>
      <c r="K294" s="388">
        <v>0</v>
      </c>
      <c r="M294" s="388">
        <v>0.2</v>
      </c>
      <c r="N294" s="388">
        <v>0.2</v>
      </c>
    </row>
    <row r="295" spans="1:14" ht="15.9">
      <c r="A295" s="312" t="s">
        <v>519</v>
      </c>
      <c r="B295" s="356">
        <v>4</v>
      </c>
      <c r="C295" s="356">
        <v>4</v>
      </c>
      <c r="D295" s="356">
        <v>4</v>
      </c>
      <c r="E295" s="356">
        <v>4</v>
      </c>
      <c r="F295" s="356">
        <v>4</v>
      </c>
      <c r="G295" s="356">
        <v>4</v>
      </c>
      <c r="H295" s="356">
        <v>4</v>
      </c>
      <c r="I295" s="356">
        <v>4</v>
      </c>
      <c r="J295" s="356">
        <v>4</v>
      </c>
      <c r="K295" s="356">
        <v>4</v>
      </c>
      <c r="M295" s="356">
        <v>1</v>
      </c>
      <c r="N295" s="356">
        <v>1</v>
      </c>
    </row>
    <row r="296" spans="1:14" ht="15.9">
      <c r="A296" s="312" t="s">
        <v>521</v>
      </c>
      <c r="B296" s="356">
        <v>4</v>
      </c>
      <c r="C296" s="356">
        <v>4</v>
      </c>
      <c r="D296" s="356">
        <v>4</v>
      </c>
      <c r="E296" s="356">
        <v>4</v>
      </c>
      <c r="F296" s="356">
        <v>4</v>
      </c>
      <c r="G296" s="356">
        <v>4</v>
      </c>
      <c r="H296" s="356">
        <v>4</v>
      </c>
      <c r="I296" s="356">
        <v>4</v>
      </c>
      <c r="J296" s="356">
        <v>4</v>
      </c>
      <c r="K296" s="356">
        <v>4</v>
      </c>
      <c r="M296" s="356">
        <v>1</v>
      </c>
      <c r="N296" s="356">
        <v>1</v>
      </c>
    </row>
    <row r="297" spans="1:14" ht="15.9">
      <c r="A297" s="312" t="s">
        <v>522</v>
      </c>
      <c r="B297" s="392">
        <v>4</v>
      </c>
      <c r="C297" s="392">
        <v>4</v>
      </c>
      <c r="D297" s="392">
        <v>4</v>
      </c>
      <c r="E297" s="392">
        <v>4</v>
      </c>
      <c r="F297" s="392">
        <v>4</v>
      </c>
      <c r="G297" s="392">
        <v>4</v>
      </c>
      <c r="H297" s="392">
        <v>4</v>
      </c>
      <c r="I297" s="392">
        <v>4</v>
      </c>
      <c r="J297" s="392">
        <v>4</v>
      </c>
      <c r="K297" s="392">
        <v>4</v>
      </c>
      <c r="M297" s="392">
        <v>1</v>
      </c>
      <c r="N297" s="392">
        <v>1</v>
      </c>
    </row>
    <row r="298" spans="1:14" ht="15.9">
      <c r="A298" s="312" t="s">
        <v>13</v>
      </c>
      <c r="B298" s="356" t="s">
        <v>1581</v>
      </c>
      <c r="C298" s="356" t="s">
        <v>1582</v>
      </c>
      <c r="D298" s="356" t="s">
        <v>1581</v>
      </c>
      <c r="E298" s="356" t="s">
        <v>1583</v>
      </c>
      <c r="F298" s="356" t="s">
        <v>1584</v>
      </c>
      <c r="G298" s="356" t="s">
        <v>655</v>
      </c>
      <c r="H298" s="356" t="s">
        <v>1581</v>
      </c>
      <c r="I298" s="356" t="s">
        <v>1581</v>
      </c>
      <c r="J298" s="356" t="s">
        <v>1581</v>
      </c>
      <c r="K298" s="356" t="s">
        <v>1581</v>
      </c>
      <c r="M298" s="356" t="s">
        <v>1581</v>
      </c>
      <c r="N298" s="356" t="s">
        <v>1581</v>
      </c>
    </row>
    <row r="299" spans="1:14" ht="15.9">
      <c r="A299" s="394" t="s">
        <v>533</v>
      </c>
      <c r="B299" s="396" t="s">
        <v>1276</v>
      </c>
      <c r="C299" s="396" t="s">
        <v>1276</v>
      </c>
      <c r="D299" s="396" t="s">
        <v>1276</v>
      </c>
      <c r="E299" s="396" t="s">
        <v>1276</v>
      </c>
      <c r="F299" s="396" t="s">
        <v>1276</v>
      </c>
      <c r="G299" s="396" t="s">
        <v>1276</v>
      </c>
      <c r="H299" s="396" t="s">
        <v>1276</v>
      </c>
      <c r="I299" s="396" t="s">
        <v>1276</v>
      </c>
      <c r="J299" s="396" t="s">
        <v>1276</v>
      </c>
      <c r="K299" s="396" t="s">
        <v>1276</v>
      </c>
      <c r="M299" s="396" t="s">
        <v>1276</v>
      </c>
      <c r="N299" s="396" t="s">
        <v>1276</v>
      </c>
    </row>
    <row r="300" spans="1:14" ht="15.9">
      <c r="A300" s="312" t="s">
        <v>1555</v>
      </c>
      <c r="B300" s="366">
        <v>0</v>
      </c>
      <c r="C300" s="366">
        <v>0</v>
      </c>
      <c r="D300" s="366">
        <v>0</v>
      </c>
      <c r="E300" s="366">
        <v>0</v>
      </c>
      <c r="F300" s="366">
        <v>0</v>
      </c>
      <c r="G300" s="366">
        <v>0</v>
      </c>
      <c r="H300" s="366">
        <v>0</v>
      </c>
      <c r="I300" s="366">
        <v>0</v>
      </c>
      <c r="J300" s="366">
        <v>0</v>
      </c>
      <c r="K300" s="366">
        <v>0</v>
      </c>
      <c r="M300" s="366">
        <v>0</v>
      </c>
      <c r="N300" s="366">
        <v>0</v>
      </c>
    </row>
    <row r="301" spans="1:14" ht="15.9">
      <c r="A301" s="312" t="s">
        <v>35</v>
      </c>
      <c r="B301" s="399" t="s">
        <v>1585</v>
      </c>
      <c r="C301" s="399" t="s">
        <v>1586</v>
      </c>
      <c r="D301" s="399" t="s">
        <v>1587</v>
      </c>
      <c r="E301" s="399" t="s">
        <v>1588</v>
      </c>
      <c r="F301" s="399" t="s">
        <v>1589</v>
      </c>
      <c r="G301" s="399" t="s">
        <v>1590</v>
      </c>
      <c r="H301" s="399" t="s">
        <v>1591</v>
      </c>
      <c r="I301" s="399" t="s">
        <v>1592</v>
      </c>
      <c r="J301" s="399" t="s">
        <v>1593</v>
      </c>
      <c r="K301" s="399" t="s">
        <v>1594</v>
      </c>
      <c r="M301" s="399" t="s">
        <v>1586</v>
      </c>
      <c r="N301" s="399" t="s">
        <v>1586</v>
      </c>
    </row>
    <row r="302" spans="1:14" ht="15.9">
      <c r="A302" s="312" t="s">
        <v>1282</v>
      </c>
      <c r="B302" s="402">
        <v>400</v>
      </c>
      <c r="C302" s="402">
        <v>400</v>
      </c>
      <c r="D302" s="402">
        <v>400</v>
      </c>
      <c r="E302" s="402">
        <v>400</v>
      </c>
      <c r="F302" s="402">
        <v>400</v>
      </c>
      <c r="G302" s="402">
        <v>400</v>
      </c>
      <c r="H302" s="402">
        <v>400</v>
      </c>
      <c r="I302" s="402">
        <v>400</v>
      </c>
      <c r="J302" s="402">
        <v>400</v>
      </c>
      <c r="K302" s="402">
        <v>400</v>
      </c>
      <c r="M302" s="402">
        <v>400</v>
      </c>
      <c r="N302" s="402">
        <v>400</v>
      </c>
    </row>
    <row r="303" spans="1:14" ht="15.9">
      <c r="A303" s="312" t="s">
        <v>542</v>
      </c>
      <c r="B303" s="402">
        <v>4</v>
      </c>
      <c r="C303" s="402">
        <v>4</v>
      </c>
      <c r="D303" s="402">
        <v>4</v>
      </c>
      <c r="E303" s="402">
        <v>4</v>
      </c>
      <c r="F303" s="402">
        <v>4</v>
      </c>
      <c r="G303" s="402">
        <v>4</v>
      </c>
      <c r="H303" s="402">
        <v>4</v>
      </c>
      <c r="I303" s="402">
        <v>4</v>
      </c>
      <c r="J303" s="402">
        <v>4</v>
      </c>
      <c r="K303" s="402">
        <v>4</v>
      </c>
      <c r="M303" s="402">
        <v>2</v>
      </c>
      <c r="N303" s="402">
        <v>2</v>
      </c>
    </row>
    <row r="304" spans="1:14" ht="15.9">
      <c r="A304" s="312" t="s">
        <v>1283</v>
      </c>
      <c r="B304" s="402" t="s">
        <v>655</v>
      </c>
      <c r="C304" s="402" t="s">
        <v>1595</v>
      </c>
      <c r="D304" s="402" t="s">
        <v>1596</v>
      </c>
      <c r="E304" s="402" t="s">
        <v>1516</v>
      </c>
      <c r="F304" s="402" t="s">
        <v>1597</v>
      </c>
      <c r="G304" s="402" t="s">
        <v>1598</v>
      </c>
      <c r="H304" s="402" t="s">
        <v>1599</v>
      </c>
      <c r="I304" s="402" t="s">
        <v>1600</v>
      </c>
      <c r="J304" s="402" t="s">
        <v>1601</v>
      </c>
      <c r="K304" s="402" t="s">
        <v>1423</v>
      </c>
      <c r="M304" s="402" t="s">
        <v>1602</v>
      </c>
      <c r="N304" s="402" t="s">
        <v>1602</v>
      </c>
    </row>
    <row r="305" spans="1:14" ht="29.15">
      <c r="A305" s="312" t="s">
        <v>1294</v>
      </c>
      <c r="B305" s="310" t="s">
        <v>1603</v>
      </c>
      <c r="C305" s="310" t="s">
        <v>655</v>
      </c>
      <c r="D305" s="310" t="s">
        <v>1603</v>
      </c>
      <c r="E305" s="310" t="s">
        <v>1604</v>
      </c>
      <c r="F305" s="466" t="s">
        <v>1605</v>
      </c>
      <c r="G305" s="310" t="s">
        <v>1606</v>
      </c>
      <c r="H305" s="310" t="s">
        <v>1607</v>
      </c>
      <c r="I305" s="310" t="s">
        <v>1608</v>
      </c>
      <c r="J305" s="310" t="s">
        <v>655</v>
      </c>
      <c r="K305" s="310" t="s">
        <v>1603</v>
      </c>
      <c r="M305" s="310" t="s">
        <v>655</v>
      </c>
      <c r="N305" s="310" t="s">
        <v>655</v>
      </c>
    </row>
    <row r="306" spans="1:14" ht="15.9">
      <c r="A306" s="312" t="s">
        <v>1567</v>
      </c>
      <c r="B306" s="467" t="s">
        <v>655</v>
      </c>
      <c r="C306" s="310" t="s">
        <v>655</v>
      </c>
      <c r="D306" s="310" t="s">
        <v>655</v>
      </c>
      <c r="E306" s="310" t="s">
        <v>1609</v>
      </c>
      <c r="F306" s="310" t="s">
        <v>1610</v>
      </c>
      <c r="G306" s="310" t="s">
        <v>1611</v>
      </c>
      <c r="H306" s="310" t="s">
        <v>655</v>
      </c>
      <c r="I306" s="310" t="s">
        <v>655</v>
      </c>
      <c r="J306" s="310" t="s">
        <v>655</v>
      </c>
      <c r="K306" s="310" t="s">
        <v>655</v>
      </c>
      <c r="M306" s="310" t="s">
        <v>655</v>
      </c>
      <c r="N306" s="310" t="s">
        <v>655</v>
      </c>
    </row>
    <row r="308" spans="1:14" ht="15.9">
      <c r="A308" s="312" t="s">
        <v>1251</v>
      </c>
      <c r="B308" s="407" t="s">
        <v>1612</v>
      </c>
      <c r="C308" s="407" t="s">
        <v>1613</v>
      </c>
      <c r="D308" s="407" t="s">
        <v>1614</v>
      </c>
      <c r="E308" s="407" t="s">
        <v>1615</v>
      </c>
      <c r="F308" s="407" t="s">
        <v>1616</v>
      </c>
      <c r="G308" s="407" t="s">
        <v>1617</v>
      </c>
      <c r="H308" s="407" t="s">
        <v>1618</v>
      </c>
      <c r="I308" s="407" t="s">
        <v>1619</v>
      </c>
      <c r="J308" s="407" t="s">
        <v>1620</v>
      </c>
      <c r="K308" s="407" t="s">
        <v>1621</v>
      </c>
      <c r="M308" s="407" t="s">
        <v>1622</v>
      </c>
      <c r="N308" s="407" t="s">
        <v>1622</v>
      </c>
    </row>
    <row r="309" spans="1:14" ht="15.9">
      <c r="A309" s="312" t="s">
        <v>1261</v>
      </c>
      <c r="B309" s="315" t="s">
        <v>1221</v>
      </c>
      <c r="C309" s="319" t="s">
        <v>1225</v>
      </c>
      <c r="D309" s="321" t="s">
        <v>1227</v>
      </c>
      <c r="E309" s="323" t="s">
        <v>1229</v>
      </c>
      <c r="F309" s="341" t="s">
        <v>1231</v>
      </c>
      <c r="G309" s="327" t="s">
        <v>1233</v>
      </c>
      <c r="H309" s="328" t="s">
        <v>1235</v>
      </c>
      <c r="I309" s="329" t="s">
        <v>1237</v>
      </c>
      <c r="J309" s="330" t="s">
        <v>1239</v>
      </c>
      <c r="K309" s="332" t="s">
        <v>1241</v>
      </c>
      <c r="M309" s="317" t="s">
        <v>1223</v>
      </c>
      <c r="N309" s="333" t="s">
        <v>1242</v>
      </c>
    </row>
    <row r="310" spans="1:14" ht="15.9">
      <c r="A310" s="312" t="s">
        <v>1262</v>
      </c>
      <c r="B310" s="312" t="s">
        <v>1232</v>
      </c>
      <c r="C310" s="312" t="s">
        <v>1232</v>
      </c>
      <c r="D310" s="312" t="s">
        <v>1232</v>
      </c>
      <c r="E310" s="312" t="s">
        <v>1232</v>
      </c>
      <c r="F310" s="312" t="s">
        <v>1232</v>
      </c>
      <c r="G310" s="312" t="s">
        <v>1232</v>
      </c>
      <c r="H310" s="312" t="s">
        <v>1232</v>
      </c>
      <c r="I310" s="312" t="s">
        <v>1232</v>
      </c>
      <c r="J310" s="312" t="s">
        <v>1232</v>
      </c>
      <c r="K310" s="312" t="s">
        <v>1232</v>
      </c>
      <c r="M310" s="312" t="s">
        <v>1232</v>
      </c>
      <c r="N310" s="312" t="s">
        <v>1232</v>
      </c>
    </row>
    <row r="311" spans="1:14" ht="15.9">
      <c r="A311" s="346" t="s">
        <v>491</v>
      </c>
      <c r="B311" s="348" t="s">
        <v>1623</v>
      </c>
      <c r="C311" s="348" t="s">
        <v>1552</v>
      </c>
      <c r="D311" s="348" t="s">
        <v>1551</v>
      </c>
      <c r="E311" s="348" t="s">
        <v>1551</v>
      </c>
      <c r="F311" s="348" t="s">
        <v>1551</v>
      </c>
      <c r="G311" s="348" t="s">
        <v>1551</v>
      </c>
      <c r="H311" s="348" t="s">
        <v>1551</v>
      </c>
      <c r="I311" s="348" t="s">
        <v>1624</v>
      </c>
      <c r="J311" s="348" t="s">
        <v>1551</v>
      </c>
      <c r="K311" s="348" t="s">
        <v>1623</v>
      </c>
      <c r="M311" s="348" t="s">
        <v>1551</v>
      </c>
      <c r="N311" s="348" t="s">
        <v>1551</v>
      </c>
    </row>
    <row r="312" spans="1:14" ht="15.9">
      <c r="A312" s="350" t="s">
        <v>1264</v>
      </c>
      <c r="B312" s="352" t="s">
        <v>1551</v>
      </c>
      <c r="C312" s="352" t="s">
        <v>655</v>
      </c>
      <c r="D312" s="352" t="s">
        <v>1551</v>
      </c>
      <c r="E312" s="352" t="s">
        <v>1551</v>
      </c>
      <c r="F312" s="352" t="s">
        <v>1551</v>
      </c>
      <c r="G312" s="352" t="s">
        <v>1551</v>
      </c>
      <c r="H312" s="352" t="s">
        <v>1551</v>
      </c>
      <c r="I312" s="352" t="s">
        <v>655</v>
      </c>
      <c r="J312" s="352" t="s">
        <v>1551</v>
      </c>
      <c r="K312" s="352" t="s">
        <v>1551</v>
      </c>
      <c r="M312" s="352" t="s">
        <v>1551</v>
      </c>
      <c r="N312" s="352" t="s">
        <v>1551</v>
      </c>
    </row>
    <row r="313" spans="1:14" ht="15.9">
      <c r="A313" s="354" t="s">
        <v>495</v>
      </c>
      <c r="B313" s="356">
        <v>4</v>
      </c>
      <c r="C313" s="356">
        <v>5</v>
      </c>
      <c r="D313" s="356">
        <v>4</v>
      </c>
      <c r="E313" s="356">
        <v>4</v>
      </c>
      <c r="F313" s="356">
        <v>4</v>
      </c>
      <c r="G313" s="356">
        <v>4</v>
      </c>
      <c r="H313" s="356">
        <v>4</v>
      </c>
      <c r="I313" s="356">
        <v>5</v>
      </c>
      <c r="J313" s="356">
        <v>4</v>
      </c>
      <c r="K313" s="356">
        <v>5</v>
      </c>
      <c r="L313" s="468"/>
      <c r="M313" s="356">
        <v>4</v>
      </c>
      <c r="N313" s="356">
        <v>4</v>
      </c>
    </row>
    <row r="314" spans="1:14" ht="15.9">
      <c r="A314" s="358" t="s">
        <v>497</v>
      </c>
      <c r="B314" s="360">
        <v>4</v>
      </c>
      <c r="C314" s="360">
        <v>2</v>
      </c>
      <c r="D314" s="360">
        <v>4</v>
      </c>
      <c r="E314" s="360">
        <v>4</v>
      </c>
      <c r="F314" s="360">
        <v>4</v>
      </c>
      <c r="G314" s="360">
        <v>4</v>
      </c>
      <c r="H314" s="360">
        <v>4</v>
      </c>
      <c r="I314" s="360">
        <v>4</v>
      </c>
      <c r="J314" s="360">
        <v>4</v>
      </c>
      <c r="K314" s="360">
        <v>3</v>
      </c>
      <c r="L314" s="468"/>
      <c r="M314" s="360">
        <v>4</v>
      </c>
      <c r="N314" s="360">
        <v>4</v>
      </c>
    </row>
    <row r="315" spans="1:14" ht="15.9">
      <c r="A315" s="312" t="s">
        <v>1266</v>
      </c>
      <c r="B315" s="363">
        <v>-0.4</v>
      </c>
      <c r="C315" s="363">
        <v>0</v>
      </c>
      <c r="D315" s="363">
        <v>0</v>
      </c>
      <c r="E315" s="363">
        <v>0</v>
      </c>
      <c r="F315" s="363">
        <v>0.2</v>
      </c>
      <c r="G315" s="363">
        <v>0</v>
      </c>
      <c r="H315" s="363">
        <v>0</v>
      </c>
      <c r="I315" s="363">
        <v>0</v>
      </c>
      <c r="J315" s="363">
        <v>0</v>
      </c>
      <c r="K315" s="363">
        <v>-0.5</v>
      </c>
      <c r="L315" s="468"/>
      <c r="M315" s="363">
        <v>0</v>
      </c>
      <c r="N315" s="363">
        <v>0</v>
      </c>
    </row>
    <row r="316" spans="1:14" ht="15.9">
      <c r="A316" s="312" t="s">
        <v>1267</v>
      </c>
      <c r="B316" s="366">
        <v>0.4</v>
      </c>
      <c r="C316" s="366">
        <v>0</v>
      </c>
      <c r="D316" s="366">
        <v>0</v>
      </c>
      <c r="E316" s="366">
        <v>0</v>
      </c>
      <c r="F316" s="366">
        <v>0</v>
      </c>
      <c r="G316" s="366">
        <v>0</v>
      </c>
      <c r="H316" s="366">
        <v>0</v>
      </c>
      <c r="I316" s="366">
        <v>0</v>
      </c>
      <c r="J316" s="366">
        <v>0</v>
      </c>
      <c r="K316" s="366">
        <v>0.5</v>
      </c>
      <c r="L316" s="468"/>
      <c r="M316" s="366">
        <v>0</v>
      </c>
      <c r="N316" s="366">
        <v>0</v>
      </c>
    </row>
    <row r="317" spans="1:14" ht="15.9">
      <c r="A317" s="312" t="s">
        <v>1268</v>
      </c>
      <c r="B317" s="369">
        <v>-0.3</v>
      </c>
      <c r="C317" s="369">
        <v>0</v>
      </c>
      <c r="D317" s="369">
        <v>-0.4</v>
      </c>
      <c r="E317" s="369">
        <v>0</v>
      </c>
      <c r="F317" s="369">
        <v>-0.1</v>
      </c>
      <c r="G317" s="369">
        <v>0</v>
      </c>
      <c r="H317" s="369">
        <v>0.8</v>
      </c>
      <c r="I317" s="369">
        <v>0</v>
      </c>
      <c r="J317" s="369">
        <v>-0.4</v>
      </c>
      <c r="K317" s="369">
        <v>0.5</v>
      </c>
      <c r="L317" s="468"/>
      <c r="M317" s="369">
        <v>-0.4</v>
      </c>
      <c r="N317" s="369">
        <v>-0.4</v>
      </c>
    </row>
    <row r="318" spans="1:14" ht="15.9">
      <c r="A318" s="312" t="s">
        <v>1269</v>
      </c>
      <c r="B318" s="372">
        <v>-0.3</v>
      </c>
      <c r="C318" s="372">
        <v>0</v>
      </c>
      <c r="D318" s="372">
        <v>0.2</v>
      </c>
      <c r="E318" s="372">
        <v>-0.7</v>
      </c>
      <c r="F318" s="372">
        <v>-0.6</v>
      </c>
      <c r="G318" s="372">
        <v>0</v>
      </c>
      <c r="H318" s="372">
        <v>-0.8</v>
      </c>
      <c r="I318" s="372">
        <v>0</v>
      </c>
      <c r="J318" s="372">
        <v>0</v>
      </c>
      <c r="K318" s="372">
        <v>-0.5</v>
      </c>
      <c r="L318" s="468"/>
      <c r="M318" s="372">
        <v>0</v>
      </c>
      <c r="N318" s="372">
        <v>0</v>
      </c>
    </row>
    <row r="319" spans="1:14" ht="15.9">
      <c r="A319" s="465" t="s">
        <v>1270</v>
      </c>
      <c r="B319" s="376">
        <v>0.3</v>
      </c>
      <c r="C319" s="376">
        <v>0</v>
      </c>
      <c r="D319" s="376">
        <v>0</v>
      </c>
      <c r="E319" s="376">
        <v>0</v>
      </c>
      <c r="F319" s="376">
        <v>0.2</v>
      </c>
      <c r="G319" s="376">
        <v>-0.8</v>
      </c>
      <c r="H319" s="376">
        <v>0.3</v>
      </c>
      <c r="I319" s="376">
        <v>0</v>
      </c>
      <c r="J319" s="376">
        <v>0</v>
      </c>
      <c r="K319" s="376">
        <v>0.5</v>
      </c>
      <c r="L319" s="468"/>
      <c r="M319" s="376">
        <v>0</v>
      </c>
      <c r="N319" s="376">
        <v>0</v>
      </c>
    </row>
    <row r="320" spans="1:14" ht="15.9">
      <c r="A320" s="312" t="s">
        <v>1271</v>
      </c>
      <c r="B320" s="379">
        <v>-0.8</v>
      </c>
      <c r="C320" s="379">
        <v>0</v>
      </c>
      <c r="D320" s="379">
        <v>0</v>
      </c>
      <c r="E320" s="379">
        <v>0</v>
      </c>
      <c r="F320" s="379">
        <v>0.2</v>
      </c>
      <c r="G320" s="379">
        <v>0</v>
      </c>
      <c r="H320" s="379">
        <v>0</v>
      </c>
      <c r="I320" s="379">
        <v>0.2</v>
      </c>
      <c r="J320" s="379">
        <v>0</v>
      </c>
      <c r="K320" s="379">
        <v>0</v>
      </c>
      <c r="L320" s="468"/>
      <c r="M320" s="379">
        <v>0</v>
      </c>
      <c r="N320" s="379">
        <v>0</v>
      </c>
    </row>
    <row r="321" spans="1:14" ht="15.9">
      <c r="A321" s="312" t="s">
        <v>1272</v>
      </c>
      <c r="B321" s="382">
        <v>0.6</v>
      </c>
      <c r="C321" s="382">
        <v>0</v>
      </c>
      <c r="D321" s="382">
        <v>0</v>
      </c>
      <c r="E321" s="382">
        <v>0.2</v>
      </c>
      <c r="F321" s="382">
        <v>-0.6</v>
      </c>
      <c r="G321" s="382">
        <v>0</v>
      </c>
      <c r="H321" s="382">
        <v>-0.2</v>
      </c>
      <c r="I321" s="382">
        <v>0</v>
      </c>
      <c r="J321" s="382">
        <v>0</v>
      </c>
      <c r="K321" s="382">
        <v>-0.2</v>
      </c>
      <c r="L321" s="468"/>
      <c r="M321" s="382">
        <v>0</v>
      </c>
      <c r="N321" s="382">
        <v>0</v>
      </c>
    </row>
    <row r="322" spans="1:14" ht="15.9">
      <c r="A322" s="312" t="s">
        <v>1273</v>
      </c>
      <c r="B322" s="385">
        <v>-0.3</v>
      </c>
      <c r="C322" s="385">
        <v>0</v>
      </c>
      <c r="D322" s="385">
        <v>0</v>
      </c>
      <c r="E322" s="385">
        <v>0</v>
      </c>
      <c r="F322" s="385">
        <v>0</v>
      </c>
      <c r="G322" s="385">
        <v>0.3</v>
      </c>
      <c r="H322" s="385">
        <v>-0.2</v>
      </c>
      <c r="I322" s="385">
        <v>0</v>
      </c>
      <c r="J322" s="385">
        <v>0</v>
      </c>
      <c r="K322" s="385">
        <v>0</v>
      </c>
      <c r="L322" s="468"/>
      <c r="M322" s="385">
        <v>0</v>
      </c>
      <c r="N322" s="385">
        <v>0</v>
      </c>
    </row>
    <row r="323" spans="1:14" ht="15.9">
      <c r="A323" s="312" t="s">
        <v>1274</v>
      </c>
      <c r="B323" s="388">
        <v>0</v>
      </c>
      <c r="C323" s="388">
        <v>0</v>
      </c>
      <c r="D323" s="388">
        <v>0</v>
      </c>
      <c r="E323" s="388">
        <v>0</v>
      </c>
      <c r="F323" s="388">
        <v>0.2</v>
      </c>
      <c r="G323" s="388">
        <v>0</v>
      </c>
      <c r="H323" s="388">
        <v>0</v>
      </c>
      <c r="I323" s="388">
        <v>0</v>
      </c>
      <c r="J323" s="388">
        <v>0.3</v>
      </c>
      <c r="K323" s="388">
        <v>0</v>
      </c>
      <c r="L323" s="468"/>
      <c r="M323" s="388">
        <v>0.3</v>
      </c>
      <c r="N323" s="388">
        <v>0.3</v>
      </c>
    </row>
    <row r="324" spans="1:14" ht="15.9">
      <c r="A324" s="312" t="s">
        <v>519</v>
      </c>
      <c r="B324" s="356">
        <v>4</v>
      </c>
      <c r="C324" s="356">
        <v>4</v>
      </c>
      <c r="D324" s="356">
        <v>4</v>
      </c>
      <c r="E324" s="356">
        <v>4</v>
      </c>
      <c r="F324" s="356">
        <v>4</v>
      </c>
      <c r="G324" s="356">
        <v>4</v>
      </c>
      <c r="H324" s="356">
        <v>4</v>
      </c>
      <c r="I324" s="356">
        <v>4</v>
      </c>
      <c r="J324" s="356">
        <v>4</v>
      </c>
      <c r="K324" s="356">
        <v>4</v>
      </c>
      <c r="L324" s="468"/>
      <c r="M324" s="356">
        <v>1</v>
      </c>
      <c r="N324" s="356">
        <v>1</v>
      </c>
    </row>
    <row r="325" spans="1:14" ht="15.9">
      <c r="A325" s="312" t="s">
        <v>521</v>
      </c>
      <c r="B325" s="356">
        <v>4</v>
      </c>
      <c r="C325" s="356">
        <v>4</v>
      </c>
      <c r="D325" s="356">
        <v>4</v>
      </c>
      <c r="E325" s="356">
        <v>4</v>
      </c>
      <c r="F325" s="356">
        <v>4</v>
      </c>
      <c r="G325" s="356">
        <v>4</v>
      </c>
      <c r="H325" s="356">
        <v>4</v>
      </c>
      <c r="I325" s="356">
        <v>4</v>
      </c>
      <c r="J325" s="356">
        <v>4</v>
      </c>
      <c r="K325" s="356">
        <v>4</v>
      </c>
      <c r="L325" s="469"/>
      <c r="M325" s="356">
        <v>1</v>
      </c>
      <c r="N325" s="356">
        <v>1</v>
      </c>
    </row>
    <row r="326" spans="1:14" ht="15.9">
      <c r="A326" s="312" t="s">
        <v>522</v>
      </c>
      <c r="B326" s="392">
        <v>4</v>
      </c>
      <c r="C326" s="392">
        <v>4</v>
      </c>
      <c r="D326" s="392">
        <v>4</v>
      </c>
      <c r="E326" s="392">
        <v>4</v>
      </c>
      <c r="F326" s="392">
        <v>4</v>
      </c>
      <c r="G326" s="392">
        <v>4</v>
      </c>
      <c r="H326" s="392">
        <v>4</v>
      </c>
      <c r="I326" s="392">
        <v>4</v>
      </c>
      <c r="J326" s="392">
        <v>4</v>
      </c>
      <c r="K326" s="392">
        <v>4</v>
      </c>
      <c r="L326" s="469"/>
      <c r="M326" s="392">
        <v>1</v>
      </c>
      <c r="N326" s="392">
        <v>1</v>
      </c>
    </row>
    <row r="327" spans="1:14" ht="15.9">
      <c r="A327" s="312" t="s">
        <v>13</v>
      </c>
      <c r="B327" s="356" t="s">
        <v>1625</v>
      </c>
      <c r="C327" s="356" t="s">
        <v>1626</v>
      </c>
      <c r="D327" s="402" t="s">
        <v>1627</v>
      </c>
      <c r="E327" s="402" t="s">
        <v>1627</v>
      </c>
      <c r="F327" s="402" t="s">
        <v>1628</v>
      </c>
      <c r="G327" s="402" t="s">
        <v>1627</v>
      </c>
      <c r="H327" s="402" t="s">
        <v>1629</v>
      </c>
      <c r="I327" s="402" t="s">
        <v>1630</v>
      </c>
      <c r="J327" s="402" t="s">
        <v>1627</v>
      </c>
      <c r="K327" s="402" t="s">
        <v>1631</v>
      </c>
      <c r="L327" s="469"/>
      <c r="M327" s="402" t="s">
        <v>1627</v>
      </c>
      <c r="N327" s="402" t="s">
        <v>1627</v>
      </c>
    </row>
    <row r="328" spans="1:14" ht="15.9">
      <c r="A328" s="394" t="s">
        <v>533</v>
      </c>
      <c r="B328" s="396" t="s">
        <v>1276</v>
      </c>
      <c r="C328" s="396" t="s">
        <v>1276</v>
      </c>
      <c r="D328" s="396" t="s">
        <v>1276</v>
      </c>
      <c r="E328" s="396" t="s">
        <v>1276</v>
      </c>
      <c r="F328" s="396" t="s">
        <v>1276</v>
      </c>
      <c r="G328" s="396" t="s">
        <v>1276</v>
      </c>
      <c r="H328" s="396" t="s">
        <v>1276</v>
      </c>
      <c r="I328" s="396" t="s">
        <v>1276</v>
      </c>
      <c r="J328" s="396" t="s">
        <v>1276</v>
      </c>
      <c r="K328" s="396" t="s">
        <v>1276</v>
      </c>
      <c r="L328" s="469"/>
      <c r="M328" s="396" t="s">
        <v>1276</v>
      </c>
      <c r="N328" s="396" t="s">
        <v>1276</v>
      </c>
    </row>
    <row r="329" spans="1:14" ht="15.9">
      <c r="A329" s="312" t="s">
        <v>1555</v>
      </c>
      <c r="B329" s="366">
        <v>0</v>
      </c>
      <c r="C329" s="366">
        <v>0</v>
      </c>
      <c r="D329" s="366">
        <v>0</v>
      </c>
      <c r="E329" s="366">
        <v>0</v>
      </c>
      <c r="F329" s="366">
        <v>0</v>
      </c>
      <c r="G329" s="366">
        <v>0</v>
      </c>
      <c r="H329" s="366">
        <v>0</v>
      </c>
      <c r="I329" s="366">
        <v>0</v>
      </c>
      <c r="J329" s="366">
        <v>0</v>
      </c>
      <c r="K329" s="366">
        <v>0</v>
      </c>
      <c r="L329" s="469"/>
      <c r="M329" s="366">
        <v>0</v>
      </c>
      <c r="N329" s="366">
        <v>0</v>
      </c>
    </row>
    <row r="330" spans="1:14" ht="15.9">
      <c r="A330" s="312" t="s">
        <v>35</v>
      </c>
      <c r="B330" s="398" t="s">
        <v>1632</v>
      </c>
      <c r="C330" s="398" t="s">
        <v>1633</v>
      </c>
      <c r="D330" s="398" t="s">
        <v>1634</v>
      </c>
      <c r="E330" s="398" t="s">
        <v>1635</v>
      </c>
      <c r="F330" s="398" t="s">
        <v>1632</v>
      </c>
      <c r="G330" s="398" t="s">
        <v>1636</v>
      </c>
      <c r="H330" s="398" t="s">
        <v>1637</v>
      </c>
      <c r="I330" s="398" t="s">
        <v>1638</v>
      </c>
      <c r="J330" s="398" t="s">
        <v>1639</v>
      </c>
      <c r="K330" s="398" t="s">
        <v>1640</v>
      </c>
      <c r="L330" s="469"/>
      <c r="M330" s="399" t="s">
        <v>1641</v>
      </c>
      <c r="N330" s="399" t="s">
        <v>1641</v>
      </c>
    </row>
    <row r="331" spans="1:14" ht="15.9">
      <c r="A331" s="312" t="s">
        <v>1282</v>
      </c>
      <c r="B331" s="402">
        <v>400</v>
      </c>
      <c r="C331" s="402">
        <v>400</v>
      </c>
      <c r="D331" s="402">
        <v>400</v>
      </c>
      <c r="E331" s="402">
        <v>400</v>
      </c>
      <c r="F331" s="402">
        <v>400</v>
      </c>
      <c r="G331" s="402">
        <v>400</v>
      </c>
      <c r="H331" s="402">
        <v>400</v>
      </c>
      <c r="I331" s="402">
        <v>400</v>
      </c>
      <c r="J331" s="402">
        <v>400</v>
      </c>
      <c r="K331" s="402">
        <v>400</v>
      </c>
      <c r="L331" s="469"/>
      <c r="M331" s="402">
        <v>400</v>
      </c>
      <c r="N331" s="402">
        <v>400</v>
      </c>
    </row>
    <row r="332" spans="1:14" ht="15.9">
      <c r="A332" s="312" t="s">
        <v>542</v>
      </c>
      <c r="B332" s="402">
        <v>4</v>
      </c>
      <c r="C332" s="402">
        <v>4</v>
      </c>
      <c r="D332" s="402">
        <v>4</v>
      </c>
      <c r="E332" s="402">
        <v>4</v>
      </c>
      <c r="F332" s="402">
        <v>4</v>
      </c>
      <c r="G332" s="402">
        <v>4</v>
      </c>
      <c r="H332" s="402">
        <v>4</v>
      </c>
      <c r="I332" s="402">
        <v>4</v>
      </c>
      <c r="J332" s="402">
        <v>4</v>
      </c>
      <c r="K332" s="402">
        <v>4</v>
      </c>
      <c r="L332" s="469"/>
      <c r="M332" s="402">
        <v>2</v>
      </c>
      <c r="N332" s="402">
        <v>2</v>
      </c>
    </row>
    <row r="333" spans="1:14" ht="31.75">
      <c r="A333" s="312" t="s">
        <v>1283</v>
      </c>
      <c r="B333" s="402" t="s">
        <v>1425</v>
      </c>
      <c r="C333" s="402" t="s">
        <v>1642</v>
      </c>
      <c r="D333" s="429" t="s">
        <v>1643</v>
      </c>
      <c r="E333" s="402" t="s">
        <v>1644</v>
      </c>
      <c r="F333" s="402" t="s">
        <v>1645</v>
      </c>
      <c r="G333" s="429" t="s">
        <v>1643</v>
      </c>
      <c r="H333" s="402" t="s">
        <v>1645</v>
      </c>
      <c r="I333" s="402" t="s">
        <v>655</v>
      </c>
      <c r="J333" s="402" t="s">
        <v>1646</v>
      </c>
      <c r="K333" s="356" t="s">
        <v>655</v>
      </c>
      <c r="L333" s="469"/>
      <c r="M333" s="402" t="s">
        <v>1647</v>
      </c>
      <c r="N333" s="402" t="s">
        <v>1647</v>
      </c>
    </row>
    <row r="334" spans="1:14" ht="31.75">
      <c r="A334" s="312" t="s">
        <v>1294</v>
      </c>
      <c r="B334" s="429" t="s">
        <v>1648</v>
      </c>
      <c r="C334" s="310" t="s">
        <v>1649</v>
      </c>
      <c r="D334" s="402" t="s">
        <v>1650</v>
      </c>
      <c r="E334" s="429" t="s">
        <v>1651</v>
      </c>
      <c r="F334" s="402" t="s">
        <v>1652</v>
      </c>
      <c r="G334" s="429" t="s">
        <v>1653</v>
      </c>
      <c r="H334" s="429" t="s">
        <v>1654</v>
      </c>
      <c r="I334" s="402" t="s">
        <v>655</v>
      </c>
      <c r="J334" s="402" t="s">
        <v>1655</v>
      </c>
      <c r="K334" s="402" t="s">
        <v>1656</v>
      </c>
      <c r="L334" s="469"/>
      <c r="M334" s="402" t="s">
        <v>1657</v>
      </c>
      <c r="N334" s="402" t="s">
        <v>1657</v>
      </c>
    </row>
    <row r="335" spans="1:14" ht="15.9">
      <c r="A335" s="312" t="s">
        <v>1567</v>
      </c>
      <c r="B335" s="310" t="s">
        <v>1658</v>
      </c>
      <c r="C335" s="310" t="s">
        <v>655</v>
      </c>
      <c r="D335" s="310" t="s">
        <v>655</v>
      </c>
      <c r="E335" s="310" t="s">
        <v>655</v>
      </c>
      <c r="F335" s="310" t="s">
        <v>655</v>
      </c>
      <c r="G335" s="310" t="s">
        <v>655</v>
      </c>
      <c r="H335" s="310" t="s">
        <v>655</v>
      </c>
      <c r="I335" s="310" t="s">
        <v>655</v>
      </c>
      <c r="J335" s="310" t="s">
        <v>655</v>
      </c>
      <c r="K335" s="402" t="s">
        <v>1659</v>
      </c>
      <c r="L335" s="469"/>
      <c r="M335" s="310" t="s">
        <v>655</v>
      </c>
      <c r="N335" s="310" t="s">
        <v>655</v>
      </c>
    </row>
    <row r="336" spans="1:14" ht="14.25" customHeight="1">
      <c r="L336" s="469"/>
    </row>
    <row r="337" spans="1:14" ht="15.9">
      <c r="A337" s="312" t="s">
        <v>1251</v>
      </c>
      <c r="B337" s="421" t="s">
        <v>1660</v>
      </c>
      <c r="C337" s="421" t="s">
        <v>1661</v>
      </c>
      <c r="D337" s="421" t="s">
        <v>1662</v>
      </c>
      <c r="E337" s="421" t="s">
        <v>1663</v>
      </c>
      <c r="F337" s="421" t="s">
        <v>1664</v>
      </c>
      <c r="G337" s="421" t="s">
        <v>1665</v>
      </c>
      <c r="H337" s="421" t="s">
        <v>1666</v>
      </c>
      <c r="I337" s="421" t="s">
        <v>1667</v>
      </c>
      <c r="J337" s="421" t="s">
        <v>1668</v>
      </c>
      <c r="K337" s="421" t="s">
        <v>1669</v>
      </c>
      <c r="L337" s="469"/>
      <c r="M337" s="421" t="s">
        <v>1670</v>
      </c>
      <c r="N337" s="421" t="s">
        <v>1670</v>
      </c>
    </row>
    <row r="338" spans="1:14" ht="15.9">
      <c r="A338" s="312" t="s">
        <v>1261</v>
      </c>
      <c r="B338" s="315" t="s">
        <v>1221</v>
      </c>
      <c r="C338" s="319" t="s">
        <v>1225</v>
      </c>
      <c r="D338" s="321" t="s">
        <v>1227</v>
      </c>
      <c r="E338" s="323" t="s">
        <v>1229</v>
      </c>
      <c r="F338" s="341" t="s">
        <v>1231</v>
      </c>
      <c r="G338" s="327" t="s">
        <v>1233</v>
      </c>
      <c r="H338" s="328" t="s">
        <v>1235</v>
      </c>
      <c r="I338" s="329" t="s">
        <v>1237</v>
      </c>
      <c r="J338" s="330" t="s">
        <v>1239</v>
      </c>
      <c r="K338" s="332" t="s">
        <v>1241</v>
      </c>
      <c r="L338" s="469"/>
      <c r="M338" s="317" t="s">
        <v>1223</v>
      </c>
      <c r="N338" s="333" t="s">
        <v>1242</v>
      </c>
    </row>
    <row r="339" spans="1:14" ht="15.9">
      <c r="A339" s="312" t="s">
        <v>1262</v>
      </c>
      <c r="B339" s="312" t="s">
        <v>1226</v>
      </c>
      <c r="C339" s="312" t="s">
        <v>1226</v>
      </c>
      <c r="D339" s="312" t="s">
        <v>1226</v>
      </c>
      <c r="E339" s="312" t="s">
        <v>1226</v>
      </c>
      <c r="F339" s="312" t="s">
        <v>1226</v>
      </c>
      <c r="G339" s="312" t="s">
        <v>1226</v>
      </c>
      <c r="H339" s="312" t="s">
        <v>1226</v>
      </c>
      <c r="I339" s="312" t="s">
        <v>1226</v>
      </c>
      <c r="J339" s="312" t="s">
        <v>1226</v>
      </c>
      <c r="K339" s="312" t="s">
        <v>1226</v>
      </c>
      <c r="L339" s="469"/>
      <c r="M339" s="312" t="s">
        <v>1226</v>
      </c>
      <c r="N339" s="312" t="s">
        <v>1226</v>
      </c>
    </row>
    <row r="340" spans="1:14" ht="15.9">
      <c r="A340" s="346" t="s">
        <v>491</v>
      </c>
      <c r="B340" s="348" t="s">
        <v>1550</v>
      </c>
      <c r="C340" s="348" t="s">
        <v>1623</v>
      </c>
      <c r="D340" s="464" t="s">
        <v>1671</v>
      </c>
      <c r="E340" s="348" t="s">
        <v>1623</v>
      </c>
      <c r="F340" s="348" t="s">
        <v>1412</v>
      </c>
      <c r="G340" s="348" t="s">
        <v>1551</v>
      </c>
      <c r="H340" s="348" t="s">
        <v>1623</v>
      </c>
      <c r="I340" s="348" t="s">
        <v>1550</v>
      </c>
      <c r="J340" s="348" t="s">
        <v>1624</v>
      </c>
      <c r="K340" s="348" t="s">
        <v>1623</v>
      </c>
      <c r="L340" s="470"/>
      <c r="M340" s="348" t="s">
        <v>1623</v>
      </c>
      <c r="N340" s="348" t="s">
        <v>1623</v>
      </c>
    </row>
    <row r="341" spans="1:14" ht="15.9">
      <c r="A341" s="350" t="s">
        <v>1264</v>
      </c>
      <c r="B341" s="352" t="s">
        <v>1624</v>
      </c>
      <c r="C341" s="352" t="s">
        <v>1551</v>
      </c>
      <c r="D341" s="352" t="s">
        <v>1672</v>
      </c>
      <c r="E341" s="352" t="s">
        <v>1551</v>
      </c>
      <c r="F341" s="352" t="s">
        <v>1551</v>
      </c>
      <c r="G341" s="352" t="s">
        <v>1551</v>
      </c>
      <c r="H341" s="352" t="s">
        <v>1673</v>
      </c>
      <c r="I341" s="352" t="s">
        <v>1551</v>
      </c>
      <c r="J341" s="352" t="s">
        <v>1551</v>
      </c>
      <c r="K341" s="352" t="s">
        <v>1551</v>
      </c>
      <c r="L341" s="470"/>
      <c r="M341" s="352" t="s">
        <v>655</v>
      </c>
      <c r="N341" s="352" t="s">
        <v>655</v>
      </c>
    </row>
    <row r="342" spans="1:14" ht="15.9">
      <c r="A342" s="354" t="s">
        <v>495</v>
      </c>
      <c r="B342" s="356">
        <v>3</v>
      </c>
      <c r="C342" s="356">
        <v>5</v>
      </c>
      <c r="D342" s="356">
        <v>0</v>
      </c>
      <c r="E342" s="356">
        <v>4</v>
      </c>
      <c r="F342" s="356">
        <v>2</v>
      </c>
      <c r="G342" s="356">
        <v>3</v>
      </c>
      <c r="H342" s="356">
        <v>5</v>
      </c>
      <c r="I342" s="356">
        <v>3</v>
      </c>
      <c r="J342" s="356">
        <v>3</v>
      </c>
      <c r="K342" s="356">
        <v>5</v>
      </c>
      <c r="L342" s="470"/>
      <c r="M342" s="356">
        <v>5</v>
      </c>
      <c r="N342" s="356">
        <v>5</v>
      </c>
    </row>
    <row r="343" spans="1:14" ht="15.9">
      <c r="A343" s="358" t="s">
        <v>497</v>
      </c>
      <c r="B343" s="360">
        <v>3</v>
      </c>
      <c r="C343" s="360">
        <v>4</v>
      </c>
      <c r="D343" s="360">
        <v>0</v>
      </c>
      <c r="E343" s="360">
        <v>4</v>
      </c>
      <c r="F343" s="360">
        <v>5</v>
      </c>
      <c r="G343" s="360">
        <v>3</v>
      </c>
      <c r="H343" s="360">
        <v>5</v>
      </c>
      <c r="I343" s="360">
        <v>3</v>
      </c>
      <c r="J343" s="360">
        <v>3</v>
      </c>
      <c r="K343" s="360">
        <v>3</v>
      </c>
      <c r="L343" s="470"/>
      <c r="M343" s="360">
        <v>4</v>
      </c>
      <c r="N343" s="360">
        <v>4</v>
      </c>
    </row>
    <row r="344" spans="1:14" ht="15.9">
      <c r="A344" s="312" t="s">
        <v>1266</v>
      </c>
      <c r="B344" s="363">
        <v>0.2</v>
      </c>
      <c r="C344" s="363">
        <v>0.2</v>
      </c>
      <c r="D344" s="363">
        <v>0.5</v>
      </c>
      <c r="E344" s="363">
        <v>0.2</v>
      </c>
      <c r="F344" s="363">
        <v>0.4</v>
      </c>
      <c r="G344" s="363">
        <v>0</v>
      </c>
      <c r="H344" s="363">
        <v>0.1</v>
      </c>
      <c r="I344" s="363">
        <v>0</v>
      </c>
      <c r="J344" s="363">
        <v>0.2</v>
      </c>
      <c r="K344" s="363">
        <v>0.5</v>
      </c>
      <c r="L344" s="470"/>
      <c r="M344" s="363">
        <v>-0.2</v>
      </c>
      <c r="N344" s="363">
        <v>-0.2</v>
      </c>
    </row>
    <row r="345" spans="1:14" ht="15.9">
      <c r="A345" s="312" t="s">
        <v>1267</v>
      </c>
      <c r="B345" s="366">
        <v>0.2</v>
      </c>
      <c r="C345" s="366">
        <v>-0.2</v>
      </c>
      <c r="D345" s="366">
        <v>0.5</v>
      </c>
      <c r="E345" s="366">
        <v>-0.2</v>
      </c>
      <c r="F345" s="366">
        <v>-0.4</v>
      </c>
      <c r="G345" s="366">
        <v>0</v>
      </c>
      <c r="H345" s="366">
        <v>0.1</v>
      </c>
      <c r="I345" s="366">
        <v>0</v>
      </c>
      <c r="J345" s="366">
        <v>0.2</v>
      </c>
      <c r="K345" s="366">
        <v>0.5</v>
      </c>
      <c r="L345" s="470"/>
      <c r="M345" s="366">
        <v>0.2</v>
      </c>
      <c r="N345" s="366">
        <v>0.2</v>
      </c>
    </row>
    <row r="346" spans="1:14" ht="15.9">
      <c r="A346" s="312" t="s">
        <v>1268</v>
      </c>
      <c r="B346" s="369">
        <v>0.2</v>
      </c>
      <c r="C346" s="369">
        <v>-1</v>
      </c>
      <c r="D346" s="369">
        <v>0.5</v>
      </c>
      <c r="E346" s="369">
        <v>-1</v>
      </c>
      <c r="F346" s="369">
        <v>0</v>
      </c>
      <c r="G346" s="369">
        <v>0</v>
      </c>
      <c r="H346" s="369">
        <v>0.1</v>
      </c>
      <c r="I346" s="369">
        <v>0</v>
      </c>
      <c r="J346" s="369">
        <v>0.2</v>
      </c>
      <c r="K346" s="369">
        <v>0.5</v>
      </c>
      <c r="L346" s="470"/>
      <c r="M346" s="369">
        <v>-1</v>
      </c>
      <c r="N346" s="369">
        <v>-1</v>
      </c>
    </row>
    <row r="347" spans="1:14" ht="15.9">
      <c r="A347" s="312" t="s">
        <v>1269</v>
      </c>
      <c r="B347" s="372">
        <v>0.2</v>
      </c>
      <c r="C347" s="372">
        <v>0.2</v>
      </c>
      <c r="D347" s="372">
        <v>0.5</v>
      </c>
      <c r="E347" s="372">
        <v>0.2</v>
      </c>
      <c r="F347" s="372">
        <v>0</v>
      </c>
      <c r="G347" s="372">
        <v>0</v>
      </c>
      <c r="H347" s="372">
        <v>0.1</v>
      </c>
      <c r="I347" s="372">
        <v>0</v>
      </c>
      <c r="J347" s="372">
        <v>0.2</v>
      </c>
      <c r="K347" s="372">
        <v>-0.5</v>
      </c>
      <c r="L347" s="470"/>
      <c r="M347" s="372">
        <v>0.2</v>
      </c>
      <c r="N347" s="372">
        <v>0.2</v>
      </c>
    </row>
    <row r="348" spans="1:14" ht="15.9">
      <c r="A348" s="465" t="s">
        <v>1270</v>
      </c>
      <c r="B348" s="376">
        <v>0.2</v>
      </c>
      <c r="C348" s="376">
        <v>0.8</v>
      </c>
      <c r="D348" s="376">
        <v>0.5</v>
      </c>
      <c r="E348" s="376">
        <v>0.8</v>
      </c>
      <c r="F348" s="376">
        <v>0.2</v>
      </c>
      <c r="G348" s="376">
        <v>0</v>
      </c>
      <c r="H348" s="376">
        <v>0.1</v>
      </c>
      <c r="I348" s="376">
        <v>0.5</v>
      </c>
      <c r="J348" s="376">
        <v>0.2</v>
      </c>
      <c r="K348" s="376">
        <v>0.5</v>
      </c>
      <c r="L348" s="470"/>
      <c r="M348" s="376">
        <v>0.8</v>
      </c>
      <c r="N348" s="376">
        <v>0.8</v>
      </c>
    </row>
    <row r="349" spans="1:14" ht="15.9">
      <c r="A349" s="312" t="s">
        <v>1271</v>
      </c>
      <c r="B349" s="379">
        <v>0.2</v>
      </c>
      <c r="C349" s="379">
        <v>0.2</v>
      </c>
      <c r="D349" s="379">
        <v>0.5</v>
      </c>
      <c r="E349" s="379">
        <v>0.2</v>
      </c>
      <c r="F349" s="379">
        <v>-0.2</v>
      </c>
      <c r="G349" s="379">
        <v>0</v>
      </c>
      <c r="H349" s="379">
        <v>0.1</v>
      </c>
      <c r="I349" s="379">
        <v>-0.5</v>
      </c>
      <c r="J349" s="379">
        <v>0.2</v>
      </c>
      <c r="K349" s="379">
        <v>0</v>
      </c>
      <c r="M349" s="379">
        <v>0.2</v>
      </c>
      <c r="N349" s="379">
        <v>0.2</v>
      </c>
    </row>
    <row r="350" spans="1:14" ht="15.9">
      <c r="A350" s="312" t="s">
        <v>1272</v>
      </c>
      <c r="B350" s="382">
        <v>0.2</v>
      </c>
      <c r="C350" s="382">
        <v>-0.8</v>
      </c>
      <c r="D350" s="382">
        <v>0.5</v>
      </c>
      <c r="E350" s="382">
        <v>-0.8</v>
      </c>
      <c r="F350" s="382">
        <v>0</v>
      </c>
      <c r="G350" s="382">
        <v>0</v>
      </c>
      <c r="H350" s="382">
        <v>0.1</v>
      </c>
      <c r="I350" s="382">
        <v>0.5</v>
      </c>
      <c r="J350" s="382">
        <v>0.2</v>
      </c>
      <c r="K350" s="382">
        <v>0.2</v>
      </c>
      <c r="M350" s="382">
        <v>-0.5</v>
      </c>
      <c r="N350" s="382">
        <v>-0.5</v>
      </c>
    </row>
    <row r="351" spans="1:14" ht="15.9">
      <c r="A351" s="312" t="s">
        <v>1273</v>
      </c>
      <c r="B351" s="385">
        <v>0.2</v>
      </c>
      <c r="C351" s="385">
        <v>0.4</v>
      </c>
      <c r="D351" s="385">
        <v>0.5</v>
      </c>
      <c r="E351" s="385">
        <v>0.4</v>
      </c>
      <c r="F351" s="385">
        <v>0</v>
      </c>
      <c r="G351" s="385">
        <v>1</v>
      </c>
      <c r="H351" s="385">
        <v>0.1</v>
      </c>
      <c r="I351" s="385">
        <v>0</v>
      </c>
      <c r="J351" s="385">
        <v>0.2</v>
      </c>
      <c r="K351" s="385">
        <v>0.2</v>
      </c>
      <c r="M351" s="385">
        <v>0.5</v>
      </c>
      <c r="N351" s="385">
        <v>0.5</v>
      </c>
    </row>
    <row r="352" spans="1:14" ht="15.9">
      <c r="A352" s="312" t="s">
        <v>1274</v>
      </c>
      <c r="B352" s="388">
        <v>0.2</v>
      </c>
      <c r="C352" s="388">
        <v>1</v>
      </c>
      <c r="D352" s="388">
        <v>0.5</v>
      </c>
      <c r="E352" s="388">
        <v>1</v>
      </c>
      <c r="F352" s="388">
        <v>0</v>
      </c>
      <c r="G352" s="388">
        <v>0</v>
      </c>
      <c r="H352" s="388">
        <v>0.1</v>
      </c>
      <c r="I352" s="388">
        <v>0</v>
      </c>
      <c r="J352" s="388">
        <v>0.2</v>
      </c>
      <c r="K352" s="388">
        <v>0</v>
      </c>
      <c r="M352" s="388">
        <v>1</v>
      </c>
      <c r="N352" s="388">
        <v>1</v>
      </c>
    </row>
    <row r="353" spans="1:17" ht="15.9">
      <c r="A353" s="312" t="s">
        <v>519</v>
      </c>
      <c r="B353" s="356">
        <v>4</v>
      </c>
      <c r="C353" s="356">
        <v>4</v>
      </c>
      <c r="D353" s="356">
        <v>4</v>
      </c>
      <c r="E353" s="356">
        <v>4</v>
      </c>
      <c r="F353" s="356">
        <v>4</v>
      </c>
      <c r="G353" s="356">
        <v>4</v>
      </c>
      <c r="H353" s="356">
        <v>4</v>
      </c>
      <c r="I353" s="356">
        <v>4</v>
      </c>
      <c r="J353" s="356">
        <v>4</v>
      </c>
      <c r="K353" s="356">
        <v>4</v>
      </c>
      <c r="M353" s="356">
        <v>1</v>
      </c>
      <c r="N353" s="356">
        <v>1</v>
      </c>
    </row>
    <row r="354" spans="1:17" ht="15.9">
      <c r="A354" s="312" t="s">
        <v>521</v>
      </c>
      <c r="B354" s="356">
        <v>4</v>
      </c>
      <c r="C354" s="356">
        <v>4</v>
      </c>
      <c r="D354" s="356">
        <v>4</v>
      </c>
      <c r="E354" s="356">
        <v>4</v>
      </c>
      <c r="F354" s="356">
        <v>4</v>
      </c>
      <c r="G354" s="356">
        <v>4</v>
      </c>
      <c r="H354" s="356">
        <v>4</v>
      </c>
      <c r="I354" s="356">
        <v>4</v>
      </c>
      <c r="J354" s="356">
        <v>4</v>
      </c>
      <c r="K354" s="356">
        <v>4</v>
      </c>
      <c r="M354" s="356">
        <v>1</v>
      </c>
      <c r="N354" s="356">
        <v>1</v>
      </c>
    </row>
    <row r="355" spans="1:17" ht="15.9">
      <c r="A355" s="312" t="s">
        <v>522</v>
      </c>
      <c r="B355" s="392">
        <v>4</v>
      </c>
      <c r="C355" s="392">
        <v>4</v>
      </c>
      <c r="D355" s="392">
        <v>4</v>
      </c>
      <c r="E355" s="392">
        <v>4</v>
      </c>
      <c r="F355" s="392">
        <v>4</v>
      </c>
      <c r="G355" s="392">
        <v>4</v>
      </c>
      <c r="H355" s="392">
        <v>4</v>
      </c>
      <c r="I355" s="392">
        <v>4</v>
      </c>
      <c r="J355" s="392">
        <v>4</v>
      </c>
      <c r="K355" s="392">
        <v>4</v>
      </c>
      <c r="M355" s="392">
        <v>1</v>
      </c>
      <c r="N355" s="392">
        <v>1</v>
      </c>
    </row>
    <row r="356" spans="1:17" ht="15.9">
      <c r="A356" s="312" t="s">
        <v>13</v>
      </c>
      <c r="B356" s="402" t="s">
        <v>1674</v>
      </c>
      <c r="C356" s="402" t="s">
        <v>1675</v>
      </c>
      <c r="D356" s="402" t="s">
        <v>655</v>
      </c>
      <c r="E356" s="402" t="s">
        <v>1675</v>
      </c>
      <c r="F356" s="402" t="s">
        <v>1676</v>
      </c>
      <c r="G356" s="402" t="s">
        <v>1677</v>
      </c>
      <c r="H356" s="402" t="s">
        <v>1678</v>
      </c>
      <c r="I356" s="402" t="s">
        <v>1679</v>
      </c>
      <c r="J356" s="402" t="s">
        <v>1680</v>
      </c>
      <c r="K356" s="402" t="s">
        <v>1631</v>
      </c>
      <c r="M356" s="402" t="s">
        <v>1675</v>
      </c>
      <c r="N356" s="402" t="s">
        <v>1675</v>
      </c>
    </row>
    <row r="357" spans="1:17" ht="15.9">
      <c r="A357" s="394" t="s">
        <v>533</v>
      </c>
      <c r="B357" s="396" t="s">
        <v>1276</v>
      </c>
      <c r="C357" s="396" t="s">
        <v>1276</v>
      </c>
      <c r="D357" s="396" t="s">
        <v>1276</v>
      </c>
      <c r="E357" s="396" t="s">
        <v>1276</v>
      </c>
      <c r="F357" s="396" t="s">
        <v>1276</v>
      </c>
      <c r="G357" s="396" t="s">
        <v>1276</v>
      </c>
      <c r="H357" s="396" t="s">
        <v>1276</v>
      </c>
      <c r="I357" s="396" t="s">
        <v>1276</v>
      </c>
      <c r="J357" s="396" t="s">
        <v>1276</v>
      </c>
      <c r="K357" s="396" t="s">
        <v>1276</v>
      </c>
      <c r="M357" s="396" t="s">
        <v>1276</v>
      </c>
      <c r="N357" s="396" t="s">
        <v>1276</v>
      </c>
    </row>
    <row r="358" spans="1:17" ht="15.9">
      <c r="A358" s="312" t="s">
        <v>1555</v>
      </c>
      <c r="B358" s="366">
        <v>0</v>
      </c>
      <c r="C358" s="366">
        <v>0</v>
      </c>
      <c r="D358" s="366">
        <v>0</v>
      </c>
      <c r="E358" s="366">
        <v>0</v>
      </c>
      <c r="F358" s="366">
        <v>0</v>
      </c>
      <c r="G358" s="366">
        <v>0</v>
      </c>
      <c r="H358" s="366">
        <v>0</v>
      </c>
      <c r="I358" s="366">
        <v>0</v>
      </c>
      <c r="J358" s="366">
        <v>0</v>
      </c>
      <c r="K358" s="366">
        <v>0</v>
      </c>
      <c r="M358" s="366">
        <v>0</v>
      </c>
      <c r="N358" s="366">
        <v>0</v>
      </c>
    </row>
    <row r="359" spans="1:17" ht="15.9">
      <c r="A359" s="312" t="s">
        <v>35</v>
      </c>
      <c r="B359" s="398" t="s">
        <v>1681</v>
      </c>
      <c r="C359" s="398" t="s">
        <v>1682</v>
      </c>
      <c r="D359" s="398" t="s">
        <v>1683</v>
      </c>
      <c r="E359" s="398" t="s">
        <v>1684</v>
      </c>
      <c r="F359" s="398" t="s">
        <v>1685</v>
      </c>
      <c r="G359" s="398" t="s">
        <v>1686</v>
      </c>
      <c r="H359" s="398" t="s">
        <v>1681</v>
      </c>
      <c r="I359" s="398" t="s">
        <v>1687</v>
      </c>
      <c r="J359" s="398" t="s">
        <v>1688</v>
      </c>
      <c r="K359" s="398" t="s">
        <v>1689</v>
      </c>
      <c r="M359" s="399" t="s">
        <v>1690</v>
      </c>
      <c r="N359" s="399" t="s">
        <v>1690</v>
      </c>
    </row>
    <row r="360" spans="1:17" ht="15.9">
      <c r="A360" s="312" t="s">
        <v>1282</v>
      </c>
      <c r="B360" s="402">
        <v>400</v>
      </c>
      <c r="C360" s="402">
        <v>400</v>
      </c>
      <c r="D360" s="402">
        <v>400</v>
      </c>
      <c r="E360" s="402">
        <v>400</v>
      </c>
      <c r="F360" s="402">
        <v>400</v>
      </c>
      <c r="G360" s="402">
        <v>400</v>
      </c>
      <c r="H360" s="402">
        <v>400</v>
      </c>
      <c r="I360" s="402">
        <v>400</v>
      </c>
      <c r="J360" s="402">
        <v>400</v>
      </c>
      <c r="K360" s="402">
        <v>400</v>
      </c>
      <c r="M360" s="402">
        <v>400</v>
      </c>
      <c r="N360" s="402">
        <v>400</v>
      </c>
    </row>
    <row r="361" spans="1:17" ht="15.9">
      <c r="A361" s="312" t="s">
        <v>542</v>
      </c>
      <c r="B361" s="402">
        <v>4</v>
      </c>
      <c r="C361" s="402">
        <v>4</v>
      </c>
      <c r="D361" s="402">
        <v>4</v>
      </c>
      <c r="E361" s="402">
        <v>4</v>
      </c>
      <c r="F361" s="402">
        <v>4</v>
      </c>
      <c r="G361" s="402">
        <v>4</v>
      </c>
      <c r="H361" s="402">
        <v>4</v>
      </c>
      <c r="I361" s="402">
        <v>4</v>
      </c>
      <c r="J361" s="402">
        <v>4</v>
      </c>
      <c r="K361" s="402">
        <v>4</v>
      </c>
      <c r="M361" s="402">
        <v>2</v>
      </c>
      <c r="N361" s="402">
        <v>2</v>
      </c>
    </row>
    <row r="362" spans="1:17" ht="31.75">
      <c r="A362" s="312" t="s">
        <v>1283</v>
      </c>
      <c r="B362" s="402" t="s">
        <v>1691</v>
      </c>
      <c r="C362" s="402" t="s">
        <v>1692</v>
      </c>
      <c r="D362" s="429" t="s">
        <v>1693</v>
      </c>
      <c r="E362" s="402" t="s">
        <v>1692</v>
      </c>
      <c r="F362" s="402" t="s">
        <v>1694</v>
      </c>
      <c r="G362" s="402" t="s">
        <v>1695</v>
      </c>
      <c r="H362" s="402"/>
      <c r="I362" s="402" t="s">
        <v>1694</v>
      </c>
      <c r="J362" s="402" t="s">
        <v>1696</v>
      </c>
      <c r="K362" s="356" t="s">
        <v>655</v>
      </c>
      <c r="M362" s="402" t="s">
        <v>1697</v>
      </c>
      <c r="N362" s="402" t="s">
        <v>1697</v>
      </c>
    </row>
    <row r="363" spans="1:17" ht="47.6">
      <c r="A363" s="312" t="s">
        <v>1294</v>
      </c>
      <c r="B363" s="402" t="s">
        <v>1698</v>
      </c>
      <c r="C363" s="402" t="s">
        <v>1699</v>
      </c>
      <c r="D363" s="402" t="s">
        <v>1700</v>
      </c>
      <c r="E363" s="402" t="s">
        <v>1701</v>
      </c>
      <c r="F363" s="429" t="s">
        <v>1702</v>
      </c>
      <c r="G363" s="429" t="s">
        <v>1703</v>
      </c>
      <c r="H363" s="429" t="s">
        <v>1704</v>
      </c>
      <c r="I363" s="402" t="s">
        <v>1705</v>
      </c>
      <c r="J363" s="402" t="s">
        <v>1706</v>
      </c>
      <c r="K363" s="402" t="s">
        <v>1656</v>
      </c>
      <c r="M363" s="402" t="s">
        <v>1707</v>
      </c>
      <c r="N363" s="402" t="s">
        <v>1707</v>
      </c>
    </row>
    <row r="364" spans="1:17" ht="15.9">
      <c r="A364" s="312" t="s">
        <v>1567</v>
      </c>
      <c r="B364" s="310" t="s">
        <v>655</v>
      </c>
      <c r="C364" s="310" t="s">
        <v>655</v>
      </c>
      <c r="D364" s="310" t="s">
        <v>1708</v>
      </c>
      <c r="E364" s="310" t="s">
        <v>655</v>
      </c>
      <c r="F364" s="310" t="s">
        <v>1709</v>
      </c>
      <c r="G364" s="310" t="s">
        <v>1710</v>
      </c>
      <c r="H364" s="310" t="s">
        <v>655</v>
      </c>
      <c r="I364" s="310" t="s">
        <v>655</v>
      </c>
      <c r="J364" s="310" t="s">
        <v>655</v>
      </c>
      <c r="K364" s="402" t="s">
        <v>1711</v>
      </c>
      <c r="M364" s="310" t="s">
        <v>655</v>
      </c>
      <c r="N364" s="310" t="s">
        <v>655</v>
      </c>
      <c r="O364" s="310" t="s">
        <v>1712</v>
      </c>
      <c r="P364" s="423" t="s">
        <v>1713</v>
      </c>
      <c r="Q364" s="423" t="s">
        <v>1713</v>
      </c>
    </row>
    <row r="365" spans="1:17" ht="15.9">
      <c r="A365" s="312"/>
      <c r="P365" s="317" t="s">
        <v>1223</v>
      </c>
      <c r="Q365" s="333" t="s">
        <v>1242</v>
      </c>
    </row>
    <row r="366" spans="1:17" ht="15.9">
      <c r="A366" s="312" t="s">
        <v>1251</v>
      </c>
      <c r="B366" s="423" t="s">
        <v>1714</v>
      </c>
      <c r="C366" s="423" t="s">
        <v>1715</v>
      </c>
      <c r="D366" s="423" t="s">
        <v>1716</v>
      </c>
      <c r="E366" s="423" t="s">
        <v>1717</v>
      </c>
      <c r="F366" s="423" t="s">
        <v>1718</v>
      </c>
      <c r="G366" s="423" t="s">
        <v>1719</v>
      </c>
      <c r="H366" s="423" t="s">
        <v>1720</v>
      </c>
      <c r="I366" s="423" t="s">
        <v>1721</v>
      </c>
      <c r="J366" s="423" t="s">
        <v>1722</v>
      </c>
      <c r="K366" s="423" t="s">
        <v>1723</v>
      </c>
      <c r="M366" s="423" t="s">
        <v>1713</v>
      </c>
      <c r="N366" s="423" t="s">
        <v>1713</v>
      </c>
      <c r="O366" s="471"/>
      <c r="P366" s="312" t="s">
        <v>1232</v>
      </c>
      <c r="Q366" s="312" t="s">
        <v>1230</v>
      </c>
    </row>
    <row r="367" spans="1:17" ht="15.9">
      <c r="A367" s="312" t="s">
        <v>1261</v>
      </c>
      <c r="B367" s="315" t="s">
        <v>1221</v>
      </c>
      <c r="C367" s="319" t="s">
        <v>1225</v>
      </c>
      <c r="D367" s="321" t="s">
        <v>1227</v>
      </c>
      <c r="E367" s="323" t="s">
        <v>1229</v>
      </c>
      <c r="F367" s="341" t="s">
        <v>1231</v>
      </c>
      <c r="G367" s="327" t="s">
        <v>1233</v>
      </c>
      <c r="H367" s="328" t="s">
        <v>1235</v>
      </c>
      <c r="I367" s="329" t="s">
        <v>1237</v>
      </c>
      <c r="J367" s="330" t="s">
        <v>1239</v>
      </c>
      <c r="K367" s="332" t="s">
        <v>1241</v>
      </c>
      <c r="M367" s="317" t="s">
        <v>1223</v>
      </c>
      <c r="N367" s="333" t="s">
        <v>1242</v>
      </c>
      <c r="O367" s="472"/>
      <c r="P367" s="348" t="s">
        <v>1623</v>
      </c>
      <c r="Q367" s="348" t="s">
        <v>1623</v>
      </c>
    </row>
    <row r="368" spans="1:17" ht="15.9">
      <c r="A368" s="312" t="s">
        <v>1262</v>
      </c>
      <c r="B368" s="312" t="s">
        <v>1230</v>
      </c>
      <c r="C368" s="312" t="s">
        <v>1230</v>
      </c>
      <c r="D368" s="312" t="s">
        <v>1230</v>
      </c>
      <c r="E368" s="312" t="s">
        <v>1230</v>
      </c>
      <c r="F368" s="312" t="s">
        <v>1230</v>
      </c>
      <c r="G368" s="312" t="s">
        <v>1230</v>
      </c>
      <c r="H368" s="312" t="s">
        <v>1230</v>
      </c>
      <c r="I368" s="312" t="s">
        <v>1230</v>
      </c>
      <c r="J368" s="312" t="s">
        <v>1230</v>
      </c>
      <c r="K368" s="312" t="s">
        <v>1230</v>
      </c>
      <c r="M368" s="312" t="s">
        <v>1232</v>
      </c>
      <c r="N368" s="312" t="s">
        <v>1230</v>
      </c>
      <c r="O368" s="472"/>
      <c r="P368" s="352" t="s">
        <v>655</v>
      </c>
      <c r="Q368" s="352" t="s">
        <v>655</v>
      </c>
    </row>
    <row r="369" spans="1:17" ht="15.9">
      <c r="A369" s="346" t="s">
        <v>491</v>
      </c>
      <c r="B369" s="348" t="s">
        <v>1623</v>
      </c>
      <c r="C369" s="348" t="s">
        <v>1551</v>
      </c>
      <c r="D369" s="348" t="s">
        <v>1623</v>
      </c>
      <c r="E369" s="348" t="s">
        <v>1623</v>
      </c>
      <c r="F369" s="348" t="s">
        <v>1724</v>
      </c>
      <c r="G369" s="348" t="s">
        <v>1623</v>
      </c>
      <c r="H369" s="348" t="s">
        <v>1623</v>
      </c>
      <c r="I369" s="348" t="s">
        <v>1551</v>
      </c>
      <c r="J369" s="464" t="s">
        <v>1725</v>
      </c>
      <c r="K369" s="348" t="s">
        <v>1413</v>
      </c>
      <c r="M369" s="348" t="s">
        <v>1623</v>
      </c>
      <c r="N369" s="348" t="s">
        <v>1623</v>
      </c>
      <c r="O369" s="472">
        <f>125-30-5-9</f>
        <v>81</v>
      </c>
      <c r="P369" s="356">
        <v>5</v>
      </c>
      <c r="Q369" s="356">
        <v>5</v>
      </c>
    </row>
    <row r="370" spans="1:17" ht="15.9">
      <c r="A370" s="350" t="s">
        <v>1264</v>
      </c>
      <c r="B370" s="352" t="s">
        <v>1551</v>
      </c>
      <c r="C370" s="352" t="s">
        <v>655</v>
      </c>
      <c r="D370" s="352" t="s">
        <v>1551</v>
      </c>
      <c r="E370" s="352" t="s">
        <v>1551</v>
      </c>
      <c r="F370" s="352" t="s">
        <v>1551</v>
      </c>
      <c r="G370" s="352" t="s">
        <v>1551</v>
      </c>
      <c r="H370" s="352" t="s">
        <v>1551</v>
      </c>
      <c r="I370" s="352" t="s">
        <v>1551</v>
      </c>
      <c r="J370" s="352" t="s">
        <v>655</v>
      </c>
      <c r="K370" s="352" t="s">
        <v>655</v>
      </c>
      <c r="M370" s="352" t="s">
        <v>655</v>
      </c>
      <c r="N370" s="352" t="s">
        <v>655</v>
      </c>
      <c r="O370" s="472" t="s">
        <v>1489</v>
      </c>
      <c r="P370" s="360">
        <v>4</v>
      </c>
      <c r="Q370" s="360">
        <v>4</v>
      </c>
    </row>
    <row r="371" spans="1:17" ht="15.9">
      <c r="A371" s="354" t="s">
        <v>495</v>
      </c>
      <c r="B371" s="356">
        <v>5</v>
      </c>
      <c r="C371" s="356">
        <v>5</v>
      </c>
      <c r="D371" s="356">
        <v>6</v>
      </c>
      <c r="E371" s="356">
        <v>5</v>
      </c>
      <c r="F371" s="356">
        <v>6</v>
      </c>
      <c r="G371" s="356">
        <v>6</v>
      </c>
      <c r="H371" s="356">
        <v>6</v>
      </c>
      <c r="I371" s="356">
        <v>3</v>
      </c>
      <c r="J371" s="356">
        <v>0</v>
      </c>
      <c r="K371" s="356">
        <v>5</v>
      </c>
      <c r="M371" s="356">
        <v>5</v>
      </c>
      <c r="N371" s="356">
        <v>5</v>
      </c>
      <c r="O371" s="472" t="s">
        <v>1726</v>
      </c>
      <c r="P371" s="363">
        <v>-0.2</v>
      </c>
      <c r="Q371" s="363">
        <v>-0.2</v>
      </c>
    </row>
    <row r="372" spans="1:17" ht="15.9">
      <c r="A372" s="358" t="s">
        <v>497</v>
      </c>
      <c r="B372" s="360">
        <v>5</v>
      </c>
      <c r="C372" s="360">
        <v>2</v>
      </c>
      <c r="D372" s="360">
        <v>2</v>
      </c>
      <c r="E372" s="360">
        <v>4</v>
      </c>
      <c r="F372" s="360">
        <v>3</v>
      </c>
      <c r="G372" s="360">
        <v>3</v>
      </c>
      <c r="H372" s="360">
        <v>3</v>
      </c>
      <c r="I372" s="360">
        <v>3</v>
      </c>
      <c r="J372" s="360">
        <v>0</v>
      </c>
      <c r="K372" s="360">
        <v>2</v>
      </c>
      <c r="M372" s="360">
        <v>4</v>
      </c>
      <c r="N372" s="360">
        <v>4</v>
      </c>
      <c r="O372" s="472" t="s">
        <v>1727</v>
      </c>
      <c r="P372" s="366">
        <v>0.2</v>
      </c>
      <c r="Q372" s="366">
        <v>0.2</v>
      </c>
    </row>
    <row r="373" spans="1:17" ht="15.9">
      <c r="A373" s="312" t="s">
        <v>1266</v>
      </c>
      <c r="B373" s="363">
        <v>0.2</v>
      </c>
      <c r="C373" s="363">
        <v>0.1</v>
      </c>
      <c r="D373" s="363">
        <v>0</v>
      </c>
      <c r="E373" s="363">
        <v>0.2</v>
      </c>
      <c r="F373" s="363">
        <v>0</v>
      </c>
      <c r="G373" s="363">
        <v>0</v>
      </c>
      <c r="H373" s="363">
        <v>0</v>
      </c>
      <c r="I373" s="363">
        <v>-0.2</v>
      </c>
      <c r="J373" s="363">
        <v>0</v>
      </c>
      <c r="K373" s="363">
        <v>0.5</v>
      </c>
      <c r="M373" s="363">
        <v>-0.2</v>
      </c>
      <c r="N373" s="363">
        <v>-0.2</v>
      </c>
      <c r="O373" s="472"/>
      <c r="P373" s="369">
        <v>-1</v>
      </c>
      <c r="Q373" s="369">
        <v>-1</v>
      </c>
    </row>
    <row r="374" spans="1:17" ht="15.9">
      <c r="A374" s="312" t="s">
        <v>1267</v>
      </c>
      <c r="B374" s="366">
        <v>0.2</v>
      </c>
      <c r="C374" s="366">
        <v>0.1</v>
      </c>
      <c r="D374" s="366">
        <v>0</v>
      </c>
      <c r="E374" s="366">
        <v>0.2</v>
      </c>
      <c r="F374" s="366">
        <v>0</v>
      </c>
      <c r="G374" s="366">
        <v>0</v>
      </c>
      <c r="H374" s="366">
        <v>0</v>
      </c>
      <c r="I374" s="366">
        <v>0.2</v>
      </c>
      <c r="J374" s="366">
        <v>0</v>
      </c>
      <c r="K374" s="366">
        <v>0</v>
      </c>
      <c r="M374" s="366">
        <v>0.2</v>
      </c>
      <c r="N374" s="366">
        <v>0.2</v>
      </c>
      <c r="O374" s="472"/>
      <c r="P374" s="372">
        <v>0.2</v>
      </c>
      <c r="Q374" s="372">
        <v>0.2</v>
      </c>
    </row>
    <row r="375" spans="1:17" ht="15.9">
      <c r="A375" s="312" t="s">
        <v>1268</v>
      </c>
      <c r="B375" s="369">
        <v>0.2</v>
      </c>
      <c r="C375" s="369">
        <v>-1</v>
      </c>
      <c r="D375" s="369">
        <v>0</v>
      </c>
      <c r="E375" s="369">
        <v>0.2</v>
      </c>
      <c r="F375" s="369">
        <v>0</v>
      </c>
      <c r="G375" s="369">
        <v>0</v>
      </c>
      <c r="H375" s="369">
        <v>0</v>
      </c>
      <c r="I375" s="369">
        <v>0</v>
      </c>
      <c r="J375" s="369">
        <v>0</v>
      </c>
      <c r="K375" s="369">
        <v>0</v>
      </c>
      <c r="M375" s="369">
        <v>-1</v>
      </c>
      <c r="N375" s="369">
        <v>-1</v>
      </c>
      <c r="O375" s="472"/>
      <c r="P375" s="376">
        <v>0.8</v>
      </c>
      <c r="Q375" s="376">
        <v>0.8</v>
      </c>
    </row>
    <row r="376" spans="1:17" ht="15.9">
      <c r="A376" s="312" t="s">
        <v>1269</v>
      </c>
      <c r="B376" s="372">
        <v>0.2</v>
      </c>
      <c r="C376" s="372">
        <v>0.4</v>
      </c>
      <c r="D376" s="372">
        <v>-1</v>
      </c>
      <c r="E376" s="372">
        <v>0.2</v>
      </c>
      <c r="F376" s="372">
        <v>-1</v>
      </c>
      <c r="G376" s="372">
        <v>-1</v>
      </c>
      <c r="H376" s="372">
        <v>-1</v>
      </c>
      <c r="I376" s="372">
        <v>0</v>
      </c>
      <c r="J376" s="372">
        <v>0</v>
      </c>
      <c r="K376" s="372">
        <v>-1</v>
      </c>
      <c r="M376" s="372">
        <v>0.2</v>
      </c>
      <c r="N376" s="372">
        <v>0.2</v>
      </c>
      <c r="O376" s="472"/>
      <c r="P376" s="379">
        <v>0.2</v>
      </c>
      <c r="Q376" s="379">
        <v>0.2</v>
      </c>
    </row>
    <row r="377" spans="1:17" ht="15.9">
      <c r="A377" s="465" t="s">
        <v>1270</v>
      </c>
      <c r="B377" s="376">
        <v>0.2</v>
      </c>
      <c r="C377" s="376">
        <v>0.7</v>
      </c>
      <c r="D377" s="376">
        <v>0.5</v>
      </c>
      <c r="E377" s="376">
        <v>0.8</v>
      </c>
      <c r="F377" s="376">
        <v>0.5</v>
      </c>
      <c r="G377" s="376">
        <v>0.5</v>
      </c>
      <c r="H377" s="376">
        <v>0.5</v>
      </c>
      <c r="I377" s="376">
        <v>0.5</v>
      </c>
      <c r="J377" s="376">
        <v>0</v>
      </c>
      <c r="K377" s="376">
        <v>0.5</v>
      </c>
      <c r="M377" s="376">
        <v>0.8</v>
      </c>
      <c r="N377" s="376">
        <v>0.8</v>
      </c>
      <c r="O377" s="472"/>
      <c r="P377" s="382">
        <v>-0.5</v>
      </c>
      <c r="Q377" s="382">
        <v>-0.5</v>
      </c>
    </row>
    <row r="378" spans="1:17" ht="15.9">
      <c r="A378" s="312" t="s">
        <v>1271</v>
      </c>
      <c r="B378" s="379">
        <v>0.2</v>
      </c>
      <c r="C378" s="379">
        <v>-0.3</v>
      </c>
      <c r="D378" s="379">
        <v>0.5</v>
      </c>
      <c r="E378" s="379">
        <v>-0.8</v>
      </c>
      <c r="F378" s="379">
        <v>0.5</v>
      </c>
      <c r="G378" s="379">
        <v>0.5</v>
      </c>
      <c r="H378" s="379">
        <v>0.5</v>
      </c>
      <c r="I378" s="379">
        <v>-0.5</v>
      </c>
      <c r="J378" s="379">
        <v>0</v>
      </c>
      <c r="K378" s="379">
        <v>0.5</v>
      </c>
      <c r="M378" s="379">
        <v>0.2</v>
      </c>
      <c r="N378" s="379">
        <v>0.2</v>
      </c>
      <c r="O378" s="472"/>
      <c r="P378" s="385">
        <v>0.5</v>
      </c>
      <c r="Q378" s="385">
        <v>0.5</v>
      </c>
    </row>
    <row r="379" spans="1:17" ht="15.9">
      <c r="A379" s="312" t="s">
        <v>1272</v>
      </c>
      <c r="B379" s="382">
        <v>0.2</v>
      </c>
      <c r="C379" s="382">
        <v>-1</v>
      </c>
      <c r="D379" s="382">
        <v>-0.8</v>
      </c>
      <c r="E379" s="382">
        <v>0</v>
      </c>
      <c r="F379" s="382">
        <v>-0.8</v>
      </c>
      <c r="G379" s="382">
        <v>-0.8</v>
      </c>
      <c r="H379" s="382">
        <v>-0.8</v>
      </c>
      <c r="I379" s="382">
        <v>-0.8</v>
      </c>
      <c r="J379" s="382">
        <v>0</v>
      </c>
      <c r="K379" s="382">
        <v>-0.8</v>
      </c>
      <c r="M379" s="382">
        <v>-0.5</v>
      </c>
      <c r="N379" s="382">
        <v>-0.5</v>
      </c>
      <c r="O379" s="472"/>
      <c r="P379" s="388">
        <v>1</v>
      </c>
      <c r="Q379" s="388">
        <v>1</v>
      </c>
    </row>
    <row r="380" spans="1:17" ht="15.9">
      <c r="A380" s="312" t="s">
        <v>1273</v>
      </c>
      <c r="B380" s="385">
        <v>0.2</v>
      </c>
      <c r="C380" s="385">
        <v>1</v>
      </c>
      <c r="D380" s="385">
        <v>0</v>
      </c>
      <c r="E380" s="385">
        <v>1</v>
      </c>
      <c r="F380" s="385">
        <v>0</v>
      </c>
      <c r="G380" s="385">
        <v>0</v>
      </c>
      <c r="H380" s="385">
        <v>0</v>
      </c>
      <c r="I380" s="385">
        <v>1</v>
      </c>
      <c r="J380" s="385">
        <v>0</v>
      </c>
      <c r="K380" s="385">
        <v>0</v>
      </c>
      <c r="M380" s="385">
        <v>0.5</v>
      </c>
      <c r="N380" s="385">
        <v>0.5</v>
      </c>
      <c r="O380" s="472"/>
      <c r="P380" s="356">
        <v>1</v>
      </c>
      <c r="Q380" s="356">
        <v>1</v>
      </c>
    </row>
    <row r="381" spans="1:17" ht="15.9">
      <c r="A381" s="312" t="s">
        <v>1274</v>
      </c>
      <c r="B381" s="388">
        <v>0.2</v>
      </c>
      <c r="C381" s="388">
        <v>0.5</v>
      </c>
      <c r="D381" s="388">
        <v>0</v>
      </c>
      <c r="E381" s="388">
        <v>1</v>
      </c>
      <c r="F381" s="388">
        <v>0</v>
      </c>
      <c r="G381" s="388">
        <v>0</v>
      </c>
      <c r="H381" s="388">
        <v>0</v>
      </c>
      <c r="I381" s="388">
        <v>1</v>
      </c>
      <c r="J381" s="388">
        <v>0</v>
      </c>
      <c r="K381" s="388">
        <v>0</v>
      </c>
      <c r="M381" s="388">
        <v>1</v>
      </c>
      <c r="N381" s="388">
        <v>1</v>
      </c>
      <c r="O381" s="472"/>
      <c r="P381" s="356">
        <v>1</v>
      </c>
      <c r="Q381" s="356">
        <v>1</v>
      </c>
    </row>
    <row r="382" spans="1:17" ht="15.9">
      <c r="A382" s="312" t="s">
        <v>519</v>
      </c>
      <c r="B382" s="356">
        <v>4</v>
      </c>
      <c r="C382" s="356">
        <v>4</v>
      </c>
      <c r="D382" s="356">
        <v>4</v>
      </c>
      <c r="E382" s="356">
        <v>4</v>
      </c>
      <c r="F382" s="356">
        <v>4</v>
      </c>
      <c r="G382" s="356">
        <v>4</v>
      </c>
      <c r="H382" s="356">
        <v>4</v>
      </c>
      <c r="I382" s="356">
        <v>4</v>
      </c>
      <c r="J382" s="356">
        <v>4</v>
      </c>
      <c r="K382" s="356">
        <v>4</v>
      </c>
      <c r="M382" s="356">
        <v>1</v>
      </c>
      <c r="N382" s="356">
        <v>1</v>
      </c>
      <c r="O382" s="472"/>
      <c r="P382" s="392">
        <v>1</v>
      </c>
      <c r="Q382" s="392">
        <v>1</v>
      </c>
    </row>
    <row r="383" spans="1:17" ht="15.9">
      <c r="A383" s="312" t="s">
        <v>521</v>
      </c>
      <c r="B383" s="356">
        <v>4</v>
      </c>
      <c r="C383" s="356">
        <v>4</v>
      </c>
      <c r="D383" s="356">
        <v>4</v>
      </c>
      <c r="E383" s="356">
        <v>4</v>
      </c>
      <c r="F383" s="356">
        <v>4</v>
      </c>
      <c r="G383" s="356">
        <v>4</v>
      </c>
      <c r="H383" s="356">
        <v>4</v>
      </c>
      <c r="I383" s="356">
        <v>4</v>
      </c>
      <c r="J383" s="356">
        <v>4</v>
      </c>
      <c r="K383" s="356">
        <v>4</v>
      </c>
      <c r="M383" s="356">
        <v>1</v>
      </c>
      <c r="N383" s="356">
        <v>1</v>
      </c>
      <c r="O383" s="472"/>
      <c r="P383" s="402" t="s">
        <v>1675</v>
      </c>
      <c r="Q383" s="402" t="s">
        <v>1675</v>
      </c>
    </row>
    <row r="384" spans="1:17" ht="15.9">
      <c r="A384" s="312" t="s">
        <v>522</v>
      </c>
      <c r="B384" s="392">
        <v>4</v>
      </c>
      <c r="C384" s="392">
        <v>4</v>
      </c>
      <c r="D384" s="392">
        <v>4</v>
      </c>
      <c r="E384" s="392">
        <v>4</v>
      </c>
      <c r="F384" s="392">
        <v>4</v>
      </c>
      <c r="G384" s="392">
        <v>4</v>
      </c>
      <c r="H384" s="392">
        <v>4</v>
      </c>
      <c r="I384" s="392">
        <v>4</v>
      </c>
      <c r="J384" s="392">
        <v>4</v>
      </c>
      <c r="K384" s="392">
        <v>4</v>
      </c>
      <c r="M384" s="392">
        <v>1</v>
      </c>
      <c r="N384" s="392">
        <v>1</v>
      </c>
      <c r="O384" s="472"/>
      <c r="P384" s="396" t="s">
        <v>1276</v>
      </c>
      <c r="Q384" s="396" t="s">
        <v>1276</v>
      </c>
    </row>
    <row r="385" spans="1:17" ht="15.9">
      <c r="A385" s="312" t="s">
        <v>13</v>
      </c>
      <c r="B385" s="402" t="s">
        <v>1728</v>
      </c>
      <c r="C385" s="402" t="s">
        <v>1729</v>
      </c>
      <c r="D385" s="402" t="s">
        <v>1675</v>
      </c>
      <c r="E385" s="402" t="s">
        <v>1675</v>
      </c>
      <c r="F385" s="402" t="s">
        <v>1675</v>
      </c>
      <c r="G385" s="402" t="s">
        <v>1730</v>
      </c>
      <c r="H385" s="402" t="s">
        <v>1675</v>
      </c>
      <c r="I385" s="402" t="s">
        <v>1731</v>
      </c>
      <c r="J385" s="402" t="s">
        <v>1732</v>
      </c>
      <c r="K385" s="402" t="s">
        <v>1675</v>
      </c>
      <c r="M385" s="402" t="s">
        <v>1675</v>
      </c>
      <c r="N385" s="402" t="s">
        <v>1675</v>
      </c>
      <c r="O385" s="472"/>
      <c r="P385" s="366">
        <v>0</v>
      </c>
      <c r="Q385" s="366">
        <v>0</v>
      </c>
    </row>
    <row r="386" spans="1:17" ht="15.9">
      <c r="A386" s="394" t="s">
        <v>533</v>
      </c>
      <c r="B386" s="396" t="s">
        <v>1276</v>
      </c>
      <c r="C386" s="396" t="s">
        <v>1276</v>
      </c>
      <c r="D386" s="396" t="s">
        <v>1276</v>
      </c>
      <c r="E386" s="396" t="s">
        <v>1276</v>
      </c>
      <c r="F386" s="396" t="s">
        <v>1276</v>
      </c>
      <c r="G386" s="396" t="s">
        <v>1276</v>
      </c>
      <c r="H386" s="396" t="s">
        <v>1276</v>
      </c>
      <c r="I386" s="396" t="s">
        <v>1276</v>
      </c>
      <c r="J386" s="396" t="s">
        <v>1276</v>
      </c>
      <c r="K386" s="396" t="s">
        <v>1276</v>
      </c>
      <c r="M386" s="396" t="s">
        <v>1276</v>
      </c>
      <c r="N386" s="396" t="s">
        <v>1276</v>
      </c>
      <c r="O386" s="472"/>
      <c r="P386" s="399" t="s">
        <v>1690</v>
      </c>
      <c r="Q386" s="399" t="s">
        <v>1690</v>
      </c>
    </row>
    <row r="387" spans="1:17" ht="15.9">
      <c r="A387" s="312" t="s">
        <v>1555</v>
      </c>
      <c r="B387" s="366">
        <v>0.2</v>
      </c>
      <c r="C387" s="366">
        <v>0</v>
      </c>
      <c r="D387" s="366">
        <v>0</v>
      </c>
      <c r="E387" s="366">
        <v>0.2</v>
      </c>
      <c r="F387" s="366">
        <v>0</v>
      </c>
      <c r="G387" s="366">
        <v>0</v>
      </c>
      <c r="H387" s="366">
        <v>0</v>
      </c>
      <c r="I387" s="366">
        <v>0</v>
      </c>
      <c r="J387" s="366">
        <v>0.5</v>
      </c>
      <c r="K387" s="366">
        <v>0</v>
      </c>
      <c r="M387" s="366">
        <v>0</v>
      </c>
      <c r="N387" s="366">
        <v>0</v>
      </c>
      <c r="O387" s="472"/>
      <c r="P387" s="402">
        <v>400</v>
      </c>
      <c r="Q387" s="402">
        <v>400</v>
      </c>
    </row>
    <row r="388" spans="1:17" ht="30" customHeight="1">
      <c r="A388" s="312" t="s">
        <v>35</v>
      </c>
      <c r="B388" s="399" t="s">
        <v>1733</v>
      </c>
      <c r="C388" s="399" t="s">
        <v>1734</v>
      </c>
      <c r="D388" s="399" t="s">
        <v>1733</v>
      </c>
      <c r="E388" s="399" t="s">
        <v>1733</v>
      </c>
      <c r="F388" s="399" t="s">
        <v>1733</v>
      </c>
      <c r="G388" s="399" t="s">
        <v>1734</v>
      </c>
      <c r="H388" s="399" t="s">
        <v>1733</v>
      </c>
      <c r="I388" s="399" t="s">
        <v>1733</v>
      </c>
      <c r="J388" s="399" t="s">
        <v>1733</v>
      </c>
      <c r="K388" s="399" t="s">
        <v>1733</v>
      </c>
      <c r="M388" s="399" t="s">
        <v>1735</v>
      </c>
      <c r="N388" s="399" t="s">
        <v>1735</v>
      </c>
      <c r="O388" s="472"/>
      <c r="P388" s="402">
        <v>2</v>
      </c>
      <c r="Q388" s="402">
        <v>2</v>
      </c>
    </row>
    <row r="389" spans="1:17" ht="15.9">
      <c r="A389" s="312" t="s">
        <v>1282</v>
      </c>
      <c r="B389" s="402">
        <v>400</v>
      </c>
      <c r="C389" s="402">
        <v>400</v>
      </c>
      <c r="D389" s="402">
        <v>400</v>
      </c>
      <c r="E389" s="402">
        <v>400</v>
      </c>
      <c r="F389" s="402">
        <v>400</v>
      </c>
      <c r="G389" s="402">
        <v>400</v>
      </c>
      <c r="H389" s="402">
        <v>400</v>
      </c>
      <c r="I389" s="402">
        <v>400</v>
      </c>
      <c r="J389" s="402">
        <v>400</v>
      </c>
      <c r="K389" s="402">
        <v>400</v>
      </c>
      <c r="M389" s="402">
        <v>400</v>
      </c>
      <c r="N389" s="402">
        <v>400</v>
      </c>
      <c r="O389" s="472"/>
      <c r="P389" s="402" t="s">
        <v>1697</v>
      </c>
      <c r="Q389" s="402" t="s">
        <v>1697</v>
      </c>
    </row>
    <row r="390" spans="1:17" ht="15.9">
      <c r="A390" s="312" t="s">
        <v>542</v>
      </c>
      <c r="B390" s="402">
        <v>4</v>
      </c>
      <c r="C390" s="402">
        <v>4</v>
      </c>
      <c r="D390" s="402">
        <v>4</v>
      </c>
      <c r="E390" s="402">
        <v>4</v>
      </c>
      <c r="F390" s="402">
        <v>4</v>
      </c>
      <c r="G390" s="402">
        <v>4</v>
      </c>
      <c r="H390" s="402">
        <v>4</v>
      </c>
      <c r="I390" s="402">
        <v>4</v>
      </c>
      <c r="J390" s="402">
        <v>4</v>
      </c>
      <c r="K390" s="402">
        <v>4</v>
      </c>
      <c r="M390" s="402">
        <v>2</v>
      </c>
      <c r="N390" s="402">
        <v>2</v>
      </c>
      <c r="O390" s="473"/>
      <c r="P390" s="402" t="s">
        <v>1707</v>
      </c>
      <c r="Q390" s="402" t="s">
        <v>1707</v>
      </c>
    </row>
    <row r="391" spans="1:17" ht="15.9">
      <c r="A391" s="312" t="s">
        <v>1283</v>
      </c>
      <c r="B391" s="402"/>
      <c r="C391" s="402" t="s">
        <v>1736</v>
      </c>
      <c r="D391" s="402" t="s">
        <v>1737</v>
      </c>
      <c r="E391" s="402" t="s">
        <v>1738</v>
      </c>
      <c r="F391" s="402" t="s">
        <v>1737</v>
      </c>
      <c r="G391" s="402" t="s">
        <v>1739</v>
      </c>
      <c r="H391" s="402" t="s">
        <v>1737</v>
      </c>
      <c r="I391" s="402" t="s">
        <v>1740</v>
      </c>
      <c r="J391" s="402" t="s">
        <v>1741</v>
      </c>
      <c r="K391" s="402" t="s">
        <v>1423</v>
      </c>
      <c r="M391" s="402" t="s">
        <v>1697</v>
      </c>
      <c r="N391" s="402" t="s">
        <v>1697</v>
      </c>
      <c r="P391" s="310" t="s">
        <v>655</v>
      </c>
      <c r="Q391" s="310" t="s">
        <v>655</v>
      </c>
    </row>
    <row r="392" spans="1:17" ht="15.9">
      <c r="A392" s="312" t="s">
        <v>1294</v>
      </c>
      <c r="B392" s="402" t="s">
        <v>1742</v>
      </c>
      <c r="C392" s="402" t="s">
        <v>655</v>
      </c>
      <c r="D392" s="402" t="s">
        <v>1743</v>
      </c>
      <c r="E392" s="402" t="s">
        <v>1744</v>
      </c>
      <c r="F392" s="402" t="s">
        <v>1745</v>
      </c>
      <c r="G392" s="402" t="s">
        <v>655</v>
      </c>
      <c r="H392" s="402" t="s">
        <v>1746</v>
      </c>
      <c r="I392" s="402" t="s">
        <v>1747</v>
      </c>
      <c r="J392" s="402" t="s">
        <v>655</v>
      </c>
      <c r="K392" s="402" t="s">
        <v>1748</v>
      </c>
      <c r="M392" s="402" t="s">
        <v>1707</v>
      </c>
      <c r="N392" s="402" t="s">
        <v>1707</v>
      </c>
    </row>
    <row r="393" spans="1:17" ht="15.9">
      <c r="A393" s="312" t="s">
        <v>1567</v>
      </c>
      <c r="B393" s="310" t="s">
        <v>655</v>
      </c>
      <c r="C393" s="310" t="s">
        <v>655</v>
      </c>
      <c r="D393" s="310" t="s">
        <v>1749</v>
      </c>
      <c r="E393" s="310" t="s">
        <v>655</v>
      </c>
      <c r="F393" s="310" t="s">
        <v>1750</v>
      </c>
      <c r="G393" s="310" t="s">
        <v>655</v>
      </c>
      <c r="H393" s="310" t="s">
        <v>655</v>
      </c>
      <c r="I393" s="310" t="s">
        <v>655</v>
      </c>
      <c r="J393" s="310" t="s">
        <v>655</v>
      </c>
      <c r="K393" s="310" t="s">
        <v>655</v>
      </c>
      <c r="M393" s="310" t="s">
        <v>655</v>
      </c>
      <c r="N393" s="310" t="s">
        <v>655</v>
      </c>
    </row>
    <row r="394" spans="1:17" ht="14.6"/>
    <row r="395" spans="1:17" ht="15.9">
      <c r="A395" s="312" t="s">
        <v>1251</v>
      </c>
      <c r="B395" s="474" t="s">
        <v>1139</v>
      </c>
      <c r="C395" s="474" t="s">
        <v>1751</v>
      </c>
      <c r="D395" s="474" t="s">
        <v>1752</v>
      </c>
      <c r="E395" s="474" t="s">
        <v>1753</v>
      </c>
      <c r="F395" s="474" t="s">
        <v>1754</v>
      </c>
      <c r="G395" s="474" t="s">
        <v>1755</v>
      </c>
      <c r="H395" s="474" t="s">
        <v>1756</v>
      </c>
      <c r="I395" s="474" t="s">
        <v>1757</v>
      </c>
      <c r="J395" s="474" t="s">
        <v>1758</v>
      </c>
      <c r="K395" s="474" t="s">
        <v>1759</v>
      </c>
      <c r="M395" s="474" t="s">
        <v>1760</v>
      </c>
      <c r="N395" s="474" t="s">
        <v>1760</v>
      </c>
    </row>
    <row r="396" spans="1:17" ht="15.9">
      <c r="A396" s="312" t="s">
        <v>1261</v>
      </c>
      <c r="B396" s="315" t="s">
        <v>1221</v>
      </c>
      <c r="C396" s="319" t="s">
        <v>1225</v>
      </c>
      <c r="D396" s="321" t="s">
        <v>1227</v>
      </c>
      <c r="E396" s="323" t="s">
        <v>1229</v>
      </c>
      <c r="F396" s="341" t="s">
        <v>1231</v>
      </c>
      <c r="G396" s="327" t="s">
        <v>1233</v>
      </c>
      <c r="H396" s="328" t="s">
        <v>1235</v>
      </c>
      <c r="I396" s="329" t="s">
        <v>1237</v>
      </c>
      <c r="J396" s="330" t="s">
        <v>1239</v>
      </c>
      <c r="K396" s="332" t="s">
        <v>1241</v>
      </c>
      <c r="M396" s="317" t="s">
        <v>1223</v>
      </c>
      <c r="N396" s="333" t="s">
        <v>1242</v>
      </c>
    </row>
    <row r="397" spans="1:17" ht="15.9">
      <c r="A397" s="312" t="s">
        <v>1262</v>
      </c>
      <c r="B397" s="312" t="s">
        <v>1222</v>
      </c>
      <c r="C397" s="312" t="s">
        <v>1222</v>
      </c>
      <c r="D397" s="312" t="s">
        <v>1222</v>
      </c>
      <c r="E397" s="312" t="s">
        <v>1222</v>
      </c>
      <c r="F397" s="312" t="s">
        <v>1222</v>
      </c>
      <c r="G397" s="312" t="s">
        <v>1222</v>
      </c>
      <c r="H397" s="312" t="s">
        <v>1222</v>
      </c>
      <c r="I397" s="312" t="s">
        <v>1222</v>
      </c>
      <c r="J397" s="312" t="s">
        <v>1222</v>
      </c>
      <c r="K397" s="312" t="s">
        <v>1222</v>
      </c>
      <c r="M397" s="312" t="s">
        <v>1222</v>
      </c>
      <c r="N397" s="312" t="s">
        <v>1222</v>
      </c>
    </row>
    <row r="398" spans="1:17" ht="15.9">
      <c r="A398" s="346" t="s">
        <v>491</v>
      </c>
      <c r="B398" s="348" t="s">
        <v>1551</v>
      </c>
      <c r="C398" s="348" t="s">
        <v>1551</v>
      </c>
      <c r="D398" s="348" t="s">
        <v>1761</v>
      </c>
      <c r="E398" s="348" t="s">
        <v>1413</v>
      </c>
      <c r="F398" s="348" t="s">
        <v>1623</v>
      </c>
      <c r="G398" s="348" t="s">
        <v>1413</v>
      </c>
      <c r="H398" s="348" t="s">
        <v>1623</v>
      </c>
      <c r="I398" s="348" t="s">
        <v>1623</v>
      </c>
      <c r="J398" s="464" t="s">
        <v>1672</v>
      </c>
      <c r="K398" s="348" t="s">
        <v>1761</v>
      </c>
      <c r="M398" s="348" t="s">
        <v>1551</v>
      </c>
      <c r="N398" s="348" t="s">
        <v>1551</v>
      </c>
    </row>
    <row r="399" spans="1:17" ht="15.9">
      <c r="A399" s="350" t="s">
        <v>1264</v>
      </c>
      <c r="B399" s="352" t="s">
        <v>1551</v>
      </c>
      <c r="C399" s="352" t="s">
        <v>1551</v>
      </c>
      <c r="D399" s="352" t="s">
        <v>1551</v>
      </c>
      <c r="E399" s="352" t="s">
        <v>655</v>
      </c>
      <c r="F399" s="352" t="s">
        <v>1551</v>
      </c>
      <c r="G399" s="352" t="s">
        <v>1551</v>
      </c>
      <c r="H399" s="352" t="s">
        <v>1551</v>
      </c>
      <c r="I399" s="352" t="s">
        <v>1551</v>
      </c>
      <c r="J399" s="352" t="s">
        <v>655</v>
      </c>
      <c r="K399" s="352" t="s">
        <v>1623</v>
      </c>
      <c r="M399" s="352" t="s">
        <v>1551</v>
      </c>
      <c r="N399" s="352" t="s">
        <v>1551</v>
      </c>
    </row>
    <row r="400" spans="1:17" ht="15.9">
      <c r="A400" s="354" t="s">
        <v>495</v>
      </c>
      <c r="B400" s="356">
        <v>4</v>
      </c>
      <c r="C400" s="356">
        <v>3</v>
      </c>
      <c r="D400" s="356">
        <v>2</v>
      </c>
      <c r="E400" s="356">
        <v>4</v>
      </c>
      <c r="F400" s="356">
        <v>4</v>
      </c>
      <c r="G400" s="356">
        <v>4</v>
      </c>
      <c r="H400" s="356">
        <v>5</v>
      </c>
      <c r="I400" s="356">
        <v>5</v>
      </c>
      <c r="J400" s="356">
        <v>-5</v>
      </c>
      <c r="K400" s="356">
        <v>2</v>
      </c>
      <c r="M400" s="356">
        <v>2</v>
      </c>
      <c r="N400" s="356">
        <v>2</v>
      </c>
    </row>
    <row r="401" spans="1:14" ht="15.9">
      <c r="A401" s="358" t="s">
        <v>497</v>
      </c>
      <c r="B401" s="360">
        <v>4</v>
      </c>
      <c r="C401" s="360">
        <v>3</v>
      </c>
      <c r="D401" s="360">
        <v>5</v>
      </c>
      <c r="E401" s="360">
        <v>2</v>
      </c>
      <c r="F401" s="360">
        <v>4</v>
      </c>
      <c r="G401" s="360">
        <v>4</v>
      </c>
      <c r="H401" s="360">
        <v>3</v>
      </c>
      <c r="I401" s="360">
        <v>3</v>
      </c>
      <c r="J401" s="360">
        <v>-5</v>
      </c>
      <c r="K401" s="360">
        <v>2</v>
      </c>
      <c r="M401" s="360">
        <v>2</v>
      </c>
      <c r="N401" s="360">
        <v>2</v>
      </c>
    </row>
    <row r="402" spans="1:14" ht="15.9">
      <c r="A402" s="312" t="s">
        <v>1266</v>
      </c>
      <c r="B402" s="363">
        <v>-0.2</v>
      </c>
      <c r="C402" s="363">
        <v>-0.2</v>
      </c>
      <c r="D402" s="363">
        <v>0</v>
      </c>
      <c r="E402" s="363">
        <v>0</v>
      </c>
      <c r="F402" s="363">
        <v>0.5</v>
      </c>
      <c r="G402" s="363">
        <v>0</v>
      </c>
      <c r="H402" s="363">
        <v>-0.5</v>
      </c>
      <c r="I402" s="363">
        <v>-0.5</v>
      </c>
      <c r="J402" s="363">
        <v>-0.5</v>
      </c>
      <c r="K402" s="363">
        <v>1</v>
      </c>
      <c r="M402" s="363">
        <v>-0.5</v>
      </c>
      <c r="N402" s="363">
        <v>-0.5</v>
      </c>
    </row>
    <row r="403" spans="1:14" ht="15.9">
      <c r="A403" s="312" t="s">
        <v>1267</v>
      </c>
      <c r="B403" s="366">
        <v>0.2</v>
      </c>
      <c r="C403" s="366">
        <v>0.2</v>
      </c>
      <c r="D403" s="366">
        <v>0.5</v>
      </c>
      <c r="E403" s="366">
        <v>0.2</v>
      </c>
      <c r="F403" s="366">
        <v>0.5</v>
      </c>
      <c r="G403" s="366">
        <v>0</v>
      </c>
      <c r="H403" s="366">
        <v>0.5</v>
      </c>
      <c r="I403" s="366">
        <v>0.5</v>
      </c>
      <c r="J403" s="366">
        <v>-0.5</v>
      </c>
      <c r="K403" s="366">
        <v>-0.5</v>
      </c>
      <c r="M403" s="366">
        <v>0</v>
      </c>
      <c r="N403" s="366">
        <v>0</v>
      </c>
    </row>
    <row r="404" spans="1:14" ht="15.9">
      <c r="A404" s="312" t="s">
        <v>1268</v>
      </c>
      <c r="B404" s="369">
        <v>0.8</v>
      </c>
      <c r="C404" s="369">
        <v>-0.2</v>
      </c>
      <c r="D404" s="369">
        <v>-0.5</v>
      </c>
      <c r="E404" s="369">
        <v>0.1</v>
      </c>
      <c r="F404" s="369">
        <v>0.5</v>
      </c>
      <c r="G404" s="369">
        <v>0.5</v>
      </c>
      <c r="H404" s="369">
        <v>0.5</v>
      </c>
      <c r="I404" s="369">
        <v>0.5</v>
      </c>
      <c r="J404" s="369">
        <v>-0.5</v>
      </c>
      <c r="K404" s="369">
        <v>0</v>
      </c>
      <c r="M404" s="369">
        <v>0.5</v>
      </c>
      <c r="N404" s="369">
        <v>0.5</v>
      </c>
    </row>
    <row r="405" spans="1:14" ht="15.9">
      <c r="A405" s="312" t="s">
        <v>1269</v>
      </c>
      <c r="B405" s="372">
        <v>0</v>
      </c>
      <c r="C405" s="372">
        <v>0</v>
      </c>
      <c r="D405" s="372">
        <v>0.5</v>
      </c>
      <c r="E405" s="372">
        <v>0.2</v>
      </c>
      <c r="F405" s="372">
        <v>0.5</v>
      </c>
      <c r="G405" s="372">
        <v>-0.5</v>
      </c>
      <c r="H405" s="372">
        <v>-0.5</v>
      </c>
      <c r="I405" s="372">
        <v>-0.5</v>
      </c>
      <c r="J405" s="372">
        <v>-0.5</v>
      </c>
      <c r="K405" s="372">
        <v>0</v>
      </c>
      <c r="M405" s="372">
        <v>-0.5</v>
      </c>
      <c r="N405" s="372">
        <v>-0.5</v>
      </c>
    </row>
    <row r="406" spans="1:14" ht="15.9">
      <c r="A406" s="465" t="s">
        <v>1270</v>
      </c>
      <c r="B406" s="376">
        <v>0</v>
      </c>
      <c r="C406" s="376">
        <v>0.3</v>
      </c>
      <c r="D406" s="376">
        <v>0</v>
      </c>
      <c r="E406" s="376">
        <v>0.1</v>
      </c>
      <c r="F406" s="376">
        <v>0.5</v>
      </c>
      <c r="G406" s="376">
        <v>0.5</v>
      </c>
      <c r="H406" s="376">
        <v>0.5</v>
      </c>
      <c r="I406" s="376">
        <v>0.5</v>
      </c>
      <c r="J406" s="376">
        <v>-0.5</v>
      </c>
      <c r="K406" s="376">
        <v>0</v>
      </c>
      <c r="M406" s="376">
        <v>0.5</v>
      </c>
      <c r="N406" s="376">
        <v>0.5</v>
      </c>
    </row>
    <row r="407" spans="1:14" ht="15.9">
      <c r="A407" s="312" t="s">
        <v>1271</v>
      </c>
      <c r="B407" s="379">
        <v>0</v>
      </c>
      <c r="C407" s="379">
        <v>0.2</v>
      </c>
      <c r="D407" s="379">
        <v>0</v>
      </c>
      <c r="E407" s="379">
        <v>0.1</v>
      </c>
      <c r="F407" s="379">
        <v>0.5</v>
      </c>
      <c r="G407" s="379">
        <v>0</v>
      </c>
      <c r="H407" s="379">
        <v>0</v>
      </c>
      <c r="I407" s="379">
        <v>0</v>
      </c>
      <c r="J407" s="379">
        <v>-0.5</v>
      </c>
      <c r="K407" s="379">
        <v>0</v>
      </c>
      <c r="M407" s="379">
        <v>0</v>
      </c>
      <c r="N407" s="379">
        <v>0</v>
      </c>
    </row>
    <row r="408" spans="1:14" ht="15.9">
      <c r="A408" s="312" t="s">
        <v>1272</v>
      </c>
      <c r="B408" s="382">
        <v>0</v>
      </c>
      <c r="C408" s="382">
        <v>0</v>
      </c>
      <c r="D408" s="382">
        <v>0</v>
      </c>
      <c r="E408" s="382">
        <v>0.4</v>
      </c>
      <c r="F408" s="382">
        <v>0.5</v>
      </c>
      <c r="G408" s="382">
        <v>0</v>
      </c>
      <c r="H408" s="382">
        <v>-0.2</v>
      </c>
      <c r="I408" s="382">
        <v>-0.2</v>
      </c>
      <c r="J408" s="382">
        <v>-0.5</v>
      </c>
      <c r="K408" s="382">
        <v>0.5</v>
      </c>
      <c r="M408" s="382">
        <v>-0.2</v>
      </c>
      <c r="N408" s="382">
        <v>-0.2</v>
      </c>
    </row>
    <row r="409" spans="1:14" ht="15.9">
      <c r="A409" s="312" t="s">
        <v>1273</v>
      </c>
      <c r="B409" s="385">
        <v>0</v>
      </c>
      <c r="C409" s="385">
        <v>0</v>
      </c>
      <c r="D409" s="385">
        <v>0.5</v>
      </c>
      <c r="E409" s="385">
        <v>0.2</v>
      </c>
      <c r="F409" s="385">
        <v>0.5</v>
      </c>
      <c r="G409" s="385">
        <v>0</v>
      </c>
      <c r="H409" s="385">
        <v>0</v>
      </c>
      <c r="I409" s="385">
        <v>0</v>
      </c>
      <c r="J409" s="385">
        <v>-0.5</v>
      </c>
      <c r="K409" s="385">
        <v>0</v>
      </c>
      <c r="M409" s="385">
        <v>0</v>
      </c>
      <c r="N409" s="385">
        <v>0</v>
      </c>
    </row>
    <row r="410" spans="1:14" ht="15.9">
      <c r="A410" s="312" t="s">
        <v>1274</v>
      </c>
      <c r="B410" s="388">
        <v>0</v>
      </c>
      <c r="C410" s="388">
        <v>0.5</v>
      </c>
      <c r="D410" s="388">
        <v>0</v>
      </c>
      <c r="E410" s="388">
        <v>-0.5</v>
      </c>
      <c r="F410" s="388">
        <v>0.5</v>
      </c>
      <c r="G410" s="388">
        <v>0</v>
      </c>
      <c r="H410" s="388">
        <v>0</v>
      </c>
      <c r="I410" s="388">
        <v>0</v>
      </c>
      <c r="J410" s="388">
        <v>-0.5</v>
      </c>
      <c r="K410" s="388">
        <v>0</v>
      </c>
      <c r="M410" s="388">
        <v>0</v>
      </c>
      <c r="N410" s="388">
        <v>0</v>
      </c>
    </row>
    <row r="411" spans="1:14" ht="15.9">
      <c r="A411" s="312" t="s">
        <v>519</v>
      </c>
      <c r="B411" s="356">
        <v>4</v>
      </c>
      <c r="C411" s="356">
        <v>4</v>
      </c>
      <c r="D411" s="356">
        <v>4</v>
      </c>
      <c r="E411" s="356">
        <v>4</v>
      </c>
      <c r="F411" s="356">
        <v>4</v>
      </c>
      <c r="G411" s="356">
        <v>4</v>
      </c>
      <c r="H411" s="356">
        <v>4</v>
      </c>
      <c r="I411" s="356">
        <v>4</v>
      </c>
      <c r="J411" s="356">
        <v>0</v>
      </c>
      <c r="K411" s="356">
        <v>4</v>
      </c>
      <c r="M411" s="356">
        <v>1</v>
      </c>
      <c r="N411" s="356">
        <v>1</v>
      </c>
    </row>
    <row r="412" spans="1:14" ht="15.9">
      <c r="A412" s="312" t="s">
        <v>521</v>
      </c>
      <c r="B412" s="356">
        <v>4</v>
      </c>
      <c r="C412" s="356">
        <v>4</v>
      </c>
      <c r="D412" s="356">
        <v>4</v>
      </c>
      <c r="E412" s="356">
        <v>4</v>
      </c>
      <c r="F412" s="356">
        <v>4</v>
      </c>
      <c r="G412" s="356">
        <v>4</v>
      </c>
      <c r="H412" s="356">
        <v>4</v>
      </c>
      <c r="I412" s="356">
        <v>4</v>
      </c>
      <c r="J412" s="356">
        <v>0</v>
      </c>
      <c r="K412" s="356">
        <v>4</v>
      </c>
      <c r="M412" s="356">
        <v>1</v>
      </c>
      <c r="N412" s="356">
        <v>1</v>
      </c>
    </row>
    <row r="413" spans="1:14" ht="15.9">
      <c r="A413" s="312" t="s">
        <v>522</v>
      </c>
      <c r="B413" s="392">
        <v>4</v>
      </c>
      <c r="C413" s="392">
        <v>4</v>
      </c>
      <c r="D413" s="392">
        <v>4</v>
      </c>
      <c r="E413" s="392">
        <v>4</v>
      </c>
      <c r="F413" s="392">
        <v>4</v>
      </c>
      <c r="G413" s="392">
        <v>4</v>
      </c>
      <c r="H413" s="392">
        <v>4</v>
      </c>
      <c r="I413" s="392">
        <v>4</v>
      </c>
      <c r="J413" s="392">
        <v>0</v>
      </c>
      <c r="K413" s="392">
        <v>4</v>
      </c>
      <c r="M413" s="392">
        <v>1</v>
      </c>
      <c r="N413" s="392">
        <v>1</v>
      </c>
    </row>
    <row r="414" spans="1:14" ht="15.9">
      <c r="A414" s="312" t="s">
        <v>13</v>
      </c>
      <c r="B414" s="402" t="s">
        <v>1762</v>
      </c>
      <c r="C414" s="402" t="s">
        <v>1762</v>
      </c>
      <c r="D414" s="402" t="s">
        <v>1763</v>
      </c>
      <c r="E414" s="402" t="s">
        <v>1626</v>
      </c>
      <c r="F414" s="402" t="s">
        <v>1762</v>
      </c>
      <c r="G414" s="356" t="s">
        <v>1764</v>
      </c>
      <c r="H414" s="402" t="s">
        <v>1631</v>
      </c>
      <c r="I414" s="402" t="s">
        <v>1765</v>
      </c>
      <c r="J414" s="402" t="s">
        <v>655</v>
      </c>
      <c r="K414" s="402" t="s">
        <v>1766</v>
      </c>
      <c r="M414" s="402" t="s">
        <v>1767</v>
      </c>
      <c r="N414" s="402" t="s">
        <v>1767</v>
      </c>
    </row>
    <row r="415" spans="1:14" ht="15.9">
      <c r="A415" s="394" t="s">
        <v>533</v>
      </c>
      <c r="B415" s="396" t="s">
        <v>1276</v>
      </c>
      <c r="C415" s="396" t="s">
        <v>1276</v>
      </c>
      <c r="D415" s="396" t="s">
        <v>1276</v>
      </c>
      <c r="E415" s="396" t="s">
        <v>1276</v>
      </c>
      <c r="F415" s="396" t="s">
        <v>1276</v>
      </c>
      <c r="G415" s="396" t="s">
        <v>1276</v>
      </c>
      <c r="H415" s="396" t="s">
        <v>1276</v>
      </c>
      <c r="I415" s="396" t="s">
        <v>1276</v>
      </c>
      <c r="J415" s="396" t="s">
        <v>1276</v>
      </c>
      <c r="K415" s="396" t="s">
        <v>1276</v>
      </c>
      <c r="M415" s="396" t="s">
        <v>1276</v>
      </c>
      <c r="N415" s="396" t="s">
        <v>1276</v>
      </c>
    </row>
    <row r="416" spans="1:14" ht="15.9">
      <c r="A416" s="312" t="s">
        <v>1555</v>
      </c>
      <c r="B416" s="366">
        <v>0</v>
      </c>
      <c r="C416" s="366">
        <v>0</v>
      </c>
      <c r="D416" s="366">
        <v>0</v>
      </c>
      <c r="E416" s="366">
        <v>0</v>
      </c>
      <c r="F416" s="366">
        <v>0</v>
      </c>
      <c r="G416" s="366">
        <v>0</v>
      </c>
      <c r="H416" s="366">
        <v>0</v>
      </c>
      <c r="I416" s="366">
        <v>0</v>
      </c>
      <c r="J416" s="366">
        <v>0</v>
      </c>
      <c r="K416" s="366">
        <v>0</v>
      </c>
      <c r="M416" s="366">
        <v>0</v>
      </c>
      <c r="N416" s="366">
        <v>0</v>
      </c>
    </row>
    <row r="417" spans="1:14" ht="27" customHeight="1">
      <c r="A417" s="312" t="s">
        <v>35</v>
      </c>
      <c r="B417" s="399" t="s">
        <v>1636</v>
      </c>
      <c r="C417" s="399" t="s">
        <v>1636</v>
      </c>
      <c r="D417" s="399" t="s">
        <v>1636</v>
      </c>
      <c r="E417" s="399" t="s">
        <v>1636</v>
      </c>
      <c r="F417" s="399" t="s">
        <v>1636</v>
      </c>
      <c r="G417" s="399" t="s">
        <v>1636</v>
      </c>
      <c r="H417" s="399" t="s">
        <v>1636</v>
      </c>
      <c r="I417" s="399" t="s">
        <v>1636</v>
      </c>
      <c r="J417" s="399" t="s">
        <v>1636</v>
      </c>
      <c r="K417" s="399" t="s">
        <v>1636</v>
      </c>
      <c r="M417" s="399" t="s">
        <v>1768</v>
      </c>
      <c r="N417" s="399" t="s">
        <v>1768</v>
      </c>
    </row>
    <row r="418" spans="1:14" ht="15.9">
      <c r="A418" s="312" t="s">
        <v>1282</v>
      </c>
      <c r="B418" s="402">
        <v>400</v>
      </c>
      <c r="C418" s="402">
        <v>400</v>
      </c>
      <c r="D418" s="402">
        <v>400</v>
      </c>
      <c r="E418" s="402">
        <v>400</v>
      </c>
      <c r="F418" s="402">
        <v>400</v>
      </c>
      <c r="G418" s="402">
        <v>400</v>
      </c>
      <c r="H418" s="402">
        <v>400</v>
      </c>
      <c r="I418" s="402">
        <v>400</v>
      </c>
      <c r="J418" s="402">
        <v>400</v>
      </c>
      <c r="K418" s="402">
        <v>400</v>
      </c>
      <c r="M418" s="402">
        <v>400</v>
      </c>
      <c r="N418" s="402">
        <v>400</v>
      </c>
    </row>
    <row r="419" spans="1:14" ht="15.9">
      <c r="A419" s="312" t="s">
        <v>542</v>
      </c>
      <c r="B419" s="402">
        <v>4</v>
      </c>
      <c r="C419" s="402">
        <v>4</v>
      </c>
      <c r="D419" s="402">
        <v>4</v>
      </c>
      <c r="E419" s="402">
        <v>4</v>
      </c>
      <c r="F419" s="402">
        <v>4</v>
      </c>
      <c r="G419" s="402">
        <v>4</v>
      </c>
      <c r="H419" s="402">
        <v>4</v>
      </c>
      <c r="I419" s="402">
        <v>4</v>
      </c>
      <c r="J419" s="402">
        <v>4</v>
      </c>
      <c r="K419" s="402">
        <v>4</v>
      </c>
      <c r="M419" s="402">
        <v>3</v>
      </c>
      <c r="N419" s="402">
        <v>3</v>
      </c>
    </row>
    <row r="420" spans="1:14" ht="21.75" customHeight="1">
      <c r="A420" s="312" t="s">
        <v>1283</v>
      </c>
      <c r="B420" s="356" t="s">
        <v>655</v>
      </c>
      <c r="C420" s="356" t="s">
        <v>6624</v>
      </c>
      <c r="D420" s="356" t="s">
        <v>1770</v>
      </c>
      <c r="E420" s="356" t="s">
        <v>1771</v>
      </c>
      <c r="F420" s="402" t="s">
        <v>1772</v>
      </c>
      <c r="G420" s="402" t="s">
        <v>1773</v>
      </c>
      <c r="H420" s="356" t="s">
        <v>655</v>
      </c>
      <c r="I420" s="356" t="s">
        <v>655</v>
      </c>
      <c r="J420" s="402" t="s">
        <v>1774</v>
      </c>
      <c r="K420" s="429" t="s">
        <v>1775</v>
      </c>
      <c r="M420" s="356" t="s">
        <v>655</v>
      </c>
      <c r="N420" s="356" t="s">
        <v>655</v>
      </c>
    </row>
    <row r="421" spans="1:14" ht="21.75" customHeight="1">
      <c r="A421" s="312" t="s">
        <v>1294</v>
      </c>
      <c r="B421" s="356" t="s">
        <v>1776</v>
      </c>
      <c r="C421" s="356" t="s">
        <v>1777</v>
      </c>
      <c r="D421" s="356" t="s">
        <v>1778</v>
      </c>
      <c r="E421" s="356" t="s">
        <v>1779</v>
      </c>
      <c r="F421" s="429" t="s">
        <v>1780</v>
      </c>
      <c r="G421" s="402" t="s">
        <v>1781</v>
      </c>
      <c r="H421" s="402" t="s">
        <v>1656</v>
      </c>
      <c r="I421" s="402" t="s">
        <v>655</v>
      </c>
      <c r="J421" s="402" t="s">
        <v>1782</v>
      </c>
      <c r="K421" s="429" t="s">
        <v>1783</v>
      </c>
      <c r="M421" s="402" t="s">
        <v>1784</v>
      </c>
      <c r="N421" s="402" t="s">
        <v>1784</v>
      </c>
    </row>
    <row r="422" spans="1:14" ht="21.75" customHeight="1">
      <c r="A422" s="312" t="s">
        <v>1567</v>
      </c>
      <c r="B422" s="356" t="s">
        <v>1785</v>
      </c>
      <c r="C422" s="356" t="s">
        <v>655</v>
      </c>
      <c r="D422" s="356" t="s">
        <v>655</v>
      </c>
      <c r="E422" s="356" t="s">
        <v>655</v>
      </c>
      <c r="F422" s="356" t="s">
        <v>655</v>
      </c>
      <c r="G422" s="466" t="s">
        <v>1786</v>
      </c>
      <c r="H422" s="402" t="s">
        <v>1787</v>
      </c>
      <c r="I422" s="429" t="s">
        <v>1788</v>
      </c>
      <c r="J422" s="310" t="s">
        <v>1789</v>
      </c>
      <c r="K422" s="310" t="s">
        <v>1790</v>
      </c>
      <c r="M422" s="402" t="s">
        <v>1791</v>
      </c>
      <c r="N422" s="402" t="s">
        <v>1791</v>
      </c>
    </row>
    <row r="423" spans="1:14" ht="14.6"/>
    <row r="424" spans="1:14" ht="15.9">
      <c r="A424" s="312" t="s">
        <v>1251</v>
      </c>
      <c r="B424" s="430" t="s">
        <v>1792</v>
      </c>
      <c r="C424" s="430" t="s">
        <v>1793</v>
      </c>
      <c r="D424" s="430" t="s">
        <v>1794</v>
      </c>
      <c r="E424" s="430" t="s">
        <v>1795</v>
      </c>
      <c r="F424" s="430" t="s">
        <v>1796</v>
      </c>
      <c r="G424" s="430" t="s">
        <v>1797</v>
      </c>
      <c r="H424" s="430" t="s">
        <v>1798</v>
      </c>
      <c r="I424" s="430" t="s">
        <v>1799</v>
      </c>
      <c r="J424" s="430" t="s">
        <v>1800</v>
      </c>
      <c r="K424" s="430" t="s">
        <v>1801</v>
      </c>
      <c r="M424" s="430" t="s">
        <v>1802</v>
      </c>
      <c r="N424" s="430" t="s">
        <v>1802</v>
      </c>
    </row>
    <row r="425" spans="1:14" ht="15.9">
      <c r="A425" s="312" t="s">
        <v>1261</v>
      </c>
      <c r="B425" s="340" t="s">
        <v>1221</v>
      </c>
      <c r="C425" s="319" t="s">
        <v>1225</v>
      </c>
      <c r="D425" s="321" t="s">
        <v>1227</v>
      </c>
      <c r="E425" s="323" t="s">
        <v>1229</v>
      </c>
      <c r="F425" s="341" t="s">
        <v>1231</v>
      </c>
      <c r="G425" s="327" t="s">
        <v>1233</v>
      </c>
      <c r="H425" s="328" t="s">
        <v>1235</v>
      </c>
      <c r="I425" s="329" t="s">
        <v>1237</v>
      </c>
      <c r="J425" s="330" t="s">
        <v>1239</v>
      </c>
      <c r="K425" s="342" t="s">
        <v>1241</v>
      </c>
      <c r="M425" s="317" t="s">
        <v>1223</v>
      </c>
      <c r="N425" s="333" t="s">
        <v>1242</v>
      </c>
    </row>
    <row r="426" spans="1:14" ht="15.9">
      <c r="A426" s="312" t="s">
        <v>1262</v>
      </c>
      <c r="B426" s="343" t="s">
        <v>1228</v>
      </c>
      <c r="C426" s="345" t="s">
        <v>1228</v>
      </c>
      <c r="D426" s="343" t="s">
        <v>1228</v>
      </c>
      <c r="E426" s="343" t="s">
        <v>1228</v>
      </c>
      <c r="F426" s="344" t="s">
        <v>1228</v>
      </c>
      <c r="G426" s="344" t="s">
        <v>1228</v>
      </c>
      <c r="H426" s="344" t="s">
        <v>1228</v>
      </c>
      <c r="I426" s="344" t="s">
        <v>1228</v>
      </c>
      <c r="J426" s="344" t="s">
        <v>1228</v>
      </c>
      <c r="K426" s="345" t="s">
        <v>1228</v>
      </c>
      <c r="M426" s="343" t="s">
        <v>1228</v>
      </c>
      <c r="N426" s="343" t="s">
        <v>1228</v>
      </c>
    </row>
    <row r="427" spans="1:14" ht="15.9">
      <c r="A427" s="346" t="s">
        <v>491</v>
      </c>
      <c r="B427" s="348" t="s">
        <v>1413</v>
      </c>
      <c r="C427" s="475" t="s">
        <v>1413</v>
      </c>
      <c r="D427" s="348" t="s">
        <v>1413</v>
      </c>
      <c r="E427" s="348" t="s">
        <v>1413</v>
      </c>
      <c r="F427" s="348" t="s">
        <v>1413</v>
      </c>
      <c r="G427" s="348" t="s">
        <v>1413</v>
      </c>
      <c r="H427" s="348" t="s">
        <v>1413</v>
      </c>
      <c r="I427" s="348" t="s">
        <v>1413</v>
      </c>
      <c r="J427" s="348" t="s">
        <v>1413</v>
      </c>
      <c r="K427" s="348" t="s">
        <v>1413</v>
      </c>
      <c r="M427" s="348" t="s">
        <v>1413</v>
      </c>
      <c r="N427" s="348" t="s">
        <v>1413</v>
      </c>
    </row>
    <row r="428" spans="1:14" ht="15.9">
      <c r="A428" s="350" t="s">
        <v>1264</v>
      </c>
      <c r="B428" s="352" t="s">
        <v>1551</v>
      </c>
      <c r="C428" s="352" t="s">
        <v>1551</v>
      </c>
      <c r="D428" s="352" t="s">
        <v>1551</v>
      </c>
      <c r="E428" s="352" t="s">
        <v>1551</v>
      </c>
      <c r="F428" s="352" t="s">
        <v>1551</v>
      </c>
      <c r="G428" s="352" t="s">
        <v>1551</v>
      </c>
      <c r="H428" s="352" t="s">
        <v>1551</v>
      </c>
      <c r="I428" s="352" t="s">
        <v>1551</v>
      </c>
      <c r="J428" s="352" t="s">
        <v>1551</v>
      </c>
      <c r="K428" s="352" t="s">
        <v>1551</v>
      </c>
      <c r="M428" s="352" t="s">
        <v>1551</v>
      </c>
      <c r="N428" s="352" t="s">
        <v>1551</v>
      </c>
    </row>
    <row r="429" spans="1:14" ht="15.9">
      <c r="A429" s="354" t="s">
        <v>495</v>
      </c>
      <c r="B429" s="356">
        <v>-5</v>
      </c>
      <c r="C429" s="356">
        <v>-5</v>
      </c>
      <c r="D429" s="356">
        <v>-5</v>
      </c>
      <c r="E429" s="356">
        <v>-5</v>
      </c>
      <c r="F429" s="356">
        <v>-5</v>
      </c>
      <c r="G429" s="356">
        <v>-5</v>
      </c>
      <c r="H429" s="356">
        <v>-5</v>
      </c>
      <c r="I429" s="356">
        <v>-5</v>
      </c>
      <c r="J429" s="356">
        <v>-5</v>
      </c>
      <c r="K429" s="356">
        <v>-5</v>
      </c>
      <c r="M429" s="356">
        <v>5</v>
      </c>
      <c r="N429" s="356">
        <v>0</v>
      </c>
    </row>
    <row r="430" spans="1:14" ht="15.9">
      <c r="A430" s="358" t="s">
        <v>497</v>
      </c>
      <c r="B430" s="360">
        <v>5</v>
      </c>
      <c r="C430" s="360">
        <v>0</v>
      </c>
      <c r="D430" s="360">
        <v>0</v>
      </c>
      <c r="E430" s="360">
        <v>0</v>
      </c>
      <c r="F430" s="360">
        <v>0</v>
      </c>
      <c r="G430" s="360">
        <v>0</v>
      </c>
      <c r="H430" s="360">
        <v>0</v>
      </c>
      <c r="I430" s="360">
        <v>0</v>
      </c>
      <c r="J430" s="360">
        <v>0</v>
      </c>
      <c r="K430" s="360">
        <v>0</v>
      </c>
      <c r="M430" s="360">
        <v>-5</v>
      </c>
      <c r="N430" s="360">
        <v>5</v>
      </c>
    </row>
    <row r="431" spans="1:14" ht="15.9">
      <c r="A431" s="312" t="s">
        <v>1266</v>
      </c>
      <c r="B431" s="363">
        <v>-0.2</v>
      </c>
      <c r="C431" s="363">
        <v>-0.2</v>
      </c>
      <c r="D431" s="363">
        <v>-0.2</v>
      </c>
      <c r="E431" s="363">
        <v>-0.2</v>
      </c>
      <c r="F431" s="363">
        <v>-0.2</v>
      </c>
      <c r="G431" s="363">
        <v>-0.2</v>
      </c>
      <c r="H431" s="363">
        <v>-0.2</v>
      </c>
      <c r="I431" s="363">
        <v>-0.2</v>
      </c>
      <c r="J431" s="363">
        <v>-1</v>
      </c>
      <c r="K431" s="363">
        <v>1</v>
      </c>
      <c r="M431" s="363">
        <v>-0.2</v>
      </c>
      <c r="N431" s="363">
        <v>0</v>
      </c>
    </row>
    <row r="432" spans="1:14" ht="15.9">
      <c r="A432" s="312" t="s">
        <v>1267</v>
      </c>
      <c r="B432" s="366">
        <v>-0.2</v>
      </c>
      <c r="C432" s="366">
        <v>-0.2</v>
      </c>
      <c r="D432" s="366">
        <v>-0.2</v>
      </c>
      <c r="E432" s="366">
        <v>-0.2</v>
      </c>
      <c r="F432" s="366">
        <v>-0.2</v>
      </c>
      <c r="G432" s="366">
        <v>-0.2</v>
      </c>
      <c r="H432" s="366">
        <v>-0.2</v>
      </c>
      <c r="I432" s="366">
        <v>-0.2</v>
      </c>
      <c r="J432" s="366">
        <v>1</v>
      </c>
      <c r="K432" s="366">
        <v>-1</v>
      </c>
      <c r="M432" s="366">
        <v>-0.2</v>
      </c>
      <c r="N432" s="366">
        <v>0</v>
      </c>
    </row>
    <row r="433" spans="1:14" ht="15.9">
      <c r="A433" s="312" t="s">
        <v>1268</v>
      </c>
      <c r="B433" s="369">
        <v>-0.2</v>
      </c>
      <c r="C433" s="369">
        <v>-0.2</v>
      </c>
      <c r="D433" s="369">
        <v>-1</v>
      </c>
      <c r="E433" s="369">
        <v>-0.2</v>
      </c>
      <c r="F433" s="369">
        <v>-0.2</v>
      </c>
      <c r="G433" s="369">
        <v>-0.2</v>
      </c>
      <c r="H433" s="369">
        <v>1</v>
      </c>
      <c r="I433" s="369">
        <v>-0.2</v>
      </c>
      <c r="J433" s="369">
        <v>-0.2</v>
      </c>
      <c r="K433" s="369">
        <v>-0.2</v>
      </c>
      <c r="M433" s="369">
        <v>-0.2</v>
      </c>
      <c r="N433" s="369">
        <v>0</v>
      </c>
    </row>
    <row r="434" spans="1:14" ht="15.9">
      <c r="A434" s="312" t="s">
        <v>1269</v>
      </c>
      <c r="B434" s="372">
        <v>-0.2</v>
      </c>
      <c r="C434" s="372">
        <v>-0.2</v>
      </c>
      <c r="D434" s="372">
        <v>1</v>
      </c>
      <c r="E434" s="372">
        <v>-0.2</v>
      </c>
      <c r="F434" s="372">
        <v>-0.2</v>
      </c>
      <c r="G434" s="372">
        <v>-0.2</v>
      </c>
      <c r="H434" s="372">
        <v>-1</v>
      </c>
      <c r="I434" s="372">
        <v>-0.2</v>
      </c>
      <c r="J434" s="372">
        <v>-0.2</v>
      </c>
      <c r="K434" s="372">
        <v>-0.2</v>
      </c>
      <c r="M434" s="372">
        <v>-0.2</v>
      </c>
      <c r="N434" s="372">
        <v>0</v>
      </c>
    </row>
    <row r="435" spans="1:14" ht="15.9">
      <c r="A435" s="374" t="s">
        <v>1270</v>
      </c>
      <c r="B435" s="376">
        <v>-0.2</v>
      </c>
      <c r="C435" s="376">
        <v>-0.2</v>
      </c>
      <c r="D435" s="376">
        <v>-0.2</v>
      </c>
      <c r="E435" s="376">
        <v>-0.2</v>
      </c>
      <c r="F435" s="376">
        <v>1</v>
      </c>
      <c r="G435" s="376">
        <v>-0.2</v>
      </c>
      <c r="H435" s="376">
        <v>-0.2</v>
      </c>
      <c r="I435" s="376">
        <v>-1</v>
      </c>
      <c r="J435" s="376">
        <v>-0.2</v>
      </c>
      <c r="K435" s="376">
        <v>-0.2</v>
      </c>
      <c r="M435" s="376">
        <v>-0.2</v>
      </c>
      <c r="N435" s="376">
        <v>0</v>
      </c>
    </row>
    <row r="436" spans="1:14" ht="15.9">
      <c r="A436" s="312" t="s">
        <v>1271</v>
      </c>
      <c r="B436" s="379">
        <v>-0.2</v>
      </c>
      <c r="C436" s="379">
        <v>-0.2</v>
      </c>
      <c r="D436" s="379">
        <v>-0.2</v>
      </c>
      <c r="E436" s="379">
        <v>-1</v>
      </c>
      <c r="F436" s="379">
        <v>-0.2</v>
      </c>
      <c r="G436" s="379">
        <v>-0.2</v>
      </c>
      <c r="H436" s="379">
        <v>-0.2</v>
      </c>
      <c r="I436" s="379">
        <v>1</v>
      </c>
      <c r="J436" s="379">
        <v>-0.2</v>
      </c>
      <c r="K436" s="379">
        <v>-0.2</v>
      </c>
      <c r="M436" s="379">
        <v>-0.2</v>
      </c>
      <c r="N436" s="379">
        <v>0</v>
      </c>
    </row>
    <row r="437" spans="1:14" ht="15.9">
      <c r="A437" s="312" t="s">
        <v>1272</v>
      </c>
      <c r="B437" s="382">
        <v>-0.2</v>
      </c>
      <c r="C437" s="382">
        <v>-0.2</v>
      </c>
      <c r="D437" s="382">
        <v>-0.2</v>
      </c>
      <c r="E437" s="382">
        <v>1</v>
      </c>
      <c r="F437" s="382">
        <v>-1</v>
      </c>
      <c r="G437" s="382">
        <v>-0.2</v>
      </c>
      <c r="H437" s="382">
        <v>-0.2</v>
      </c>
      <c r="I437" s="382">
        <v>-0.2</v>
      </c>
      <c r="J437" s="382">
        <v>-0.2</v>
      </c>
      <c r="K437" s="382">
        <v>-0.2</v>
      </c>
      <c r="M437" s="382">
        <v>-0.2</v>
      </c>
      <c r="N437" s="382">
        <v>0</v>
      </c>
    </row>
    <row r="438" spans="1:14" ht="15.9">
      <c r="A438" s="312" t="s">
        <v>1273</v>
      </c>
      <c r="B438" s="385">
        <v>-0.2</v>
      </c>
      <c r="C438" s="385">
        <v>-1</v>
      </c>
      <c r="D438" s="385">
        <v>-0.2</v>
      </c>
      <c r="E438" s="385">
        <v>-0.2</v>
      </c>
      <c r="F438" s="385">
        <v>-0.2</v>
      </c>
      <c r="G438" s="385">
        <v>1</v>
      </c>
      <c r="H438" s="385">
        <v>-0.2</v>
      </c>
      <c r="I438" s="385">
        <v>-0.2</v>
      </c>
      <c r="J438" s="385">
        <v>-0.2</v>
      </c>
      <c r="K438" s="385">
        <v>-0.2</v>
      </c>
      <c r="M438" s="385">
        <v>-0.2</v>
      </c>
      <c r="N438" s="385">
        <v>0</v>
      </c>
    </row>
    <row r="439" spans="1:14" ht="15.9">
      <c r="A439" s="312" t="s">
        <v>1274</v>
      </c>
      <c r="B439" s="388">
        <v>-0.2</v>
      </c>
      <c r="C439" s="388">
        <v>1</v>
      </c>
      <c r="D439" s="388">
        <v>-0.2</v>
      </c>
      <c r="E439" s="388">
        <v>-0.2</v>
      </c>
      <c r="F439" s="388">
        <v>-0.2</v>
      </c>
      <c r="G439" s="388">
        <v>-1</v>
      </c>
      <c r="H439" s="388">
        <v>-0.2</v>
      </c>
      <c r="I439" s="388">
        <v>-0.2</v>
      </c>
      <c r="J439" s="388">
        <v>-0.2</v>
      </c>
      <c r="K439" s="388">
        <v>-0.2</v>
      </c>
      <c r="M439" s="388">
        <v>-0.2</v>
      </c>
      <c r="N439" s="388">
        <v>0</v>
      </c>
    </row>
    <row r="440" spans="1:14" ht="15.9">
      <c r="A440" s="312" t="s">
        <v>519</v>
      </c>
      <c r="B440" s="356">
        <v>4</v>
      </c>
      <c r="C440" s="356">
        <v>4</v>
      </c>
      <c r="D440" s="356">
        <v>4</v>
      </c>
      <c r="E440" s="356">
        <v>4</v>
      </c>
      <c r="F440" s="356">
        <v>4</v>
      </c>
      <c r="G440" s="356">
        <v>4</v>
      </c>
      <c r="H440" s="356">
        <v>4</v>
      </c>
      <c r="I440" s="356">
        <v>4</v>
      </c>
      <c r="J440" s="356">
        <v>4</v>
      </c>
      <c r="K440" s="356">
        <v>4</v>
      </c>
      <c r="M440" s="356">
        <v>2</v>
      </c>
      <c r="N440" s="356">
        <v>2</v>
      </c>
    </row>
    <row r="441" spans="1:14" ht="15.9">
      <c r="A441" s="312" t="s">
        <v>521</v>
      </c>
      <c r="B441" s="356">
        <v>4</v>
      </c>
      <c r="C441" s="356">
        <v>4</v>
      </c>
      <c r="D441" s="356">
        <v>4</v>
      </c>
      <c r="E441" s="356">
        <v>4</v>
      </c>
      <c r="F441" s="356">
        <v>4</v>
      </c>
      <c r="G441" s="356">
        <v>4</v>
      </c>
      <c r="H441" s="356">
        <v>4</v>
      </c>
      <c r="I441" s="356">
        <v>4</v>
      </c>
      <c r="J441" s="356">
        <v>4</v>
      </c>
      <c r="K441" s="356">
        <v>4</v>
      </c>
      <c r="M441" s="356">
        <v>0</v>
      </c>
      <c r="N441" s="356">
        <v>0</v>
      </c>
    </row>
    <row r="442" spans="1:14" ht="15.9">
      <c r="A442" s="312" t="s">
        <v>522</v>
      </c>
      <c r="B442" s="392">
        <v>4</v>
      </c>
      <c r="C442" s="392">
        <v>4</v>
      </c>
      <c r="D442" s="392">
        <v>4</v>
      </c>
      <c r="E442" s="392">
        <v>4</v>
      </c>
      <c r="F442" s="392">
        <v>4</v>
      </c>
      <c r="G442" s="392">
        <v>4</v>
      </c>
      <c r="H442" s="392">
        <v>4</v>
      </c>
      <c r="I442" s="392">
        <v>4</v>
      </c>
      <c r="J442" s="392">
        <v>4</v>
      </c>
      <c r="K442" s="392">
        <v>4</v>
      </c>
      <c r="M442" s="392">
        <v>0</v>
      </c>
      <c r="N442" s="392">
        <v>0</v>
      </c>
    </row>
    <row r="443" spans="1:14" ht="15.9">
      <c r="A443" s="312" t="s">
        <v>13</v>
      </c>
      <c r="B443" s="402" t="s">
        <v>1803</v>
      </c>
      <c r="C443" s="402" t="s">
        <v>1804</v>
      </c>
      <c r="D443" s="402" t="s">
        <v>1805</v>
      </c>
      <c r="E443" s="402" t="s">
        <v>1806</v>
      </c>
      <c r="F443" s="402" t="s">
        <v>1807</v>
      </c>
      <c r="G443" s="402" t="s">
        <v>1808</v>
      </c>
      <c r="H443" s="402" t="s">
        <v>1809</v>
      </c>
      <c r="I443" s="402" t="s">
        <v>1810</v>
      </c>
      <c r="J443" s="402" t="s">
        <v>1811</v>
      </c>
      <c r="K443" s="402" t="s">
        <v>1812</v>
      </c>
      <c r="M443" s="402" t="s">
        <v>1813</v>
      </c>
      <c r="N443" s="402" t="s">
        <v>1813</v>
      </c>
    </row>
    <row r="444" spans="1:14" ht="15.9">
      <c r="A444" s="394" t="s">
        <v>533</v>
      </c>
      <c r="B444" s="396" t="s">
        <v>1276</v>
      </c>
      <c r="C444" s="396" t="s">
        <v>1276</v>
      </c>
      <c r="D444" s="396" t="s">
        <v>1276</v>
      </c>
      <c r="E444" s="396" t="s">
        <v>1276</v>
      </c>
      <c r="F444" s="396" t="s">
        <v>1276</v>
      </c>
      <c r="G444" s="396" t="s">
        <v>1276</v>
      </c>
      <c r="H444" s="396" t="s">
        <v>1276</v>
      </c>
      <c r="I444" s="396" t="s">
        <v>1276</v>
      </c>
      <c r="J444" s="396" t="s">
        <v>1276</v>
      </c>
      <c r="K444" s="396" t="s">
        <v>1276</v>
      </c>
      <c r="M444" s="396" t="s">
        <v>1276</v>
      </c>
      <c r="N444" s="396" t="s">
        <v>1276</v>
      </c>
    </row>
    <row r="445" spans="1:14" ht="15.9">
      <c r="A445" s="312" t="s">
        <v>1278</v>
      </c>
      <c r="B445" s="366">
        <v>0</v>
      </c>
      <c r="C445" s="366">
        <v>0</v>
      </c>
      <c r="D445" s="366">
        <v>0</v>
      </c>
      <c r="E445" s="366">
        <v>0</v>
      </c>
      <c r="F445" s="366">
        <v>0</v>
      </c>
      <c r="G445" s="366">
        <v>0</v>
      </c>
      <c r="H445" s="366">
        <v>0</v>
      </c>
      <c r="I445" s="366">
        <v>0</v>
      </c>
      <c r="J445" s="366">
        <v>0</v>
      </c>
      <c r="K445" s="366">
        <v>0</v>
      </c>
      <c r="M445" s="366">
        <v>0</v>
      </c>
      <c r="N445" s="366">
        <v>0</v>
      </c>
    </row>
    <row r="446" spans="1:14" ht="15.9">
      <c r="A446" s="312" t="s">
        <v>35</v>
      </c>
      <c r="B446" s="399" t="s">
        <v>1683</v>
      </c>
      <c r="C446" s="399" t="s">
        <v>1814</v>
      </c>
      <c r="D446" s="399" t="s">
        <v>1815</v>
      </c>
      <c r="E446" s="399" t="s">
        <v>1816</v>
      </c>
      <c r="F446" s="399" t="s">
        <v>1817</v>
      </c>
      <c r="G446" s="399" t="s">
        <v>1818</v>
      </c>
      <c r="H446" s="399" t="s">
        <v>1819</v>
      </c>
      <c r="I446" s="399" t="s">
        <v>1820</v>
      </c>
      <c r="J446" s="399" t="s">
        <v>1821</v>
      </c>
      <c r="K446" s="399" t="s">
        <v>1822</v>
      </c>
      <c r="M446" s="399" t="s">
        <v>1823</v>
      </c>
      <c r="N446" s="399" t="s">
        <v>1514</v>
      </c>
    </row>
    <row r="447" spans="1:14" ht="15.9">
      <c r="A447" s="312" t="s">
        <v>1282</v>
      </c>
      <c r="B447" s="402">
        <v>400</v>
      </c>
      <c r="C447" s="402">
        <v>400</v>
      </c>
      <c r="D447" s="402">
        <v>400</v>
      </c>
      <c r="E447" s="402">
        <v>400</v>
      </c>
      <c r="F447" s="402">
        <v>400</v>
      </c>
      <c r="G447" s="402">
        <v>400</v>
      </c>
      <c r="H447" s="402">
        <v>400</v>
      </c>
      <c r="I447" s="402">
        <v>400</v>
      </c>
      <c r="J447" s="402">
        <v>400</v>
      </c>
      <c r="K447" s="402">
        <v>400</v>
      </c>
      <c r="M447" s="402">
        <v>400</v>
      </c>
      <c r="N447" s="402">
        <v>400</v>
      </c>
    </row>
    <row r="448" spans="1:14" ht="15.9">
      <c r="A448" s="312" t="s">
        <v>1283</v>
      </c>
      <c r="B448" s="401" t="s">
        <v>1423</v>
      </c>
      <c r="C448" s="401" t="s">
        <v>1423</v>
      </c>
      <c r="D448" s="401" t="s">
        <v>582</v>
      </c>
      <c r="E448" s="401" t="s">
        <v>582</v>
      </c>
      <c r="F448" s="401" t="s">
        <v>582</v>
      </c>
      <c r="G448" s="401" t="s">
        <v>582</v>
      </c>
      <c r="H448" s="401" t="s">
        <v>582</v>
      </c>
      <c r="I448" s="401" t="s">
        <v>582</v>
      </c>
      <c r="J448" s="401" t="s">
        <v>582</v>
      </c>
      <c r="K448" s="401" t="s">
        <v>582</v>
      </c>
      <c r="M448" s="401" t="s">
        <v>582</v>
      </c>
      <c r="N448" s="401" t="s">
        <v>582</v>
      </c>
    </row>
    <row r="449" spans="1:20" ht="31.75">
      <c r="A449" s="312" t="s">
        <v>1294</v>
      </c>
      <c r="B449" s="458" t="s">
        <v>1824</v>
      </c>
      <c r="C449" s="476" t="s">
        <v>1825</v>
      </c>
      <c r="D449" s="458" t="s">
        <v>1826</v>
      </c>
      <c r="E449" s="458" t="s">
        <v>1827</v>
      </c>
      <c r="F449" s="461" t="s">
        <v>1828</v>
      </c>
      <c r="G449" s="461" t="s">
        <v>1829</v>
      </c>
      <c r="H449" s="461" t="s">
        <v>1830</v>
      </c>
      <c r="I449" s="461" t="s">
        <v>1831</v>
      </c>
      <c r="J449" s="461" t="s">
        <v>1832</v>
      </c>
      <c r="K449" s="476" t="s">
        <v>1833</v>
      </c>
      <c r="M449" s="458" t="s">
        <v>1834</v>
      </c>
      <c r="N449" s="458" t="s">
        <v>1834</v>
      </c>
    </row>
    <row r="450" spans="1:20" ht="31.75">
      <c r="A450" s="312" t="s">
        <v>1567</v>
      </c>
      <c r="B450" s="429" t="s">
        <v>1835</v>
      </c>
      <c r="C450" s="429" t="s">
        <v>1836</v>
      </c>
      <c r="D450" s="429" t="s">
        <v>1837</v>
      </c>
      <c r="E450" s="429" t="s">
        <v>1838</v>
      </c>
      <c r="F450" s="429" t="s">
        <v>1839</v>
      </c>
      <c r="G450" s="429" t="s">
        <v>1840</v>
      </c>
      <c r="H450" s="429" t="s">
        <v>1841</v>
      </c>
      <c r="I450" s="429" t="s">
        <v>1842</v>
      </c>
      <c r="J450" s="429" t="s">
        <v>1843</v>
      </c>
      <c r="K450" s="429" t="s">
        <v>1844</v>
      </c>
      <c r="M450" s="429" t="s">
        <v>1845</v>
      </c>
      <c r="N450" s="429" t="s">
        <v>1845</v>
      </c>
    </row>
    <row r="451" spans="1:20" ht="14.6"/>
    <row r="452" spans="1:20" ht="15.9">
      <c r="A452" s="312" t="s">
        <v>1251</v>
      </c>
      <c r="B452" s="434" t="s">
        <v>1846</v>
      </c>
      <c r="C452" s="434" t="s">
        <v>1847</v>
      </c>
      <c r="D452" s="434" t="s">
        <v>1848</v>
      </c>
      <c r="E452" s="434" t="s">
        <v>1849</v>
      </c>
      <c r="F452" s="434" t="s">
        <v>1850</v>
      </c>
      <c r="G452" s="434" t="s">
        <v>1851</v>
      </c>
      <c r="H452" s="434" t="s">
        <v>1852</v>
      </c>
      <c r="I452" s="434" t="s">
        <v>1853</v>
      </c>
      <c r="J452" s="434" t="s">
        <v>1854</v>
      </c>
      <c r="K452" s="434" t="s">
        <v>1855</v>
      </c>
      <c r="M452" s="435" t="s">
        <v>1856</v>
      </c>
      <c r="N452" s="435" t="s">
        <v>1857</v>
      </c>
      <c r="O452" s="435" t="s">
        <v>1858</v>
      </c>
      <c r="P452" s="436" t="s">
        <v>1859</v>
      </c>
      <c r="Q452" s="436" t="s">
        <v>1860</v>
      </c>
      <c r="R452" s="436" t="s">
        <v>1861</v>
      </c>
      <c r="S452" s="436" t="s">
        <v>1862</v>
      </c>
      <c r="T452" s="436" t="s">
        <v>1863</v>
      </c>
    </row>
    <row r="453" spans="1:20" ht="15.9">
      <c r="A453" s="312" t="s">
        <v>1261</v>
      </c>
      <c r="B453" s="315" t="s">
        <v>1221</v>
      </c>
      <c r="C453" s="319" t="s">
        <v>1225</v>
      </c>
      <c r="D453" s="321" t="s">
        <v>1227</v>
      </c>
      <c r="E453" s="323" t="s">
        <v>1229</v>
      </c>
      <c r="F453" s="341" t="s">
        <v>1231</v>
      </c>
      <c r="G453" s="327" t="s">
        <v>1233</v>
      </c>
      <c r="H453" s="328" t="s">
        <v>1235</v>
      </c>
      <c r="I453" s="329" t="s">
        <v>1237</v>
      </c>
      <c r="J453" s="330" t="s">
        <v>1239</v>
      </c>
      <c r="K453" s="332" t="s">
        <v>1241</v>
      </c>
      <c r="M453" s="317" t="s">
        <v>1223</v>
      </c>
      <c r="N453" s="333" t="s">
        <v>1242</v>
      </c>
      <c r="O453" s="333" t="s">
        <v>1242</v>
      </c>
      <c r="P453" s="333" t="s">
        <v>1242</v>
      </c>
      <c r="Q453" s="333" t="s">
        <v>1242</v>
      </c>
      <c r="R453" s="333" t="s">
        <v>1242</v>
      </c>
      <c r="S453" s="333" t="s">
        <v>1242</v>
      </c>
      <c r="T453" s="333" t="s">
        <v>1242</v>
      </c>
    </row>
    <row r="454" spans="1:20" ht="15.9">
      <c r="A454" s="312" t="s">
        <v>1262</v>
      </c>
      <c r="B454" s="312" t="s">
        <v>1232</v>
      </c>
      <c r="C454" s="312" t="s">
        <v>1224</v>
      </c>
      <c r="D454" s="312" t="s">
        <v>1232</v>
      </c>
      <c r="E454" s="312" t="s">
        <v>1226</v>
      </c>
      <c r="F454" s="312" t="s">
        <v>1232</v>
      </c>
      <c r="G454" s="312" t="s">
        <v>1222</v>
      </c>
      <c r="H454" s="312" t="s">
        <v>1230</v>
      </c>
      <c r="I454" s="312" t="s">
        <v>1232</v>
      </c>
      <c r="J454" s="344" t="s">
        <v>1230</v>
      </c>
      <c r="K454" s="312" t="s">
        <v>1228</v>
      </c>
      <c r="M454" s="312" t="s">
        <v>1232</v>
      </c>
      <c r="N454" s="312" t="s">
        <v>1864</v>
      </c>
      <c r="O454" s="312" t="s">
        <v>1864</v>
      </c>
      <c r="P454" s="477" t="s">
        <v>1864</v>
      </c>
      <c r="Q454" s="477" t="s">
        <v>1864</v>
      </c>
      <c r="R454" s="477" t="s">
        <v>1864</v>
      </c>
      <c r="S454" s="477" t="s">
        <v>1864</v>
      </c>
      <c r="T454" s="477" t="s">
        <v>1864</v>
      </c>
    </row>
    <row r="455" spans="1:20" ht="15.9">
      <c r="A455" s="346" t="s">
        <v>491</v>
      </c>
      <c r="B455" s="348" t="s">
        <v>1551</v>
      </c>
      <c r="C455" s="348" t="s">
        <v>1623</v>
      </c>
      <c r="D455" s="348" t="s">
        <v>1623</v>
      </c>
      <c r="E455" s="348" t="s">
        <v>1865</v>
      </c>
      <c r="F455" s="348" t="s">
        <v>1865</v>
      </c>
      <c r="G455" s="348" t="s">
        <v>1865</v>
      </c>
      <c r="H455" s="348" t="s">
        <v>1413</v>
      </c>
      <c r="I455" s="348" t="s">
        <v>1551</v>
      </c>
      <c r="J455" s="348" t="s">
        <v>1551</v>
      </c>
      <c r="K455" s="348" t="s">
        <v>1551</v>
      </c>
      <c r="M455" s="348" t="s">
        <v>1551</v>
      </c>
      <c r="N455" s="438" t="s">
        <v>1623</v>
      </c>
      <c r="O455" s="438" t="s">
        <v>1551</v>
      </c>
      <c r="P455" s="438" t="s">
        <v>1866</v>
      </c>
      <c r="Q455" s="464" t="s">
        <v>1551</v>
      </c>
      <c r="R455" s="464" t="s">
        <v>1551</v>
      </c>
      <c r="S455" s="464" t="s">
        <v>1867</v>
      </c>
      <c r="T455" s="348" t="s">
        <v>1868</v>
      </c>
    </row>
    <row r="456" spans="1:20" ht="15.9">
      <c r="A456" s="350" t="s">
        <v>1264</v>
      </c>
      <c r="B456" s="352" t="s">
        <v>1551</v>
      </c>
      <c r="C456" s="352" t="s">
        <v>1551</v>
      </c>
      <c r="D456" s="352" t="s">
        <v>655</v>
      </c>
      <c r="E456" s="352" t="s">
        <v>1551</v>
      </c>
      <c r="F456" s="352" t="s">
        <v>655</v>
      </c>
      <c r="G456" s="352" t="s">
        <v>1551</v>
      </c>
      <c r="H456" s="352" t="s">
        <v>1551</v>
      </c>
      <c r="I456" s="352" t="s">
        <v>1551</v>
      </c>
      <c r="J456" s="352" t="s">
        <v>1551</v>
      </c>
      <c r="K456" s="352" t="s">
        <v>655</v>
      </c>
      <c r="M456" s="352" t="s">
        <v>655</v>
      </c>
      <c r="N456" s="439" t="s">
        <v>1551</v>
      </c>
      <c r="O456" s="439" t="s">
        <v>1551</v>
      </c>
      <c r="P456" s="439" t="s">
        <v>1551</v>
      </c>
      <c r="Q456" s="352" t="s">
        <v>1551</v>
      </c>
      <c r="R456" s="352" t="s">
        <v>1551</v>
      </c>
      <c r="S456" s="352" t="s">
        <v>1551</v>
      </c>
      <c r="T456" s="352" t="s">
        <v>1551</v>
      </c>
    </row>
    <row r="457" spans="1:20" ht="15.9">
      <c r="A457" s="354" t="s">
        <v>495</v>
      </c>
      <c r="B457" s="356">
        <v>4</v>
      </c>
      <c r="C457" s="356">
        <v>5</v>
      </c>
      <c r="D457" s="356">
        <v>3</v>
      </c>
      <c r="E457" s="356">
        <v>3</v>
      </c>
      <c r="F457" s="356">
        <v>3</v>
      </c>
      <c r="G457" s="356">
        <v>3</v>
      </c>
      <c r="H457" s="356">
        <v>4</v>
      </c>
      <c r="I457" s="356">
        <v>4</v>
      </c>
      <c r="J457" s="356">
        <v>6</v>
      </c>
      <c r="K457" s="356">
        <v>4</v>
      </c>
      <c r="M457" s="356">
        <v>4</v>
      </c>
      <c r="N457" s="440">
        <v>5</v>
      </c>
      <c r="O457" s="440">
        <v>4</v>
      </c>
      <c r="P457" s="440">
        <v>3</v>
      </c>
      <c r="Q457" s="356">
        <v>5</v>
      </c>
      <c r="R457" s="356">
        <v>4</v>
      </c>
      <c r="S457" s="356">
        <v>3</v>
      </c>
      <c r="T457" s="356">
        <v>3</v>
      </c>
    </row>
    <row r="458" spans="1:20" ht="15.9">
      <c r="A458" s="358" t="s">
        <v>497</v>
      </c>
      <c r="B458" s="360">
        <v>4</v>
      </c>
      <c r="C458" s="360">
        <v>5</v>
      </c>
      <c r="D458" s="360">
        <v>3</v>
      </c>
      <c r="E458" s="360">
        <v>3</v>
      </c>
      <c r="F458" s="360">
        <v>3</v>
      </c>
      <c r="G458" s="360">
        <v>3</v>
      </c>
      <c r="H458" s="360">
        <v>4</v>
      </c>
      <c r="I458" s="360">
        <v>4</v>
      </c>
      <c r="J458" s="360">
        <v>6</v>
      </c>
      <c r="K458" s="360">
        <v>4</v>
      </c>
      <c r="M458" s="360">
        <v>4</v>
      </c>
      <c r="N458" s="441">
        <v>5</v>
      </c>
      <c r="O458" s="441">
        <v>4</v>
      </c>
      <c r="P458" s="441">
        <v>3</v>
      </c>
      <c r="Q458" s="360">
        <v>2</v>
      </c>
      <c r="R458" s="360">
        <v>4</v>
      </c>
      <c r="S458" s="360">
        <v>3</v>
      </c>
      <c r="T458" s="360">
        <v>5</v>
      </c>
    </row>
    <row r="459" spans="1:20" ht="15.9">
      <c r="A459" s="312" t="s">
        <v>1266</v>
      </c>
      <c r="B459" s="363">
        <v>0</v>
      </c>
      <c r="C459" s="363">
        <v>-0.5</v>
      </c>
      <c r="D459" s="363">
        <v>0</v>
      </c>
      <c r="E459" s="363">
        <v>-2</v>
      </c>
      <c r="F459" s="363">
        <v>0</v>
      </c>
      <c r="G459" s="363">
        <v>0</v>
      </c>
      <c r="H459" s="363">
        <v>0.5</v>
      </c>
      <c r="I459" s="363">
        <v>0.5</v>
      </c>
      <c r="J459" s="363">
        <v>0</v>
      </c>
      <c r="K459" s="363">
        <v>0.5</v>
      </c>
      <c r="M459" s="363">
        <v>0.5</v>
      </c>
      <c r="N459" s="442">
        <v>-0.5</v>
      </c>
      <c r="O459" s="442">
        <v>0.5</v>
      </c>
      <c r="P459" s="442">
        <v>0</v>
      </c>
      <c r="Q459" s="363">
        <v>0</v>
      </c>
      <c r="R459" s="363">
        <v>0</v>
      </c>
      <c r="S459" s="363">
        <v>0</v>
      </c>
      <c r="T459" s="363">
        <v>-0.3</v>
      </c>
    </row>
    <row r="460" spans="1:20" ht="15.9">
      <c r="A460" s="312" t="s">
        <v>1267</v>
      </c>
      <c r="B460" s="366">
        <v>0</v>
      </c>
      <c r="C460" s="366">
        <v>0.5</v>
      </c>
      <c r="D460" s="366">
        <v>0</v>
      </c>
      <c r="E460" s="366">
        <v>0.5</v>
      </c>
      <c r="F460" s="366">
        <v>0</v>
      </c>
      <c r="G460" s="366">
        <v>0</v>
      </c>
      <c r="H460" s="366">
        <v>0.5</v>
      </c>
      <c r="I460" s="366">
        <v>0.5</v>
      </c>
      <c r="J460" s="366">
        <v>0.8</v>
      </c>
      <c r="K460" s="366">
        <v>0.5</v>
      </c>
      <c r="M460" s="366">
        <v>0</v>
      </c>
      <c r="N460" s="443">
        <v>0.5</v>
      </c>
      <c r="O460" s="443">
        <v>0.5</v>
      </c>
      <c r="P460" s="443">
        <v>0</v>
      </c>
      <c r="Q460" s="366">
        <v>0</v>
      </c>
      <c r="R460" s="366">
        <v>0</v>
      </c>
      <c r="S460" s="366">
        <v>-0.5</v>
      </c>
      <c r="T460" s="366">
        <v>0.4</v>
      </c>
    </row>
    <row r="461" spans="1:20" ht="15.9">
      <c r="A461" s="312" t="s">
        <v>1268</v>
      </c>
      <c r="B461" s="369">
        <v>0</v>
      </c>
      <c r="C461" s="369">
        <v>0</v>
      </c>
      <c r="D461" s="369">
        <v>0</v>
      </c>
      <c r="E461" s="369">
        <v>-0.1</v>
      </c>
      <c r="F461" s="369">
        <v>0</v>
      </c>
      <c r="G461" s="369">
        <v>0</v>
      </c>
      <c r="H461" s="369">
        <v>1.5</v>
      </c>
      <c r="I461" s="369">
        <v>0</v>
      </c>
      <c r="J461" s="369">
        <v>0</v>
      </c>
      <c r="K461" s="369">
        <v>0</v>
      </c>
      <c r="M461" s="369">
        <v>0</v>
      </c>
      <c r="N461" s="444">
        <v>0</v>
      </c>
      <c r="O461" s="444">
        <v>0</v>
      </c>
      <c r="P461" s="444">
        <v>0</v>
      </c>
      <c r="Q461" s="369">
        <v>0</v>
      </c>
      <c r="R461" s="369">
        <v>0</v>
      </c>
      <c r="S461" s="369">
        <v>-0.5</v>
      </c>
      <c r="T461" s="369">
        <v>0.2</v>
      </c>
    </row>
    <row r="462" spans="1:20" ht="15.9">
      <c r="A462" s="312" t="s">
        <v>1269</v>
      </c>
      <c r="B462" s="372">
        <v>0</v>
      </c>
      <c r="C462" s="372">
        <v>0</v>
      </c>
      <c r="D462" s="372">
        <v>0</v>
      </c>
      <c r="E462" s="372">
        <v>0.5</v>
      </c>
      <c r="F462" s="372">
        <v>0</v>
      </c>
      <c r="G462" s="372">
        <v>0</v>
      </c>
      <c r="H462" s="372">
        <v>-1</v>
      </c>
      <c r="I462" s="372">
        <v>0</v>
      </c>
      <c r="J462" s="372">
        <v>0</v>
      </c>
      <c r="K462" s="372">
        <v>0</v>
      </c>
      <c r="M462" s="372">
        <v>0</v>
      </c>
      <c r="N462" s="445">
        <v>0</v>
      </c>
      <c r="O462" s="445">
        <v>0</v>
      </c>
      <c r="P462" s="445">
        <v>0</v>
      </c>
      <c r="Q462" s="372">
        <v>0</v>
      </c>
      <c r="R462" s="372">
        <v>0</v>
      </c>
      <c r="S462" s="372">
        <v>0</v>
      </c>
      <c r="T462" s="372">
        <v>-0.4</v>
      </c>
    </row>
    <row r="463" spans="1:20" ht="15.9">
      <c r="A463" s="465" t="s">
        <v>1270</v>
      </c>
      <c r="B463" s="376">
        <v>0</v>
      </c>
      <c r="C463" s="376">
        <v>0</v>
      </c>
      <c r="D463" s="376">
        <v>0</v>
      </c>
      <c r="E463" s="376">
        <v>0.5</v>
      </c>
      <c r="F463" s="376">
        <v>0</v>
      </c>
      <c r="G463" s="376">
        <v>0</v>
      </c>
      <c r="H463" s="376">
        <v>0</v>
      </c>
      <c r="I463" s="376">
        <v>0</v>
      </c>
      <c r="J463" s="376">
        <v>0</v>
      </c>
      <c r="K463" s="376">
        <v>0</v>
      </c>
      <c r="M463" s="376">
        <v>0</v>
      </c>
      <c r="N463" s="478">
        <v>0</v>
      </c>
      <c r="O463" s="478">
        <v>0</v>
      </c>
      <c r="P463" s="478">
        <v>0</v>
      </c>
      <c r="Q463" s="376">
        <v>0</v>
      </c>
      <c r="R463" s="376">
        <v>0</v>
      </c>
      <c r="S463" s="376">
        <v>0.5</v>
      </c>
      <c r="T463" s="376">
        <v>0</v>
      </c>
    </row>
    <row r="464" spans="1:20" ht="15.9">
      <c r="A464" s="312" t="s">
        <v>1271</v>
      </c>
      <c r="B464" s="379">
        <v>0</v>
      </c>
      <c r="C464" s="379">
        <v>0.5</v>
      </c>
      <c r="D464" s="379">
        <v>0</v>
      </c>
      <c r="E464" s="379">
        <v>-0.1</v>
      </c>
      <c r="F464" s="379">
        <v>0</v>
      </c>
      <c r="G464" s="379">
        <v>0</v>
      </c>
      <c r="H464" s="379">
        <v>0</v>
      </c>
      <c r="I464" s="379">
        <v>0</v>
      </c>
      <c r="J464" s="379">
        <v>0</v>
      </c>
      <c r="K464" s="379">
        <v>0</v>
      </c>
      <c r="M464" s="379">
        <v>0</v>
      </c>
      <c r="N464" s="448">
        <v>0.5</v>
      </c>
      <c r="O464" s="448">
        <v>0</v>
      </c>
      <c r="P464" s="448">
        <v>0</v>
      </c>
      <c r="Q464" s="379">
        <v>0</v>
      </c>
      <c r="R464" s="379">
        <v>0</v>
      </c>
      <c r="S464" s="379">
        <v>-0.5</v>
      </c>
      <c r="T464" s="379">
        <v>0</v>
      </c>
    </row>
    <row r="465" spans="1:20" ht="15.9">
      <c r="A465" s="312" t="s">
        <v>1272</v>
      </c>
      <c r="B465" s="382">
        <v>0</v>
      </c>
      <c r="C465" s="382">
        <v>0</v>
      </c>
      <c r="D465" s="382">
        <v>0</v>
      </c>
      <c r="E465" s="382">
        <v>0.5</v>
      </c>
      <c r="F465" s="382">
        <v>0</v>
      </c>
      <c r="G465" s="382">
        <v>0</v>
      </c>
      <c r="H465" s="382">
        <v>0</v>
      </c>
      <c r="I465" s="382">
        <v>0</v>
      </c>
      <c r="J465" s="382">
        <v>0</v>
      </c>
      <c r="K465" s="382">
        <v>0</v>
      </c>
      <c r="M465" s="382">
        <v>0</v>
      </c>
      <c r="N465" s="449">
        <v>0</v>
      </c>
      <c r="O465" s="449">
        <v>0</v>
      </c>
      <c r="P465" s="449">
        <v>0</v>
      </c>
      <c r="Q465" s="382">
        <v>0</v>
      </c>
      <c r="R465" s="382">
        <v>0</v>
      </c>
      <c r="S465" s="382">
        <v>0</v>
      </c>
      <c r="T465" s="382">
        <v>0</v>
      </c>
    </row>
    <row r="466" spans="1:20" ht="15.9">
      <c r="A466" s="312" t="s">
        <v>1273</v>
      </c>
      <c r="B466" s="385">
        <v>0</v>
      </c>
      <c r="C466" s="385">
        <v>0</v>
      </c>
      <c r="D466" s="385">
        <v>0</v>
      </c>
      <c r="E466" s="385">
        <v>0</v>
      </c>
      <c r="F466" s="385">
        <v>0</v>
      </c>
      <c r="G466" s="385">
        <v>0</v>
      </c>
      <c r="H466" s="385">
        <v>0</v>
      </c>
      <c r="I466" s="385">
        <v>0</v>
      </c>
      <c r="J466" s="385">
        <v>0</v>
      </c>
      <c r="K466" s="385">
        <v>0</v>
      </c>
      <c r="M466" s="385">
        <v>0</v>
      </c>
      <c r="N466" s="450">
        <v>0</v>
      </c>
      <c r="O466" s="450">
        <v>0</v>
      </c>
      <c r="P466" s="450">
        <v>0</v>
      </c>
      <c r="Q466" s="385">
        <v>0</v>
      </c>
      <c r="R466" s="385">
        <v>0</v>
      </c>
      <c r="S466" s="385">
        <v>0</v>
      </c>
      <c r="T466" s="385">
        <v>0.3</v>
      </c>
    </row>
    <row r="467" spans="1:20" ht="15.9">
      <c r="A467" s="312" t="s">
        <v>1274</v>
      </c>
      <c r="B467" s="388">
        <v>0</v>
      </c>
      <c r="C467" s="388">
        <v>0</v>
      </c>
      <c r="D467" s="388">
        <v>0</v>
      </c>
      <c r="E467" s="388">
        <v>0</v>
      </c>
      <c r="F467" s="388">
        <v>0</v>
      </c>
      <c r="G467" s="388">
        <v>0</v>
      </c>
      <c r="H467" s="388">
        <v>0</v>
      </c>
      <c r="I467" s="388">
        <v>0</v>
      </c>
      <c r="J467" s="388">
        <v>0</v>
      </c>
      <c r="K467" s="388">
        <v>0</v>
      </c>
      <c r="M467" s="388">
        <v>0.5</v>
      </c>
      <c r="N467" s="451">
        <v>0</v>
      </c>
      <c r="O467" s="451">
        <v>0</v>
      </c>
      <c r="P467" s="451">
        <v>0</v>
      </c>
      <c r="Q467" s="388">
        <v>0</v>
      </c>
      <c r="R467" s="388">
        <v>0</v>
      </c>
      <c r="S467" s="388">
        <v>0</v>
      </c>
      <c r="T467" s="388">
        <v>0</v>
      </c>
    </row>
    <row r="468" spans="1:20" ht="15.9">
      <c r="A468" s="312" t="s">
        <v>519</v>
      </c>
      <c r="B468" s="356">
        <v>4</v>
      </c>
      <c r="C468" s="356">
        <v>4</v>
      </c>
      <c r="D468" s="356">
        <v>4</v>
      </c>
      <c r="E468" s="356">
        <v>4</v>
      </c>
      <c r="F468" s="356">
        <v>4</v>
      </c>
      <c r="G468" s="356">
        <v>4</v>
      </c>
      <c r="H468" s="356">
        <v>4</v>
      </c>
      <c r="I468" s="356">
        <v>4</v>
      </c>
      <c r="J468" s="356">
        <v>4</v>
      </c>
      <c r="K468" s="356">
        <v>4</v>
      </c>
      <c r="M468" s="356">
        <v>1</v>
      </c>
      <c r="N468" s="440">
        <v>1</v>
      </c>
      <c r="O468" s="440">
        <v>1</v>
      </c>
      <c r="P468" s="440">
        <v>1</v>
      </c>
      <c r="Q468" s="356">
        <v>1</v>
      </c>
      <c r="R468" s="356">
        <v>1</v>
      </c>
      <c r="S468" s="356">
        <v>1</v>
      </c>
      <c r="T468" s="356">
        <v>1</v>
      </c>
    </row>
    <row r="469" spans="1:20" ht="15.9">
      <c r="A469" s="312" t="s">
        <v>521</v>
      </c>
      <c r="B469" s="356">
        <v>4</v>
      </c>
      <c r="C469" s="356">
        <v>4</v>
      </c>
      <c r="D469" s="356">
        <v>4</v>
      </c>
      <c r="E469" s="356">
        <v>4</v>
      </c>
      <c r="F469" s="356">
        <v>4</v>
      </c>
      <c r="G469" s="356">
        <v>4</v>
      </c>
      <c r="H469" s="356">
        <v>4</v>
      </c>
      <c r="I469" s="356">
        <v>4</v>
      </c>
      <c r="J469" s="356">
        <v>4</v>
      </c>
      <c r="K469" s="356">
        <v>4</v>
      </c>
      <c r="M469" s="356">
        <v>1</v>
      </c>
      <c r="N469" s="440">
        <v>1</v>
      </c>
      <c r="O469" s="440">
        <v>1</v>
      </c>
      <c r="P469" s="440">
        <v>1</v>
      </c>
      <c r="Q469" s="356">
        <v>1</v>
      </c>
      <c r="R469" s="356">
        <v>1</v>
      </c>
      <c r="S469" s="356">
        <v>1</v>
      </c>
      <c r="T469" s="356">
        <v>1</v>
      </c>
    </row>
    <row r="470" spans="1:20" ht="15.9">
      <c r="A470" s="312" t="s">
        <v>522</v>
      </c>
      <c r="B470" s="392">
        <v>4</v>
      </c>
      <c r="C470" s="392">
        <v>4</v>
      </c>
      <c r="D470" s="392">
        <v>4</v>
      </c>
      <c r="E470" s="392">
        <v>4</v>
      </c>
      <c r="F470" s="392">
        <v>4</v>
      </c>
      <c r="G470" s="392">
        <v>4</v>
      </c>
      <c r="H470" s="392">
        <v>4</v>
      </c>
      <c r="I470" s="392">
        <v>4</v>
      </c>
      <c r="J470" s="392">
        <v>4</v>
      </c>
      <c r="K470" s="392">
        <v>4</v>
      </c>
      <c r="M470" s="392">
        <v>1</v>
      </c>
      <c r="N470" s="452">
        <v>1</v>
      </c>
      <c r="O470" s="452">
        <v>1</v>
      </c>
      <c r="P470" s="452">
        <v>1</v>
      </c>
      <c r="Q470" s="392">
        <v>1</v>
      </c>
      <c r="R470" s="392">
        <v>1</v>
      </c>
      <c r="S470" s="392">
        <v>1</v>
      </c>
      <c r="T470" s="392">
        <v>1</v>
      </c>
    </row>
    <row r="471" spans="1:20" ht="15.9">
      <c r="A471" s="312" t="s">
        <v>13</v>
      </c>
      <c r="B471" s="402" t="s">
        <v>1869</v>
      </c>
      <c r="C471" s="402" t="s">
        <v>1870</v>
      </c>
      <c r="D471" s="402" t="s">
        <v>1871</v>
      </c>
      <c r="E471" s="402" t="s">
        <v>655</v>
      </c>
      <c r="F471" s="402" t="s">
        <v>1872</v>
      </c>
      <c r="G471" s="402" t="s">
        <v>655</v>
      </c>
      <c r="H471" s="402" t="s">
        <v>1873</v>
      </c>
      <c r="I471" s="402" t="s">
        <v>1874</v>
      </c>
      <c r="J471" s="356" t="s">
        <v>1875</v>
      </c>
      <c r="K471" s="402" t="s">
        <v>1876</v>
      </c>
      <c r="M471" s="402" t="s">
        <v>655</v>
      </c>
      <c r="N471" s="456" t="s">
        <v>1870</v>
      </c>
      <c r="O471" s="456" t="s">
        <v>1877</v>
      </c>
      <c r="P471" s="456" t="s">
        <v>655</v>
      </c>
      <c r="Q471" s="356" t="s">
        <v>1878</v>
      </c>
      <c r="R471" s="356" t="s">
        <v>1879</v>
      </c>
      <c r="S471" s="356" t="s">
        <v>1880</v>
      </c>
      <c r="T471" s="356" t="s">
        <v>1881</v>
      </c>
    </row>
    <row r="472" spans="1:20" ht="15.9">
      <c r="A472" s="394" t="s">
        <v>533</v>
      </c>
      <c r="B472" s="396" t="s">
        <v>1276</v>
      </c>
      <c r="C472" s="396" t="s">
        <v>1276</v>
      </c>
      <c r="D472" s="396" t="s">
        <v>1276</v>
      </c>
      <c r="E472" s="396" t="s">
        <v>1276</v>
      </c>
      <c r="F472" s="396" t="s">
        <v>1276</v>
      </c>
      <c r="G472" s="396" t="s">
        <v>1276</v>
      </c>
      <c r="H472" s="396" t="s">
        <v>1276</v>
      </c>
      <c r="I472" s="396" t="s">
        <v>1276</v>
      </c>
      <c r="J472" s="396" t="s">
        <v>1882</v>
      </c>
      <c r="K472" s="396" t="s">
        <v>1276</v>
      </c>
      <c r="M472" s="396" t="s">
        <v>1276</v>
      </c>
      <c r="N472" s="454" t="s">
        <v>1276</v>
      </c>
      <c r="O472" s="454" t="s">
        <v>1276</v>
      </c>
      <c r="P472" s="454" t="s">
        <v>1276</v>
      </c>
      <c r="Q472" s="396" t="s">
        <v>1276</v>
      </c>
      <c r="R472" s="396" t="s">
        <v>1276</v>
      </c>
      <c r="S472" s="396" t="s">
        <v>1276</v>
      </c>
      <c r="T472" s="396" t="s">
        <v>1276</v>
      </c>
    </row>
    <row r="473" spans="1:20" ht="15.9">
      <c r="A473" s="312" t="s">
        <v>1555</v>
      </c>
      <c r="B473" s="366">
        <v>0</v>
      </c>
      <c r="C473" s="366">
        <v>0</v>
      </c>
      <c r="D473" s="366">
        <v>0</v>
      </c>
      <c r="E473" s="366">
        <v>0</v>
      </c>
      <c r="F473" s="366">
        <v>0</v>
      </c>
      <c r="G473" s="366">
        <v>0</v>
      </c>
      <c r="H473" s="366">
        <v>0</v>
      </c>
      <c r="I473" s="366">
        <v>0</v>
      </c>
      <c r="J473" s="366">
        <v>0</v>
      </c>
      <c r="K473" s="366">
        <v>0</v>
      </c>
      <c r="M473" s="366">
        <v>0</v>
      </c>
      <c r="N473" s="443">
        <v>0</v>
      </c>
      <c r="O473" s="443">
        <v>0</v>
      </c>
      <c r="P473" s="443">
        <v>0</v>
      </c>
      <c r="Q473" s="366">
        <v>0</v>
      </c>
      <c r="R473" s="366">
        <v>0</v>
      </c>
      <c r="S473" s="366">
        <v>0</v>
      </c>
      <c r="T473" s="366">
        <v>0</v>
      </c>
    </row>
    <row r="474" spans="1:20" ht="15.9">
      <c r="A474" s="312" t="s">
        <v>35</v>
      </c>
      <c r="B474" s="399" t="s">
        <v>1883</v>
      </c>
      <c r="C474" s="399" t="s">
        <v>1884</v>
      </c>
      <c r="D474" s="399" t="s">
        <v>1885</v>
      </c>
      <c r="E474" s="399" t="s">
        <v>1886</v>
      </c>
      <c r="F474" s="399" t="s">
        <v>1887</v>
      </c>
      <c r="G474" s="399" t="s">
        <v>1888</v>
      </c>
      <c r="H474" s="399" t="s">
        <v>1889</v>
      </c>
      <c r="I474" s="399" t="s">
        <v>1890</v>
      </c>
      <c r="J474" s="399" t="s">
        <v>1891</v>
      </c>
      <c r="K474" s="399" t="s">
        <v>1892</v>
      </c>
      <c r="M474" s="399" t="s">
        <v>1893</v>
      </c>
      <c r="N474" s="455" t="s">
        <v>1514</v>
      </c>
      <c r="O474" s="455" t="s">
        <v>1514</v>
      </c>
      <c r="P474" s="455" t="s">
        <v>1514</v>
      </c>
      <c r="Q474" s="455" t="s">
        <v>1514</v>
      </c>
      <c r="R474" s="455" t="s">
        <v>1514</v>
      </c>
      <c r="S474" s="455" t="s">
        <v>1514</v>
      </c>
      <c r="T474" s="455" t="s">
        <v>1514</v>
      </c>
    </row>
    <row r="475" spans="1:20" ht="15.9">
      <c r="A475" s="312" t="s">
        <v>1282</v>
      </c>
      <c r="B475" s="402">
        <v>600</v>
      </c>
      <c r="C475" s="402">
        <v>600</v>
      </c>
      <c r="D475" s="402">
        <v>600</v>
      </c>
      <c r="E475" s="402">
        <v>600</v>
      </c>
      <c r="F475" s="402">
        <v>600</v>
      </c>
      <c r="G475" s="402">
        <v>600</v>
      </c>
      <c r="H475" s="429">
        <v>600</v>
      </c>
      <c r="I475" s="429">
        <v>600</v>
      </c>
      <c r="J475" s="402">
        <v>600</v>
      </c>
      <c r="K475" s="429">
        <v>600</v>
      </c>
      <c r="M475" s="429">
        <v>600</v>
      </c>
      <c r="N475" s="456">
        <v>600</v>
      </c>
      <c r="O475" s="456">
        <v>600</v>
      </c>
      <c r="P475" s="456">
        <v>600</v>
      </c>
      <c r="Q475" s="402">
        <v>600</v>
      </c>
      <c r="R475" s="402">
        <v>600</v>
      </c>
      <c r="S475" s="402">
        <v>600</v>
      </c>
      <c r="T475" s="402">
        <v>600</v>
      </c>
    </row>
    <row r="476" spans="1:20" ht="15.9">
      <c r="A476" s="312" t="s">
        <v>542</v>
      </c>
      <c r="B476" s="402">
        <v>5</v>
      </c>
      <c r="C476" s="402">
        <v>5</v>
      </c>
      <c r="D476" s="402">
        <v>5</v>
      </c>
      <c r="E476" s="402">
        <v>5</v>
      </c>
      <c r="F476" s="402">
        <v>5</v>
      </c>
      <c r="G476" s="402">
        <v>5</v>
      </c>
      <c r="H476" s="402">
        <v>5</v>
      </c>
      <c r="I476" s="402">
        <v>5</v>
      </c>
      <c r="J476" s="402">
        <v>5</v>
      </c>
      <c r="K476" s="402">
        <v>5</v>
      </c>
      <c r="M476" s="466">
        <v>3</v>
      </c>
      <c r="N476" s="456">
        <v>3</v>
      </c>
      <c r="O476" s="456">
        <v>3</v>
      </c>
      <c r="P476" s="456">
        <v>3</v>
      </c>
      <c r="Q476" s="402">
        <v>3</v>
      </c>
      <c r="R476" s="402">
        <v>3</v>
      </c>
      <c r="S476" s="402">
        <v>3</v>
      </c>
      <c r="T476" s="402">
        <v>3</v>
      </c>
    </row>
    <row r="477" spans="1:20" ht="22.5" customHeight="1">
      <c r="A477" s="312" t="s">
        <v>1283</v>
      </c>
      <c r="B477" s="429" t="s">
        <v>1894</v>
      </c>
      <c r="C477" s="429" t="s">
        <v>1895</v>
      </c>
      <c r="D477" s="429" t="s">
        <v>655</v>
      </c>
      <c r="E477" s="429" t="s">
        <v>1896</v>
      </c>
      <c r="F477" s="429" t="s">
        <v>1897</v>
      </c>
      <c r="G477" s="429" t="s">
        <v>1898</v>
      </c>
      <c r="H477" s="429" t="s">
        <v>1899</v>
      </c>
      <c r="I477" s="429" t="s">
        <v>1900</v>
      </c>
      <c r="J477" s="402" t="s">
        <v>1521</v>
      </c>
      <c r="K477" s="429" t="s">
        <v>1901</v>
      </c>
      <c r="M477" s="429" t="s">
        <v>1902</v>
      </c>
      <c r="N477" s="456" t="s">
        <v>1903</v>
      </c>
      <c r="O477" s="463" t="s">
        <v>1904</v>
      </c>
      <c r="P477" s="456" t="s">
        <v>1905</v>
      </c>
      <c r="Q477" s="402" t="s">
        <v>1906</v>
      </c>
      <c r="R477" s="402" t="s">
        <v>1907</v>
      </c>
      <c r="S477" s="402" t="s">
        <v>1908</v>
      </c>
      <c r="T477" s="402" t="s">
        <v>1909</v>
      </c>
    </row>
    <row r="478" spans="1:20" ht="22.5" customHeight="1">
      <c r="A478" s="312" t="s">
        <v>1294</v>
      </c>
      <c r="B478" s="429" t="s">
        <v>1910</v>
      </c>
      <c r="C478" s="429" t="s">
        <v>1911</v>
      </c>
      <c r="D478" s="429" t="s">
        <v>1912</v>
      </c>
      <c r="E478" s="429" t="s">
        <v>1913</v>
      </c>
      <c r="F478" s="429" t="s">
        <v>1914</v>
      </c>
      <c r="G478" s="429" t="s">
        <v>1915</v>
      </c>
      <c r="H478" s="429" t="s">
        <v>1916</v>
      </c>
      <c r="I478" s="429" t="s">
        <v>1917</v>
      </c>
      <c r="J478" s="429" t="s">
        <v>1918</v>
      </c>
      <c r="K478" s="429" t="s">
        <v>655</v>
      </c>
      <c r="M478" s="429" t="s">
        <v>655</v>
      </c>
      <c r="N478" s="456" t="s">
        <v>1919</v>
      </c>
      <c r="O478" s="456" t="s">
        <v>1920</v>
      </c>
      <c r="P478" s="456" t="s">
        <v>1921</v>
      </c>
      <c r="Q478" s="402" t="s">
        <v>1922</v>
      </c>
      <c r="R478" s="402" t="s">
        <v>1923</v>
      </c>
      <c r="S478" s="402" t="s">
        <v>1924</v>
      </c>
      <c r="T478" s="402" t="s">
        <v>1925</v>
      </c>
    </row>
    <row r="479" spans="1:20" ht="22.5" customHeight="1">
      <c r="A479" s="312" t="s">
        <v>1567</v>
      </c>
      <c r="B479" s="402" t="s">
        <v>1926</v>
      </c>
      <c r="C479" s="429"/>
      <c r="D479" s="429" t="s">
        <v>1927</v>
      </c>
      <c r="E479" s="429" t="s">
        <v>655</v>
      </c>
      <c r="F479" s="429" t="s">
        <v>1928</v>
      </c>
      <c r="G479" s="429" t="s">
        <v>1929</v>
      </c>
      <c r="H479" s="429" t="s">
        <v>1930</v>
      </c>
      <c r="I479" s="429" t="s">
        <v>1931</v>
      </c>
      <c r="J479" s="429" t="s">
        <v>655</v>
      </c>
      <c r="K479" s="429" t="s">
        <v>655</v>
      </c>
      <c r="M479" s="429" t="s">
        <v>655</v>
      </c>
      <c r="N479" s="429" t="s">
        <v>655</v>
      </c>
      <c r="O479" s="456" t="s">
        <v>1932</v>
      </c>
      <c r="P479" s="456" t="s">
        <v>1933</v>
      </c>
      <c r="Q479" s="402" t="s">
        <v>1934</v>
      </c>
      <c r="R479" s="402" t="s">
        <v>1935</v>
      </c>
      <c r="S479" s="402" t="s">
        <v>1936</v>
      </c>
      <c r="T479" s="402" t="s">
        <v>1937</v>
      </c>
    </row>
    <row r="480" spans="1:20" ht="12.75" customHeight="1">
      <c r="A480" s="312"/>
      <c r="B480" s="429"/>
      <c r="C480" s="429"/>
      <c r="D480" s="429"/>
      <c r="E480" s="429"/>
      <c r="F480" s="429"/>
      <c r="G480" s="429"/>
      <c r="H480" s="429"/>
      <c r="I480" s="429"/>
      <c r="J480" s="429"/>
      <c r="K480" s="429"/>
      <c r="M480" s="429"/>
      <c r="N480" s="429"/>
      <c r="P480" s="456"/>
      <c r="Q480" s="402" t="s">
        <v>1938</v>
      </c>
      <c r="T480" s="402" t="s">
        <v>1939</v>
      </c>
    </row>
    <row r="481" spans="1:14" ht="14.6">
      <c r="B481" s="862" t="s">
        <v>1940</v>
      </c>
      <c r="C481" s="862"/>
      <c r="D481" s="862"/>
      <c r="E481" s="862"/>
      <c r="F481" s="862"/>
      <c r="G481" s="862"/>
      <c r="H481" s="862"/>
      <c r="I481" s="862"/>
      <c r="J481" s="862"/>
      <c r="K481" s="862"/>
    </row>
    <row r="482" spans="1:14" ht="14.6">
      <c r="B482" s="862"/>
      <c r="C482" s="862"/>
      <c r="D482" s="862"/>
      <c r="E482" s="862"/>
      <c r="F482" s="862"/>
      <c r="G482" s="862"/>
      <c r="H482" s="862"/>
      <c r="I482" s="862"/>
      <c r="J482" s="862"/>
      <c r="K482" s="862"/>
    </row>
    <row r="483" spans="1:14" ht="14.6">
      <c r="B483" s="862"/>
      <c r="C483" s="862"/>
      <c r="D483" s="862"/>
      <c r="E483" s="862"/>
      <c r="F483" s="862"/>
      <c r="G483" s="862"/>
      <c r="H483" s="862"/>
      <c r="I483" s="862"/>
      <c r="J483" s="862"/>
      <c r="K483" s="862"/>
    </row>
    <row r="484" spans="1:14" ht="14.6">
      <c r="B484" s="862"/>
      <c r="C484" s="862"/>
      <c r="D484" s="862"/>
      <c r="E484" s="862"/>
      <c r="F484" s="862"/>
      <c r="G484" s="862"/>
      <c r="H484" s="862"/>
      <c r="I484" s="862"/>
      <c r="J484" s="862"/>
      <c r="K484" s="862"/>
    </row>
    <row r="485" spans="1:14" ht="14.6">
      <c r="B485" s="862"/>
      <c r="C485" s="862"/>
      <c r="D485" s="862"/>
      <c r="E485" s="862"/>
      <c r="F485" s="862"/>
      <c r="G485" s="862"/>
      <c r="H485" s="862"/>
      <c r="I485" s="862"/>
      <c r="J485" s="862"/>
      <c r="K485" s="862"/>
    </row>
    <row r="486" spans="1:14" ht="14.6"/>
    <row r="487" spans="1:14" ht="15.9">
      <c r="A487" s="312" t="s">
        <v>1251</v>
      </c>
      <c r="B487" s="479" t="s">
        <v>1941</v>
      </c>
      <c r="C487" s="479" t="s">
        <v>1942</v>
      </c>
      <c r="D487" s="479" t="s">
        <v>1943</v>
      </c>
      <c r="E487" s="479" t="s">
        <v>1944</v>
      </c>
      <c r="F487" s="479" t="s">
        <v>1945</v>
      </c>
      <c r="G487" s="479" t="s">
        <v>1946</v>
      </c>
      <c r="H487" s="479" t="s">
        <v>1947</v>
      </c>
      <c r="I487" s="479" t="s">
        <v>1948</v>
      </c>
      <c r="J487" s="479" t="s">
        <v>1949</v>
      </c>
      <c r="K487" s="479" t="s">
        <v>1950</v>
      </c>
      <c r="M487" s="479" t="s">
        <v>1951</v>
      </c>
      <c r="N487" s="479" t="s">
        <v>1951</v>
      </c>
    </row>
    <row r="488" spans="1:14" ht="15.9">
      <c r="A488" s="312" t="s">
        <v>1261</v>
      </c>
      <c r="B488" s="315" t="s">
        <v>1221</v>
      </c>
      <c r="C488" s="319" t="s">
        <v>1225</v>
      </c>
      <c r="D488" s="321" t="s">
        <v>1227</v>
      </c>
      <c r="E488" s="323" t="s">
        <v>1229</v>
      </c>
      <c r="F488" s="341" t="s">
        <v>1231</v>
      </c>
      <c r="G488" s="327" t="s">
        <v>1233</v>
      </c>
      <c r="H488" s="328" t="s">
        <v>1235</v>
      </c>
      <c r="I488" s="329" t="s">
        <v>1237</v>
      </c>
      <c r="J488" s="330" t="s">
        <v>1239</v>
      </c>
      <c r="K488" s="332" t="s">
        <v>1241</v>
      </c>
      <c r="M488" s="317" t="s">
        <v>1223</v>
      </c>
      <c r="N488" s="333" t="s">
        <v>1242</v>
      </c>
    </row>
    <row r="489" spans="1:14" ht="17.25" customHeight="1">
      <c r="A489" s="312" t="s">
        <v>1262</v>
      </c>
      <c r="B489" s="312" t="s">
        <v>1232</v>
      </c>
      <c r="C489" s="312" t="s">
        <v>1232</v>
      </c>
      <c r="D489" s="312" t="s">
        <v>1226</v>
      </c>
      <c r="E489" s="312" t="s">
        <v>1222</v>
      </c>
      <c r="F489" s="312" t="s">
        <v>1952</v>
      </c>
      <c r="G489" s="312" t="s">
        <v>1222</v>
      </c>
      <c r="H489" s="312" t="s">
        <v>1230</v>
      </c>
      <c r="I489" s="312" t="s">
        <v>1224</v>
      </c>
      <c r="J489" s="312" t="s">
        <v>1224</v>
      </c>
      <c r="K489" s="312" t="s">
        <v>1226</v>
      </c>
      <c r="M489" s="312"/>
      <c r="N489" s="312"/>
    </row>
    <row r="490" spans="1:14" ht="17.25" customHeight="1">
      <c r="A490" s="346" t="s">
        <v>491</v>
      </c>
      <c r="B490" s="348" t="s">
        <v>1953</v>
      </c>
      <c r="C490" s="348" t="s">
        <v>1954</v>
      </c>
      <c r="D490" s="348" t="s">
        <v>1954</v>
      </c>
      <c r="E490" s="348" t="s">
        <v>1953</v>
      </c>
      <c r="F490" s="348" t="s">
        <v>1954</v>
      </c>
      <c r="G490" s="348" t="s">
        <v>1955</v>
      </c>
      <c r="H490" s="348" t="s">
        <v>1953</v>
      </c>
      <c r="I490" s="348" t="s">
        <v>1953</v>
      </c>
      <c r="J490" s="348" t="s">
        <v>1953</v>
      </c>
      <c r="K490" s="348" t="s">
        <v>1953</v>
      </c>
      <c r="M490" s="348"/>
      <c r="N490" s="348"/>
    </row>
    <row r="491" spans="1:14" ht="17.25" customHeight="1">
      <c r="A491" s="350" t="s">
        <v>1264</v>
      </c>
      <c r="B491" s="352" t="s">
        <v>1672</v>
      </c>
      <c r="C491" s="352" t="s">
        <v>1956</v>
      </c>
      <c r="D491" s="352" t="s">
        <v>1551</v>
      </c>
      <c r="E491" s="352" t="s">
        <v>1956</v>
      </c>
      <c r="F491" s="352" t="s">
        <v>1672</v>
      </c>
      <c r="G491" s="352" t="s">
        <v>1956</v>
      </c>
      <c r="H491" s="352" t="s">
        <v>1672</v>
      </c>
      <c r="I491" s="352" t="s">
        <v>1953</v>
      </c>
      <c r="J491" s="352" t="s">
        <v>1672</v>
      </c>
      <c r="K491" s="352" t="s">
        <v>1953</v>
      </c>
      <c r="M491" s="352"/>
      <c r="N491" s="352"/>
    </row>
    <row r="492" spans="1:14" ht="17.25" customHeight="1">
      <c r="A492" s="354" t="s">
        <v>495</v>
      </c>
      <c r="B492" s="360">
        <v>5</v>
      </c>
      <c r="C492" s="360">
        <v>5</v>
      </c>
      <c r="D492" s="360">
        <v>4</v>
      </c>
      <c r="E492" s="360">
        <v>3</v>
      </c>
      <c r="F492" s="360">
        <v>5</v>
      </c>
      <c r="G492" s="360">
        <v>5</v>
      </c>
      <c r="H492" s="360">
        <v>4</v>
      </c>
      <c r="I492" s="360">
        <v>6</v>
      </c>
      <c r="J492" s="360" t="s">
        <v>1957</v>
      </c>
      <c r="K492" s="360">
        <v>3</v>
      </c>
      <c r="M492" s="360"/>
      <c r="N492" s="360"/>
    </row>
    <row r="493" spans="1:14" ht="17.25" customHeight="1">
      <c r="A493" s="358" t="s">
        <v>1958</v>
      </c>
      <c r="B493" s="360">
        <v>4</v>
      </c>
      <c r="C493" s="360">
        <v>5</v>
      </c>
      <c r="D493" s="360">
        <v>4</v>
      </c>
      <c r="E493" s="360">
        <v>3</v>
      </c>
      <c r="F493" s="360">
        <v>5</v>
      </c>
      <c r="G493" s="360">
        <v>5</v>
      </c>
      <c r="H493" s="360">
        <v>6</v>
      </c>
      <c r="I493" s="360">
        <v>5</v>
      </c>
      <c r="J493" s="360" t="s">
        <v>1959</v>
      </c>
      <c r="K493" s="360">
        <v>6</v>
      </c>
      <c r="M493" s="360"/>
      <c r="N493" s="360"/>
    </row>
    <row r="494" spans="1:14" ht="17.25" customHeight="1">
      <c r="A494" s="312" t="s">
        <v>1266</v>
      </c>
      <c r="B494" s="363">
        <v>0.2</v>
      </c>
      <c r="C494" s="363">
        <v>0</v>
      </c>
      <c r="D494" s="363">
        <v>0</v>
      </c>
      <c r="E494" s="363">
        <v>0</v>
      </c>
      <c r="F494" s="363">
        <v>0</v>
      </c>
      <c r="G494" s="363">
        <v>-0.2</v>
      </c>
      <c r="H494" s="363">
        <v>-0.2</v>
      </c>
      <c r="I494" s="363">
        <v>-1</v>
      </c>
      <c r="J494" s="363" t="s">
        <v>1960</v>
      </c>
      <c r="K494" s="363">
        <v>1</v>
      </c>
      <c r="M494" s="363"/>
      <c r="N494" s="363"/>
    </row>
    <row r="495" spans="1:14" ht="17.25" customHeight="1">
      <c r="A495" s="312" t="s">
        <v>1267</v>
      </c>
      <c r="B495" s="366">
        <v>0</v>
      </c>
      <c r="C495" s="366">
        <v>-0.5</v>
      </c>
      <c r="D495" s="366">
        <v>0</v>
      </c>
      <c r="E495" s="366">
        <v>0.2</v>
      </c>
      <c r="F495" s="366">
        <v>0</v>
      </c>
      <c r="G495" s="366">
        <v>0.2</v>
      </c>
      <c r="H495" s="366">
        <v>0.2</v>
      </c>
      <c r="I495" s="366">
        <v>0.5</v>
      </c>
      <c r="J495" s="366" t="s">
        <v>1960</v>
      </c>
      <c r="K495" s="366">
        <v>0.2</v>
      </c>
      <c r="M495" s="366"/>
      <c r="N495" s="366"/>
    </row>
    <row r="496" spans="1:14" ht="17.25" customHeight="1">
      <c r="A496" s="312" t="s">
        <v>1268</v>
      </c>
      <c r="B496" s="369">
        <v>0</v>
      </c>
      <c r="C496" s="369">
        <v>0</v>
      </c>
      <c r="D496" s="369">
        <v>-0.5</v>
      </c>
      <c r="E496" s="369">
        <v>0</v>
      </c>
      <c r="F496" s="369">
        <v>0.4</v>
      </c>
      <c r="G496" s="369">
        <v>0.4</v>
      </c>
      <c r="H496" s="369">
        <v>1.5</v>
      </c>
      <c r="I496" s="369">
        <v>0</v>
      </c>
      <c r="J496" s="369" t="s">
        <v>1960</v>
      </c>
      <c r="K496" s="369">
        <v>0</v>
      </c>
      <c r="M496" s="369"/>
      <c r="N496" s="369"/>
    </row>
    <row r="497" spans="1:14" ht="17.25" customHeight="1">
      <c r="A497" s="312" t="s">
        <v>1269</v>
      </c>
      <c r="B497" s="372">
        <v>0</v>
      </c>
      <c r="C497" s="372">
        <v>0</v>
      </c>
      <c r="D497" s="372">
        <v>2</v>
      </c>
      <c r="E497" s="372">
        <v>0</v>
      </c>
      <c r="F497" s="372">
        <v>-0.5</v>
      </c>
      <c r="G497" s="372">
        <v>-0.2</v>
      </c>
      <c r="H497" s="372">
        <v>-1</v>
      </c>
      <c r="I497" s="372">
        <v>0</v>
      </c>
      <c r="J497" s="372" t="s">
        <v>1960</v>
      </c>
      <c r="K497" s="372">
        <v>0.2</v>
      </c>
      <c r="M497" s="372"/>
      <c r="N497" s="372"/>
    </row>
    <row r="498" spans="1:14" ht="17.25" customHeight="1">
      <c r="A498" s="465" t="s">
        <v>1270</v>
      </c>
      <c r="B498" s="376">
        <v>0.7</v>
      </c>
      <c r="C498" s="376">
        <v>0</v>
      </c>
      <c r="D498" s="376">
        <v>0</v>
      </c>
      <c r="E498" s="376">
        <v>0</v>
      </c>
      <c r="F498" s="376">
        <v>0.2</v>
      </c>
      <c r="G498" s="376">
        <v>0</v>
      </c>
      <c r="H498" s="376">
        <v>0.3</v>
      </c>
      <c r="I498" s="376">
        <v>0</v>
      </c>
      <c r="J498" s="376" t="s">
        <v>1960</v>
      </c>
      <c r="K498" s="376">
        <v>0.2</v>
      </c>
      <c r="M498" s="376"/>
      <c r="N498" s="376"/>
    </row>
    <row r="499" spans="1:14" ht="17.25" customHeight="1">
      <c r="A499" s="312" t="s">
        <v>1271</v>
      </c>
      <c r="B499" s="379">
        <v>0</v>
      </c>
      <c r="C499" s="379">
        <v>0</v>
      </c>
      <c r="D499" s="379">
        <v>0</v>
      </c>
      <c r="E499" s="379">
        <v>0</v>
      </c>
      <c r="F499" s="379">
        <v>0.2</v>
      </c>
      <c r="G499" s="379">
        <v>-0.3</v>
      </c>
      <c r="H499" s="379">
        <v>-0.3</v>
      </c>
      <c r="I499" s="379">
        <v>0</v>
      </c>
      <c r="J499" s="379" t="s">
        <v>1960</v>
      </c>
      <c r="K499" s="379">
        <v>0</v>
      </c>
      <c r="M499" s="379"/>
      <c r="N499" s="379"/>
    </row>
    <row r="500" spans="1:14" ht="17.25" customHeight="1">
      <c r="A500" s="312" t="s">
        <v>1272</v>
      </c>
      <c r="B500" s="382">
        <v>-1</v>
      </c>
      <c r="C500" s="382">
        <v>-0.5</v>
      </c>
      <c r="D500" s="382">
        <v>0</v>
      </c>
      <c r="E500" s="382">
        <v>0.2</v>
      </c>
      <c r="F500" s="382">
        <v>-1</v>
      </c>
      <c r="G500" s="382">
        <v>0</v>
      </c>
      <c r="H500" s="382">
        <v>0</v>
      </c>
      <c r="I500" s="382">
        <v>0</v>
      </c>
      <c r="J500" s="382" t="s">
        <v>1960</v>
      </c>
      <c r="K500" s="382">
        <v>0</v>
      </c>
      <c r="M500" s="382"/>
      <c r="N500" s="382"/>
    </row>
    <row r="501" spans="1:14" ht="17.25" customHeight="1">
      <c r="A501" s="312" t="s">
        <v>1273</v>
      </c>
      <c r="B501" s="385">
        <v>-0.5</v>
      </c>
      <c r="C501" s="385">
        <v>-0.5</v>
      </c>
      <c r="D501" s="385">
        <v>0.5</v>
      </c>
      <c r="E501" s="385">
        <v>0</v>
      </c>
      <c r="F501" s="385">
        <v>1</v>
      </c>
      <c r="G501" s="385">
        <v>0.5</v>
      </c>
      <c r="H501" s="385">
        <v>0</v>
      </c>
      <c r="I501" s="385">
        <v>1</v>
      </c>
      <c r="J501" s="385" t="s">
        <v>1960</v>
      </c>
      <c r="K501" s="385">
        <v>-0.5</v>
      </c>
      <c r="M501" s="385"/>
      <c r="N501" s="385"/>
    </row>
    <row r="502" spans="1:14" ht="17.25" customHeight="1">
      <c r="A502" s="312" t="s">
        <v>1274</v>
      </c>
      <c r="B502" s="388">
        <v>0</v>
      </c>
      <c r="C502" s="388">
        <v>0.5</v>
      </c>
      <c r="D502" s="388">
        <f>-50%</f>
        <v>-0.5</v>
      </c>
      <c r="E502" s="388">
        <v>0.2</v>
      </c>
      <c r="F502" s="388">
        <v>1</v>
      </c>
      <c r="G502" s="388">
        <v>-0.5</v>
      </c>
      <c r="H502" s="388">
        <v>-0.5</v>
      </c>
      <c r="I502" s="388">
        <v>1</v>
      </c>
      <c r="J502" s="388" t="s">
        <v>1960</v>
      </c>
      <c r="K502" s="388">
        <v>-0.5</v>
      </c>
      <c r="M502" s="388"/>
      <c r="N502" s="388"/>
    </row>
    <row r="503" spans="1:14" ht="17.25" customHeight="1">
      <c r="A503" s="312" t="s">
        <v>519</v>
      </c>
      <c r="B503" s="356">
        <v>6</v>
      </c>
      <c r="C503" s="356">
        <v>10</v>
      </c>
      <c r="D503" s="356">
        <v>2</v>
      </c>
      <c r="E503" s="356">
        <v>3</v>
      </c>
      <c r="F503" s="356">
        <v>8</v>
      </c>
      <c r="G503" s="356">
        <v>8</v>
      </c>
      <c r="H503" s="356">
        <v>2</v>
      </c>
      <c r="I503" s="356">
        <v>2</v>
      </c>
      <c r="J503" s="356">
        <v>5</v>
      </c>
      <c r="K503" s="356">
        <v>2</v>
      </c>
      <c r="M503" s="356"/>
      <c r="N503" s="356"/>
    </row>
    <row r="504" spans="1:14" ht="17.25" customHeight="1">
      <c r="A504" s="312" t="s">
        <v>521</v>
      </c>
      <c r="B504" s="356">
        <v>6</v>
      </c>
      <c r="C504" s="356">
        <v>0</v>
      </c>
      <c r="D504" s="356">
        <v>-2</v>
      </c>
      <c r="E504" s="356">
        <v>3</v>
      </c>
      <c r="F504" s="356">
        <v>0</v>
      </c>
      <c r="G504" s="356">
        <v>0</v>
      </c>
      <c r="H504" s="356">
        <v>5</v>
      </c>
      <c r="I504" s="356">
        <v>5</v>
      </c>
      <c r="J504" s="356">
        <v>5</v>
      </c>
      <c r="K504" s="356">
        <v>5</v>
      </c>
      <c r="M504" s="356"/>
      <c r="N504" s="356"/>
    </row>
    <row r="505" spans="1:14" ht="17.25" customHeight="1">
      <c r="A505" s="312" t="s">
        <v>522</v>
      </c>
      <c r="B505" s="392">
        <v>0</v>
      </c>
      <c r="C505" s="392">
        <v>0</v>
      </c>
      <c r="D505" s="392">
        <v>8</v>
      </c>
      <c r="E505" s="392">
        <v>3</v>
      </c>
      <c r="F505" s="392">
        <v>0</v>
      </c>
      <c r="G505" s="392">
        <v>0</v>
      </c>
      <c r="H505" s="392">
        <v>5</v>
      </c>
      <c r="I505" s="392">
        <v>5</v>
      </c>
      <c r="J505" s="392">
        <v>5</v>
      </c>
      <c r="K505" s="392">
        <v>5</v>
      </c>
      <c r="M505" s="392"/>
      <c r="N505" s="392"/>
    </row>
    <row r="506" spans="1:14" ht="17.25" customHeight="1">
      <c r="A506" s="312" t="s">
        <v>13</v>
      </c>
      <c r="B506" s="402" t="s">
        <v>1961</v>
      </c>
      <c r="C506" s="402" t="s">
        <v>1962</v>
      </c>
      <c r="D506" s="402" t="s">
        <v>1963</v>
      </c>
      <c r="E506" s="402" t="s">
        <v>1964</v>
      </c>
      <c r="F506" s="402" t="s">
        <v>1965</v>
      </c>
      <c r="G506" s="402" t="s">
        <v>1961</v>
      </c>
      <c r="H506" s="402" t="s">
        <v>1966</v>
      </c>
      <c r="I506" s="402" t="s">
        <v>1967</v>
      </c>
      <c r="J506" s="402" t="s">
        <v>1968</v>
      </c>
      <c r="K506" s="402" t="s">
        <v>1969</v>
      </c>
      <c r="M506" s="402"/>
      <c r="N506" s="402"/>
    </row>
    <row r="507" spans="1:14" ht="17.25" customHeight="1">
      <c r="A507" s="394" t="s">
        <v>533</v>
      </c>
      <c r="B507" s="396">
        <v>3</v>
      </c>
      <c r="C507" s="396">
        <v>3</v>
      </c>
      <c r="D507" s="396">
        <v>3</v>
      </c>
      <c r="E507" s="396">
        <v>3</v>
      </c>
      <c r="F507" s="396">
        <v>3</v>
      </c>
      <c r="G507" s="396">
        <v>3</v>
      </c>
      <c r="H507" s="396">
        <v>3</v>
      </c>
      <c r="I507" s="396">
        <v>3</v>
      </c>
      <c r="J507" s="396">
        <v>3</v>
      </c>
      <c r="K507" s="396">
        <v>3</v>
      </c>
      <c r="M507" s="396"/>
      <c r="N507" s="396"/>
    </row>
    <row r="508" spans="1:14" ht="17.25" customHeight="1">
      <c r="A508" s="312" t="s">
        <v>1278</v>
      </c>
      <c r="B508" s="366">
        <v>0</v>
      </c>
      <c r="C508" s="366">
        <v>0</v>
      </c>
      <c r="D508" s="366">
        <v>0</v>
      </c>
      <c r="E508" s="366">
        <v>0</v>
      </c>
      <c r="F508" s="366">
        <v>0</v>
      </c>
      <c r="G508" s="366">
        <v>0</v>
      </c>
      <c r="H508" s="366">
        <v>0</v>
      </c>
      <c r="I508" s="366">
        <v>0</v>
      </c>
      <c r="J508" s="366">
        <v>0</v>
      </c>
      <c r="K508" s="366">
        <v>0</v>
      </c>
      <c r="M508" s="366"/>
      <c r="N508" s="366"/>
    </row>
    <row r="509" spans="1:14" ht="17.25" customHeight="1">
      <c r="A509" s="312" t="s">
        <v>1282</v>
      </c>
      <c r="B509" s="402">
        <v>800</v>
      </c>
      <c r="C509" s="402">
        <v>800</v>
      </c>
      <c r="D509" s="402">
        <v>800</v>
      </c>
      <c r="E509" s="402">
        <v>800</v>
      </c>
      <c r="F509" s="402">
        <v>800</v>
      </c>
      <c r="G509" s="402">
        <v>800</v>
      </c>
      <c r="H509" s="402">
        <v>800</v>
      </c>
      <c r="I509" s="402">
        <v>800</v>
      </c>
      <c r="J509" s="402">
        <v>800</v>
      </c>
      <c r="K509" s="402">
        <v>800</v>
      </c>
      <c r="M509" s="402"/>
      <c r="N509" s="402"/>
    </row>
    <row r="510" spans="1:14" ht="15.9">
      <c r="A510" s="312" t="s">
        <v>542</v>
      </c>
      <c r="B510" s="402">
        <v>6</v>
      </c>
      <c r="C510" s="402">
        <v>6</v>
      </c>
      <c r="D510" s="402">
        <v>6</v>
      </c>
      <c r="E510" s="402">
        <v>6</v>
      </c>
      <c r="F510" s="402">
        <v>6</v>
      </c>
      <c r="G510" s="402">
        <v>6</v>
      </c>
      <c r="H510" s="402">
        <v>6</v>
      </c>
      <c r="I510" s="402">
        <v>6</v>
      </c>
      <c r="J510" s="402">
        <v>6</v>
      </c>
      <c r="K510" s="402">
        <v>6</v>
      </c>
      <c r="M510" s="402"/>
      <c r="N510" s="402"/>
    </row>
    <row r="511" spans="1:14" ht="57" customHeight="1">
      <c r="A511" s="312" t="s">
        <v>1283</v>
      </c>
      <c r="B511" s="429" t="s">
        <v>1970</v>
      </c>
      <c r="C511" s="429" t="s">
        <v>655</v>
      </c>
      <c r="D511" s="429" t="s">
        <v>1971</v>
      </c>
      <c r="E511" s="429" t="s">
        <v>1972</v>
      </c>
      <c r="F511" s="429" t="s">
        <v>1973</v>
      </c>
      <c r="G511" s="429" t="s">
        <v>1974</v>
      </c>
      <c r="H511" s="429" t="s">
        <v>1975</v>
      </c>
      <c r="I511" s="429" t="s">
        <v>1976</v>
      </c>
      <c r="J511" s="429" t="s">
        <v>1977</v>
      </c>
      <c r="K511" s="429" t="s">
        <v>1978</v>
      </c>
      <c r="M511" s="429"/>
      <c r="N511" s="429"/>
    </row>
    <row r="512" spans="1:14" ht="57" customHeight="1">
      <c r="A512" s="312" t="s">
        <v>1294</v>
      </c>
      <c r="B512" s="429" t="s">
        <v>1979</v>
      </c>
      <c r="C512" s="429" t="s">
        <v>1980</v>
      </c>
      <c r="D512" s="429" t="s">
        <v>1981</v>
      </c>
      <c r="E512" s="429" t="s">
        <v>1982</v>
      </c>
      <c r="F512" s="429" t="s">
        <v>1983</v>
      </c>
      <c r="G512" s="429" t="s">
        <v>1984</v>
      </c>
      <c r="H512" s="429" t="s">
        <v>1985</v>
      </c>
      <c r="I512" s="429" t="s">
        <v>1986</v>
      </c>
      <c r="J512" s="429" t="s">
        <v>1987</v>
      </c>
      <c r="K512" s="429" t="s">
        <v>1988</v>
      </c>
      <c r="M512" s="429"/>
      <c r="N512" s="429"/>
    </row>
    <row r="513" spans="1:14" ht="57" customHeight="1">
      <c r="A513" s="312" t="s">
        <v>1989</v>
      </c>
      <c r="B513" s="429" t="s">
        <v>1990</v>
      </c>
      <c r="C513" s="429" t="s">
        <v>1991</v>
      </c>
      <c r="D513" s="429" t="s">
        <v>1992</v>
      </c>
      <c r="E513" s="429" t="s">
        <v>1993</v>
      </c>
      <c r="F513" s="429" t="s">
        <v>1994</v>
      </c>
      <c r="G513" s="429" t="s">
        <v>1995</v>
      </c>
      <c r="H513" s="429" t="s">
        <v>1996</v>
      </c>
      <c r="I513" s="429" t="s">
        <v>1997</v>
      </c>
      <c r="J513" s="429" t="s">
        <v>1998</v>
      </c>
      <c r="K513" s="429" t="s">
        <v>1999</v>
      </c>
      <c r="M513" s="429"/>
      <c r="N513" s="429"/>
    </row>
    <row r="514" spans="1:14" ht="57" customHeight="1">
      <c r="A514" s="312" t="s">
        <v>2000</v>
      </c>
      <c r="B514" s="429" t="s">
        <v>2001</v>
      </c>
      <c r="C514" s="429" t="s">
        <v>2002</v>
      </c>
      <c r="D514" s="429" t="s">
        <v>2003</v>
      </c>
      <c r="E514" s="429" t="s">
        <v>2004</v>
      </c>
      <c r="F514" s="429" t="s">
        <v>2005</v>
      </c>
      <c r="G514" s="429" t="s">
        <v>2006</v>
      </c>
      <c r="H514" s="429" t="s">
        <v>2007</v>
      </c>
      <c r="I514" s="429" t="s">
        <v>2008</v>
      </c>
      <c r="J514" s="429" t="s">
        <v>2009</v>
      </c>
      <c r="K514" s="429" t="s">
        <v>2010</v>
      </c>
      <c r="M514" s="429"/>
      <c r="N514" s="429"/>
    </row>
    <row r="515" spans="1:14" ht="68.25" customHeight="1">
      <c r="A515" s="312" t="s">
        <v>2011</v>
      </c>
      <c r="B515" s="356" t="s">
        <v>2012</v>
      </c>
      <c r="C515" s="356" t="s">
        <v>2013</v>
      </c>
      <c r="D515" s="356" t="s">
        <v>2014</v>
      </c>
      <c r="E515" s="356" t="s">
        <v>2015</v>
      </c>
      <c r="F515" s="356" t="s">
        <v>2016</v>
      </c>
      <c r="G515" s="356" t="s">
        <v>2017</v>
      </c>
      <c r="H515" s="356" t="s">
        <v>2018</v>
      </c>
      <c r="I515" s="356" t="s">
        <v>2019</v>
      </c>
      <c r="J515" s="356" t="s">
        <v>2020</v>
      </c>
      <c r="K515" s="356" t="s">
        <v>2021</v>
      </c>
      <c r="M515" s="356"/>
      <c r="N515" s="356"/>
    </row>
    <row r="516" spans="1:14" ht="30" customHeight="1">
      <c r="A516" s="312" t="s">
        <v>35</v>
      </c>
      <c r="B516" s="399" t="s">
        <v>2022</v>
      </c>
      <c r="C516" s="399" t="s">
        <v>2023</v>
      </c>
      <c r="D516" s="399" t="s">
        <v>2024</v>
      </c>
      <c r="E516" s="399" t="s">
        <v>2025</v>
      </c>
      <c r="F516" s="399" t="s">
        <v>2026</v>
      </c>
      <c r="G516" s="399" t="s">
        <v>2027</v>
      </c>
      <c r="H516" s="399" t="s">
        <v>2028</v>
      </c>
      <c r="I516" s="399" t="s">
        <v>2029</v>
      </c>
      <c r="J516" s="399" t="s">
        <v>2030</v>
      </c>
      <c r="K516" s="399" t="s">
        <v>2031</v>
      </c>
      <c r="M516" s="399"/>
      <c r="N516" s="399"/>
    </row>
    <row r="517" spans="1:14" ht="14.6"/>
    <row r="518" spans="1:14" ht="15.9">
      <c r="A518" s="312" t="s">
        <v>1251</v>
      </c>
      <c r="B518" s="479" t="s">
        <v>2032</v>
      </c>
      <c r="C518" s="479" t="s">
        <v>2033</v>
      </c>
      <c r="D518" s="479" t="s">
        <v>2034</v>
      </c>
      <c r="E518" s="479" t="s">
        <v>2035</v>
      </c>
      <c r="F518" s="479" t="s">
        <v>2036</v>
      </c>
      <c r="G518" s="479" t="s">
        <v>2037</v>
      </c>
      <c r="H518" s="479" t="s">
        <v>2038</v>
      </c>
      <c r="I518" s="479" t="s">
        <v>2039</v>
      </c>
      <c r="J518" s="479" t="s">
        <v>2040</v>
      </c>
      <c r="K518" s="479" t="s">
        <v>2041</v>
      </c>
    </row>
    <row r="519" spans="1:14" ht="15.9">
      <c r="A519" s="312" t="s">
        <v>1261</v>
      </c>
      <c r="B519" s="315" t="s">
        <v>1221</v>
      </c>
      <c r="C519" s="319" t="s">
        <v>1225</v>
      </c>
      <c r="D519" s="321" t="s">
        <v>1227</v>
      </c>
      <c r="E519" s="323" t="s">
        <v>1229</v>
      </c>
      <c r="F519" s="341" t="s">
        <v>1231</v>
      </c>
      <c r="G519" s="327" t="s">
        <v>1233</v>
      </c>
      <c r="H519" s="328" t="s">
        <v>1235</v>
      </c>
      <c r="I519" s="329" t="s">
        <v>1237</v>
      </c>
      <c r="J519" s="330" t="s">
        <v>1239</v>
      </c>
      <c r="K519" s="332" t="s">
        <v>1241</v>
      </c>
    </row>
    <row r="520" spans="1:14" ht="15.9">
      <c r="A520" s="312" t="s">
        <v>1262</v>
      </c>
      <c r="B520" s="312" t="s">
        <v>1232</v>
      </c>
      <c r="C520" s="312" t="s">
        <v>1232</v>
      </c>
      <c r="D520" s="312" t="s">
        <v>1228</v>
      </c>
      <c r="E520" s="312" t="s">
        <v>1228</v>
      </c>
      <c r="F520" s="312" t="s">
        <v>1226</v>
      </c>
      <c r="G520" s="312" t="s">
        <v>1224</v>
      </c>
      <c r="H520" s="312" t="s">
        <v>1222</v>
      </c>
      <c r="I520" s="312" t="s">
        <v>1230</v>
      </c>
      <c r="J520" s="312" t="s">
        <v>1232</v>
      </c>
      <c r="K520" s="312" t="s">
        <v>1228</v>
      </c>
    </row>
    <row r="521" spans="1:14" ht="31.75">
      <c r="A521" s="346" t="s">
        <v>491</v>
      </c>
      <c r="B521" s="348" t="s">
        <v>1672</v>
      </c>
      <c r="C521" s="348" t="s">
        <v>2042</v>
      </c>
      <c r="D521" s="348" t="s">
        <v>2043</v>
      </c>
      <c r="E521" s="348" t="s">
        <v>1954</v>
      </c>
      <c r="F521" s="348" t="s">
        <v>1954</v>
      </c>
      <c r="G521" s="348" t="s">
        <v>1954</v>
      </c>
      <c r="H521" s="348" t="s">
        <v>1953</v>
      </c>
      <c r="I521" s="348" t="s">
        <v>1672</v>
      </c>
      <c r="J521" s="348" t="s">
        <v>1953</v>
      </c>
      <c r="K521" s="348" t="s">
        <v>1954</v>
      </c>
    </row>
    <row r="522" spans="1:14" ht="15.9">
      <c r="A522" s="350" t="s">
        <v>1264</v>
      </c>
      <c r="B522" s="352" t="s">
        <v>1672</v>
      </c>
      <c r="C522" s="352" t="s">
        <v>1953</v>
      </c>
      <c r="D522" s="352" t="s">
        <v>655</v>
      </c>
      <c r="E522" s="352" t="s">
        <v>1956</v>
      </c>
      <c r="F522" s="352" t="s">
        <v>1953</v>
      </c>
      <c r="G522" s="352" t="s">
        <v>2045</v>
      </c>
      <c r="H522" s="352" t="s">
        <v>1672</v>
      </c>
      <c r="I522" s="352" t="s">
        <v>1551</v>
      </c>
      <c r="J522" s="352" t="s">
        <v>1672</v>
      </c>
      <c r="K522" s="352" t="s">
        <v>655</v>
      </c>
    </row>
    <row r="523" spans="1:14" ht="15.9">
      <c r="A523" s="354" t="s">
        <v>495</v>
      </c>
      <c r="B523" s="360">
        <v>5</v>
      </c>
      <c r="C523" s="360">
        <v>4</v>
      </c>
      <c r="D523" s="356">
        <v>3</v>
      </c>
      <c r="E523" s="360">
        <v>4</v>
      </c>
      <c r="F523" s="360">
        <v>5</v>
      </c>
      <c r="G523" s="360">
        <v>5</v>
      </c>
      <c r="H523" s="360">
        <v>4</v>
      </c>
      <c r="I523" s="360">
        <v>3</v>
      </c>
      <c r="J523" s="360">
        <v>4</v>
      </c>
      <c r="K523" s="360">
        <v>0</v>
      </c>
    </row>
    <row r="524" spans="1:14" ht="15.9">
      <c r="A524" s="358" t="s">
        <v>497</v>
      </c>
      <c r="B524" s="360">
        <v>1</v>
      </c>
      <c r="C524" s="360">
        <v>4</v>
      </c>
      <c r="D524" s="360">
        <v>3</v>
      </c>
      <c r="E524" s="360">
        <v>5</v>
      </c>
      <c r="F524" s="360">
        <v>4</v>
      </c>
      <c r="G524" s="360">
        <v>5</v>
      </c>
      <c r="H524" s="360">
        <v>4</v>
      </c>
      <c r="I524" s="360">
        <v>3</v>
      </c>
      <c r="J524" s="360">
        <v>4</v>
      </c>
      <c r="K524" s="360">
        <v>0</v>
      </c>
    </row>
    <row r="525" spans="1:14" ht="15.9">
      <c r="A525" s="312" t="s">
        <v>1266</v>
      </c>
      <c r="B525" s="363">
        <v>0.1</v>
      </c>
      <c r="C525" s="363">
        <v>-0.2</v>
      </c>
      <c r="D525" s="363">
        <v>0.5</v>
      </c>
      <c r="E525" s="363">
        <v>1</v>
      </c>
      <c r="F525" s="363">
        <v>0.5</v>
      </c>
      <c r="G525" s="363">
        <v>-0.1</v>
      </c>
      <c r="H525" s="363">
        <v>0.3</v>
      </c>
      <c r="I525" s="363">
        <v>-1</v>
      </c>
      <c r="J525" s="363">
        <v>-0.5</v>
      </c>
      <c r="K525" s="363">
        <v>0</v>
      </c>
    </row>
    <row r="526" spans="1:14" ht="15.9">
      <c r="A526" s="312" t="s">
        <v>1267</v>
      </c>
      <c r="B526" s="366">
        <v>0.1</v>
      </c>
      <c r="C526" s="366">
        <v>0</v>
      </c>
      <c r="D526" s="366">
        <v>0</v>
      </c>
      <c r="E526" s="366">
        <v>-0.5</v>
      </c>
      <c r="F526" s="366">
        <v>-0.5</v>
      </c>
      <c r="G526" s="366">
        <v>0.3</v>
      </c>
      <c r="H526" s="366">
        <v>0</v>
      </c>
      <c r="I526" s="366">
        <v>0.3</v>
      </c>
      <c r="J526" s="366">
        <v>0.5</v>
      </c>
      <c r="K526" s="366">
        <v>0</v>
      </c>
    </row>
    <row r="527" spans="1:14" ht="15.9">
      <c r="A527" s="312" t="s">
        <v>1268</v>
      </c>
      <c r="B527" s="369">
        <v>0.1</v>
      </c>
      <c r="C527" s="369">
        <v>0.1</v>
      </c>
      <c r="D527" s="369">
        <v>-0.5</v>
      </c>
      <c r="E527" s="369">
        <v>0</v>
      </c>
      <c r="F527" s="369">
        <v>0.5</v>
      </c>
      <c r="G527" s="369">
        <v>0.1</v>
      </c>
      <c r="H527" s="369">
        <v>0.7</v>
      </c>
      <c r="I527" s="369">
        <v>0.2</v>
      </c>
      <c r="J527" s="369">
        <v>-0.5</v>
      </c>
      <c r="K527" s="369">
        <v>0</v>
      </c>
    </row>
    <row r="528" spans="1:14" ht="15.9">
      <c r="A528" s="312" t="s">
        <v>1269</v>
      </c>
      <c r="B528" s="372">
        <v>0.1</v>
      </c>
      <c r="C528" s="372">
        <v>0.3</v>
      </c>
      <c r="D528" s="372">
        <v>0.5</v>
      </c>
      <c r="E528" s="372">
        <v>0</v>
      </c>
      <c r="F528" s="372">
        <v>-1</v>
      </c>
      <c r="G528" s="372">
        <v>0</v>
      </c>
      <c r="H528" s="372">
        <v>-0.5</v>
      </c>
      <c r="I528" s="372">
        <v>0.2</v>
      </c>
      <c r="J528" s="372">
        <v>0.5</v>
      </c>
      <c r="K528" s="372">
        <v>0</v>
      </c>
    </row>
    <row r="529" spans="1:11" ht="15.9">
      <c r="A529" s="465" t="s">
        <v>1270</v>
      </c>
      <c r="B529" s="376">
        <v>0.1</v>
      </c>
      <c r="C529" s="376">
        <v>0.5</v>
      </c>
      <c r="D529" s="376">
        <v>-0.5</v>
      </c>
      <c r="E529" s="376">
        <v>0</v>
      </c>
      <c r="F529" s="376">
        <v>0.5</v>
      </c>
      <c r="G529" s="376">
        <v>0</v>
      </c>
      <c r="H529" s="376">
        <v>0</v>
      </c>
      <c r="I529" s="376">
        <v>0.2</v>
      </c>
      <c r="J529" s="376">
        <v>0</v>
      </c>
      <c r="K529" s="376">
        <v>0</v>
      </c>
    </row>
    <row r="530" spans="1:11" ht="15.9">
      <c r="A530" s="312" t="s">
        <v>1271</v>
      </c>
      <c r="B530" s="379">
        <v>0.1</v>
      </c>
      <c r="C530" s="379">
        <v>0.4</v>
      </c>
      <c r="D530" s="379">
        <v>-0.5</v>
      </c>
      <c r="E530" s="379">
        <v>0</v>
      </c>
      <c r="F530" s="379">
        <v>0.5</v>
      </c>
      <c r="G530" s="379">
        <v>-0.3</v>
      </c>
      <c r="H530" s="379">
        <v>0.1</v>
      </c>
      <c r="I530" s="379">
        <v>-0.8</v>
      </c>
      <c r="J530" s="379">
        <v>0</v>
      </c>
      <c r="K530" s="379">
        <v>0</v>
      </c>
    </row>
    <row r="531" spans="1:11" ht="15.9">
      <c r="A531" s="312" t="s">
        <v>1272</v>
      </c>
      <c r="B531" s="382">
        <v>0.1</v>
      </c>
      <c r="C531" s="382">
        <v>-0.3</v>
      </c>
      <c r="D531" s="382">
        <v>-0.5</v>
      </c>
      <c r="E531" s="382">
        <v>0</v>
      </c>
      <c r="F531" s="382">
        <v>-1</v>
      </c>
      <c r="G531" s="382">
        <v>-0.5</v>
      </c>
      <c r="H531" s="382">
        <v>-0.2</v>
      </c>
      <c r="I531" s="382">
        <v>-0.4</v>
      </c>
      <c r="J531" s="382">
        <v>0</v>
      </c>
      <c r="K531" s="382">
        <v>0</v>
      </c>
    </row>
    <row r="532" spans="1:11" ht="15.9">
      <c r="A532" s="312" t="s">
        <v>1273</v>
      </c>
      <c r="B532" s="385">
        <v>0.1</v>
      </c>
      <c r="C532" s="385">
        <v>-0.2</v>
      </c>
      <c r="D532" s="385">
        <v>0</v>
      </c>
      <c r="E532" s="385">
        <v>0</v>
      </c>
      <c r="F532" s="385">
        <v>-0.5</v>
      </c>
      <c r="G532" s="385">
        <v>0.7</v>
      </c>
      <c r="H532" s="385">
        <v>0.2</v>
      </c>
      <c r="I532" s="385">
        <v>0.6</v>
      </c>
      <c r="J532" s="385">
        <v>0.5</v>
      </c>
      <c r="K532" s="385">
        <v>1</v>
      </c>
    </row>
    <row r="533" spans="1:11" ht="15.9">
      <c r="A533" s="312" t="s">
        <v>1274</v>
      </c>
      <c r="B533" s="388">
        <v>0.1</v>
      </c>
      <c r="C533" s="388">
        <v>0.5</v>
      </c>
      <c r="D533" s="388">
        <v>0</v>
      </c>
      <c r="E533" s="388">
        <v>0</v>
      </c>
      <c r="F533" s="388">
        <v>-0.5</v>
      </c>
      <c r="G533" s="388">
        <v>0.5</v>
      </c>
      <c r="H533" s="388">
        <v>0.1</v>
      </c>
      <c r="I533" s="388">
        <v>1</v>
      </c>
      <c r="J533" s="388">
        <v>0.5</v>
      </c>
      <c r="K533" s="388">
        <v>1</v>
      </c>
    </row>
    <row r="534" spans="1:11" ht="15.9">
      <c r="A534" s="312" t="s">
        <v>519</v>
      </c>
      <c r="B534" s="356">
        <v>10</v>
      </c>
      <c r="C534" s="356">
        <v>2</v>
      </c>
      <c r="D534" s="356">
        <v>1</v>
      </c>
      <c r="E534" s="356">
        <v>5</v>
      </c>
      <c r="F534" s="356">
        <v>0</v>
      </c>
      <c r="G534" s="356">
        <v>0</v>
      </c>
      <c r="H534" s="356">
        <v>2</v>
      </c>
      <c r="I534" s="356">
        <v>5</v>
      </c>
      <c r="J534" s="356">
        <v>5</v>
      </c>
      <c r="K534" s="356">
        <v>5</v>
      </c>
    </row>
    <row r="535" spans="1:11" ht="15.9">
      <c r="A535" s="312" t="s">
        <v>521</v>
      </c>
      <c r="B535" s="356">
        <v>2</v>
      </c>
      <c r="C535" s="356">
        <v>6</v>
      </c>
      <c r="D535" s="356">
        <v>1</v>
      </c>
      <c r="E535" s="356">
        <v>5</v>
      </c>
      <c r="F535" s="356">
        <v>0</v>
      </c>
      <c r="G535" s="356">
        <v>0</v>
      </c>
      <c r="H535" s="356">
        <v>2</v>
      </c>
      <c r="I535" s="356">
        <v>1</v>
      </c>
      <c r="J535" s="356">
        <v>1</v>
      </c>
      <c r="K535" s="356">
        <v>1</v>
      </c>
    </row>
    <row r="536" spans="1:11" ht="15.9">
      <c r="A536" s="312" t="s">
        <v>522</v>
      </c>
      <c r="B536" s="392">
        <v>2</v>
      </c>
      <c r="C536" s="392">
        <v>4</v>
      </c>
      <c r="D536" s="392">
        <v>1</v>
      </c>
      <c r="E536" s="392">
        <v>5</v>
      </c>
      <c r="F536" s="392">
        <v>5</v>
      </c>
      <c r="G536" s="392">
        <v>5</v>
      </c>
      <c r="H536" s="392">
        <v>5</v>
      </c>
      <c r="I536" s="392">
        <v>4</v>
      </c>
      <c r="J536" s="392">
        <v>4</v>
      </c>
      <c r="K536" s="392">
        <v>4</v>
      </c>
    </row>
    <row r="537" spans="1:11" ht="15.9">
      <c r="A537" s="312" t="s">
        <v>13</v>
      </c>
      <c r="B537" s="402" t="s">
        <v>2046</v>
      </c>
      <c r="C537" s="402" t="s">
        <v>2047</v>
      </c>
      <c r="D537" s="480" t="s">
        <v>2048</v>
      </c>
      <c r="E537" s="402" t="s">
        <v>2049</v>
      </c>
      <c r="F537" s="402" t="s">
        <v>2050</v>
      </c>
      <c r="G537" s="402" t="s">
        <v>2051</v>
      </c>
      <c r="H537" s="402" t="s">
        <v>2052</v>
      </c>
      <c r="I537" s="402" t="s">
        <v>1961</v>
      </c>
      <c r="J537" s="402" t="s">
        <v>2053</v>
      </c>
      <c r="K537" s="402" t="s">
        <v>2054</v>
      </c>
    </row>
    <row r="538" spans="1:11" ht="15.9">
      <c r="A538" s="394" t="s">
        <v>533</v>
      </c>
      <c r="B538" s="396">
        <v>3</v>
      </c>
      <c r="C538" s="396">
        <v>3</v>
      </c>
      <c r="D538" s="396" t="s">
        <v>1276</v>
      </c>
      <c r="E538" s="396">
        <v>3</v>
      </c>
      <c r="F538" s="396">
        <v>3</v>
      </c>
      <c r="G538" s="396">
        <v>3</v>
      </c>
      <c r="H538" s="396">
        <v>3</v>
      </c>
      <c r="I538" s="396">
        <v>3</v>
      </c>
      <c r="J538" s="396" t="s">
        <v>1276</v>
      </c>
      <c r="K538" s="396" t="s">
        <v>2055</v>
      </c>
    </row>
    <row r="539" spans="1:11" ht="15.9">
      <c r="A539" s="312" t="s">
        <v>1278</v>
      </c>
      <c r="B539" s="366">
        <v>0</v>
      </c>
      <c r="C539" s="366">
        <v>0</v>
      </c>
      <c r="D539" s="366" t="s">
        <v>2056</v>
      </c>
      <c r="E539" s="481">
        <v>0.2</v>
      </c>
      <c r="F539" s="366">
        <v>0</v>
      </c>
      <c r="G539" s="366">
        <v>0</v>
      </c>
      <c r="H539" s="366">
        <v>0</v>
      </c>
      <c r="I539" s="366">
        <v>0</v>
      </c>
      <c r="J539" s="366">
        <v>0</v>
      </c>
      <c r="K539" s="366">
        <v>0</v>
      </c>
    </row>
    <row r="540" spans="1:11" ht="15.9">
      <c r="A540" s="312" t="s">
        <v>1282</v>
      </c>
      <c r="B540" s="402">
        <v>800</v>
      </c>
      <c r="C540" s="402">
        <v>800</v>
      </c>
      <c r="D540" s="402">
        <v>800</v>
      </c>
      <c r="E540" s="402">
        <v>800</v>
      </c>
      <c r="F540" s="402">
        <v>800</v>
      </c>
      <c r="G540" s="402">
        <v>800</v>
      </c>
      <c r="H540" s="402">
        <v>800</v>
      </c>
      <c r="I540" s="402">
        <v>800</v>
      </c>
      <c r="J540" s="402">
        <v>800</v>
      </c>
      <c r="K540" s="402">
        <v>800</v>
      </c>
    </row>
    <row r="541" spans="1:11" ht="15.9">
      <c r="A541" s="312" t="s">
        <v>542</v>
      </c>
      <c r="B541" s="402">
        <v>6</v>
      </c>
      <c r="C541" s="402">
        <v>6</v>
      </c>
      <c r="D541" s="402">
        <v>6</v>
      </c>
      <c r="E541" s="402">
        <v>6</v>
      </c>
      <c r="F541" s="402">
        <v>6</v>
      </c>
      <c r="G541" s="402">
        <v>6</v>
      </c>
      <c r="H541" s="402">
        <v>6</v>
      </c>
      <c r="I541" s="402">
        <v>6</v>
      </c>
      <c r="J541" s="402">
        <v>6</v>
      </c>
      <c r="K541" s="402">
        <v>6</v>
      </c>
    </row>
    <row r="542" spans="1:11" ht="65.25" customHeight="1">
      <c r="A542" s="312" t="s">
        <v>1283</v>
      </c>
      <c r="B542" s="429" t="s">
        <v>2057</v>
      </c>
      <c r="C542" s="429" t="s">
        <v>2058</v>
      </c>
      <c r="D542" s="429" t="s">
        <v>2059</v>
      </c>
      <c r="E542" s="310" t="s">
        <v>2060</v>
      </c>
      <c r="F542" s="429" t="s">
        <v>2061</v>
      </c>
      <c r="G542" s="429" t="s">
        <v>2062</v>
      </c>
      <c r="H542" s="429" t="s">
        <v>2063</v>
      </c>
      <c r="I542" s="429" t="s">
        <v>2064</v>
      </c>
      <c r="J542" s="429" t="s">
        <v>2065</v>
      </c>
      <c r="K542" s="429" t="s">
        <v>2066</v>
      </c>
    </row>
    <row r="543" spans="1:11" ht="65.25" customHeight="1">
      <c r="A543" s="312" t="s">
        <v>1294</v>
      </c>
      <c r="B543" s="429" t="s">
        <v>2067</v>
      </c>
      <c r="C543" s="429" t="s">
        <v>2068</v>
      </c>
      <c r="D543" s="466" t="s">
        <v>2069</v>
      </c>
      <c r="E543" s="429" t="s">
        <v>2070</v>
      </c>
      <c r="F543" s="429" t="s">
        <v>2071</v>
      </c>
      <c r="G543" s="429" t="s">
        <v>2072</v>
      </c>
      <c r="H543" s="429" t="s">
        <v>2073</v>
      </c>
      <c r="I543" s="429" t="s">
        <v>2074</v>
      </c>
      <c r="J543" s="429" t="s">
        <v>2075</v>
      </c>
      <c r="K543" s="429" t="s">
        <v>2076</v>
      </c>
    </row>
    <row r="544" spans="1:11" ht="65.25" customHeight="1">
      <c r="A544" s="312" t="s">
        <v>1989</v>
      </c>
      <c r="B544" s="429" t="s">
        <v>2077</v>
      </c>
      <c r="C544" s="429" t="s">
        <v>2078</v>
      </c>
      <c r="D544" s="429" t="s">
        <v>2079</v>
      </c>
      <c r="E544" s="429" t="s">
        <v>2080</v>
      </c>
      <c r="F544" s="429" t="s">
        <v>2081</v>
      </c>
      <c r="G544" s="429" t="s">
        <v>2082</v>
      </c>
      <c r="H544" s="429" t="s">
        <v>2083</v>
      </c>
      <c r="I544" s="429" t="s">
        <v>2084</v>
      </c>
      <c r="J544" s="429" t="s">
        <v>2085</v>
      </c>
      <c r="K544" s="429" t="s">
        <v>655</v>
      </c>
    </row>
    <row r="545" spans="1:14" ht="65.25" customHeight="1">
      <c r="A545" s="312" t="s">
        <v>2000</v>
      </c>
      <c r="B545" s="429" t="s">
        <v>2086</v>
      </c>
      <c r="C545" s="429" t="s">
        <v>2087</v>
      </c>
      <c r="D545" s="429" t="s">
        <v>2088</v>
      </c>
      <c r="E545" s="429" t="s">
        <v>2089</v>
      </c>
      <c r="F545" s="429" t="s">
        <v>2090</v>
      </c>
      <c r="G545" s="429" t="s">
        <v>2091</v>
      </c>
      <c r="H545" s="429" t="s">
        <v>2092</v>
      </c>
      <c r="I545" s="429" t="s">
        <v>2093</v>
      </c>
      <c r="J545" s="429" t="s">
        <v>2094</v>
      </c>
      <c r="K545" s="429" t="s">
        <v>2095</v>
      </c>
    </row>
    <row r="546" spans="1:14" ht="65.25" customHeight="1">
      <c r="A546" s="312" t="s">
        <v>2011</v>
      </c>
      <c r="B546" s="356" t="s">
        <v>2096</v>
      </c>
      <c r="C546" s="356" t="s">
        <v>2097</v>
      </c>
      <c r="D546" s="429"/>
      <c r="E546" s="429" t="s">
        <v>2098</v>
      </c>
      <c r="F546" s="356" t="s">
        <v>2099</v>
      </c>
      <c r="G546" s="356" t="s">
        <v>2100</v>
      </c>
      <c r="H546" s="356" t="s">
        <v>2101</v>
      </c>
      <c r="I546" s="356" t="s">
        <v>2102</v>
      </c>
      <c r="J546" s="356" t="s">
        <v>2103</v>
      </c>
      <c r="K546" s="356" t="s">
        <v>2104</v>
      </c>
    </row>
    <row r="547" spans="1:14" ht="65.25" customHeight="1">
      <c r="A547" s="312" t="s">
        <v>35</v>
      </c>
      <c r="B547" s="399" t="s">
        <v>2105</v>
      </c>
      <c r="C547" s="399" t="s">
        <v>2106</v>
      </c>
      <c r="D547" s="399" t="s">
        <v>2107</v>
      </c>
      <c r="E547" s="399" t="s">
        <v>2108</v>
      </c>
      <c r="F547" s="399" t="s">
        <v>2109</v>
      </c>
      <c r="G547" s="399" t="s">
        <v>2110</v>
      </c>
      <c r="H547" s="399" t="s">
        <v>2111</v>
      </c>
      <c r="I547" s="399" t="s">
        <v>2112</v>
      </c>
      <c r="J547" s="399" t="s">
        <v>2113</v>
      </c>
      <c r="K547" s="399" t="s">
        <v>2114</v>
      </c>
    </row>
    <row r="548" spans="1:14" ht="14.6"/>
    <row r="549" spans="1:14" ht="15.9">
      <c r="A549" s="312" t="s">
        <v>1251</v>
      </c>
      <c r="B549" s="434" t="s">
        <v>2115</v>
      </c>
      <c r="C549" s="434" t="s">
        <v>2116</v>
      </c>
      <c r="D549" s="434" t="s">
        <v>2117</v>
      </c>
      <c r="E549" s="434" t="s">
        <v>2118</v>
      </c>
      <c r="F549" s="434" t="s">
        <v>2119</v>
      </c>
      <c r="G549" s="434" t="s">
        <v>2120</v>
      </c>
      <c r="H549" s="434" t="s">
        <v>2121</v>
      </c>
      <c r="I549" s="434" t="s">
        <v>2122</v>
      </c>
      <c r="J549" s="434" t="s">
        <v>2123</v>
      </c>
      <c r="K549" s="434" t="s">
        <v>2124</v>
      </c>
      <c r="M549" s="434" t="s">
        <v>2125</v>
      </c>
      <c r="N549" s="434" t="s">
        <v>2125</v>
      </c>
    </row>
    <row r="550" spans="1:14" ht="15.9">
      <c r="A550" s="312" t="s">
        <v>1261</v>
      </c>
      <c r="B550" s="315" t="s">
        <v>1221</v>
      </c>
      <c r="C550" s="319" t="s">
        <v>1225</v>
      </c>
      <c r="D550" s="321" t="s">
        <v>1227</v>
      </c>
      <c r="E550" s="323" t="s">
        <v>1229</v>
      </c>
      <c r="F550" s="341" t="s">
        <v>1231</v>
      </c>
      <c r="G550" s="327" t="s">
        <v>1233</v>
      </c>
      <c r="H550" s="328" t="s">
        <v>1235</v>
      </c>
      <c r="I550" s="329" t="s">
        <v>1237</v>
      </c>
      <c r="J550" s="330" t="s">
        <v>1239</v>
      </c>
      <c r="K550" s="332" t="s">
        <v>1241</v>
      </c>
      <c r="M550" s="317" t="s">
        <v>1223</v>
      </c>
      <c r="N550" s="333" t="s">
        <v>1242</v>
      </c>
    </row>
    <row r="551" spans="1:14" ht="15.9">
      <c r="A551" s="312" t="s">
        <v>1262</v>
      </c>
      <c r="B551" s="312" t="s">
        <v>1232</v>
      </c>
      <c r="C551" s="312" t="s">
        <v>1232</v>
      </c>
      <c r="D551" s="312" t="s">
        <v>1232</v>
      </c>
      <c r="E551" s="312" t="s">
        <v>1232</v>
      </c>
      <c r="F551" s="312" t="s">
        <v>1232</v>
      </c>
      <c r="G551" s="312" t="s">
        <v>1232</v>
      </c>
      <c r="H551" s="312" t="s">
        <v>1232</v>
      </c>
      <c r="I551" s="312" t="s">
        <v>1232</v>
      </c>
      <c r="J551" s="312" t="s">
        <v>1232</v>
      </c>
      <c r="K551" s="312" t="s">
        <v>1232</v>
      </c>
    </row>
    <row r="552" spans="1:14" ht="15.9">
      <c r="A552" s="346" t="s">
        <v>491</v>
      </c>
      <c r="B552" s="348" t="s">
        <v>2126</v>
      </c>
      <c r="C552" s="348" t="s">
        <v>2127</v>
      </c>
      <c r="D552" s="348" t="s">
        <v>2127</v>
      </c>
      <c r="E552" s="348" t="s">
        <v>1954</v>
      </c>
      <c r="F552" s="348" t="s">
        <v>2126</v>
      </c>
      <c r="G552" s="348" t="s">
        <v>2126</v>
      </c>
      <c r="H552" s="348" t="s">
        <v>1954</v>
      </c>
      <c r="I552" s="348" t="s">
        <v>2042</v>
      </c>
      <c r="J552" s="348" t="s">
        <v>2128</v>
      </c>
      <c r="K552" s="348" t="s">
        <v>1953</v>
      </c>
    </row>
    <row r="553" spans="1:14" ht="15.9">
      <c r="A553" s="350" t="s">
        <v>1264</v>
      </c>
      <c r="B553" s="352" t="s">
        <v>1672</v>
      </c>
      <c r="C553" s="352" t="s">
        <v>1551</v>
      </c>
      <c r="D553" s="352" t="s">
        <v>1624</v>
      </c>
      <c r="E553" s="352" t="s">
        <v>1953</v>
      </c>
      <c r="F553" s="352" t="s">
        <v>1624</v>
      </c>
      <c r="G553" s="352" t="s">
        <v>1672</v>
      </c>
      <c r="H553" s="352" t="s">
        <v>1953</v>
      </c>
      <c r="I553" s="352" t="s">
        <v>1672</v>
      </c>
      <c r="J553" s="352" t="s">
        <v>1551</v>
      </c>
      <c r="K553" s="352" t="s">
        <v>1672</v>
      </c>
    </row>
    <row r="554" spans="1:14" ht="15.9">
      <c r="A554" s="354" t="s">
        <v>495</v>
      </c>
      <c r="B554" s="360">
        <v>6</v>
      </c>
      <c r="C554" s="360">
        <v>3</v>
      </c>
      <c r="D554" s="360">
        <v>8</v>
      </c>
      <c r="E554" s="360">
        <v>0</v>
      </c>
      <c r="F554" s="360">
        <v>6</v>
      </c>
      <c r="G554" s="360">
        <v>6</v>
      </c>
      <c r="H554" s="360">
        <v>6</v>
      </c>
      <c r="I554" s="360">
        <v>4</v>
      </c>
      <c r="J554" s="360">
        <v>8</v>
      </c>
      <c r="K554" s="360">
        <v>6</v>
      </c>
    </row>
    <row r="555" spans="1:14" ht="15.9">
      <c r="A555" s="358" t="s">
        <v>497</v>
      </c>
      <c r="B555" s="360">
        <v>6</v>
      </c>
      <c r="C555" s="360">
        <v>3</v>
      </c>
      <c r="D555" s="360">
        <v>8</v>
      </c>
      <c r="E555" s="360">
        <v>8</v>
      </c>
      <c r="F555" s="360">
        <v>6</v>
      </c>
      <c r="G555" s="360">
        <v>6</v>
      </c>
      <c r="H555" s="360">
        <v>6</v>
      </c>
      <c r="I555" s="360">
        <v>4</v>
      </c>
      <c r="J555" s="360">
        <v>8</v>
      </c>
      <c r="K555" s="360">
        <v>6</v>
      </c>
    </row>
    <row r="556" spans="1:14" ht="15.9">
      <c r="A556" s="312" t="s">
        <v>1266</v>
      </c>
      <c r="B556" s="363">
        <v>0.1</v>
      </c>
      <c r="C556" s="363">
        <v>0.1</v>
      </c>
      <c r="D556" s="363">
        <v>0.2</v>
      </c>
      <c r="E556" s="363">
        <v>0.1</v>
      </c>
      <c r="F556" s="363">
        <v>0.3</v>
      </c>
      <c r="G556" s="363">
        <v>0.1</v>
      </c>
      <c r="H556" s="363">
        <v>0.1</v>
      </c>
      <c r="I556" s="363">
        <v>0.1</v>
      </c>
      <c r="J556" s="363">
        <v>0</v>
      </c>
      <c r="K556" s="363">
        <v>0.5</v>
      </c>
    </row>
    <row r="557" spans="1:14" ht="15.9">
      <c r="A557" s="312" t="s">
        <v>1267</v>
      </c>
      <c r="B557" s="366">
        <v>0.1</v>
      </c>
      <c r="C557" s="366">
        <v>0.1</v>
      </c>
      <c r="D557" s="366">
        <v>0.2</v>
      </c>
      <c r="E557" s="366">
        <v>0.1</v>
      </c>
      <c r="F557" s="366">
        <v>0.3</v>
      </c>
      <c r="G557" s="366">
        <v>0.1</v>
      </c>
      <c r="H557" s="366">
        <v>0.1</v>
      </c>
      <c r="I557" s="366">
        <v>0.1</v>
      </c>
      <c r="J557" s="366">
        <v>0.6</v>
      </c>
      <c r="K557" s="366">
        <v>0.1</v>
      </c>
    </row>
    <row r="558" spans="1:14" ht="15.9">
      <c r="A558" s="312" t="s">
        <v>1268</v>
      </c>
      <c r="B558" s="369">
        <v>0.3</v>
      </c>
      <c r="C558" s="369">
        <v>0.1</v>
      </c>
      <c r="D558" s="369">
        <v>0.2</v>
      </c>
      <c r="E558" s="369">
        <v>0.1</v>
      </c>
      <c r="F558" s="369">
        <v>0.3</v>
      </c>
      <c r="G558" s="369">
        <v>0.1</v>
      </c>
      <c r="H558" s="369">
        <v>0.8</v>
      </c>
      <c r="I558" s="369">
        <v>0.1</v>
      </c>
      <c r="J558" s="369">
        <v>0.3</v>
      </c>
      <c r="K558" s="369">
        <v>0.1</v>
      </c>
    </row>
    <row r="559" spans="1:14" ht="15.9">
      <c r="A559" s="312" t="s">
        <v>1269</v>
      </c>
      <c r="B559" s="372">
        <v>0.1</v>
      </c>
      <c r="C559" s="372">
        <v>0.1</v>
      </c>
      <c r="D559" s="372">
        <v>0.4</v>
      </c>
      <c r="E559" s="372">
        <v>0.1</v>
      </c>
      <c r="F559" s="372">
        <v>0.3</v>
      </c>
      <c r="G559" s="372">
        <v>0.1</v>
      </c>
      <c r="H559" s="372">
        <v>0.1</v>
      </c>
      <c r="I559" s="372">
        <v>0.1</v>
      </c>
      <c r="J559" s="372">
        <v>0.3</v>
      </c>
      <c r="K559" s="372">
        <v>0.1</v>
      </c>
    </row>
    <row r="560" spans="1:14" ht="15.9">
      <c r="A560" s="465" t="s">
        <v>1270</v>
      </c>
      <c r="B560" s="376">
        <v>0.1</v>
      </c>
      <c r="C560" s="376">
        <v>0.1</v>
      </c>
      <c r="D560" s="376">
        <v>0.2</v>
      </c>
      <c r="E560" s="376">
        <v>0.1</v>
      </c>
      <c r="F560" s="376">
        <v>0.3</v>
      </c>
      <c r="G560" s="376">
        <v>0.1</v>
      </c>
      <c r="H560" s="376">
        <v>0.1</v>
      </c>
      <c r="I560" s="376">
        <v>0.1</v>
      </c>
      <c r="J560" s="376">
        <v>0.3</v>
      </c>
      <c r="K560" s="376">
        <v>0.1</v>
      </c>
    </row>
    <row r="561" spans="1:11" ht="15.9">
      <c r="A561" s="312" t="s">
        <v>1271</v>
      </c>
      <c r="B561" s="379">
        <v>0.1</v>
      </c>
      <c r="C561" s="379">
        <v>0.1</v>
      </c>
      <c r="D561" s="379">
        <v>0.2</v>
      </c>
      <c r="E561" s="379">
        <v>0.1</v>
      </c>
      <c r="F561" s="379">
        <v>0.3</v>
      </c>
      <c r="G561" s="379">
        <v>0.1</v>
      </c>
      <c r="H561" s="379">
        <v>0.1</v>
      </c>
      <c r="I561" s="379">
        <v>0.5</v>
      </c>
      <c r="J561" s="379">
        <v>0.3</v>
      </c>
      <c r="K561" s="379">
        <v>0.1</v>
      </c>
    </row>
    <row r="562" spans="1:11" ht="15.9">
      <c r="A562" s="312" t="s">
        <v>1272</v>
      </c>
      <c r="B562" s="382">
        <v>0.1</v>
      </c>
      <c r="C562" s="382">
        <v>0.1</v>
      </c>
      <c r="D562" s="382">
        <v>0.2</v>
      </c>
      <c r="E562" s="382">
        <v>0.7</v>
      </c>
      <c r="F562" s="382">
        <v>0.3</v>
      </c>
      <c r="G562" s="382">
        <v>0.1</v>
      </c>
      <c r="H562" s="382">
        <v>0.1</v>
      </c>
      <c r="I562" s="382">
        <v>0.1</v>
      </c>
      <c r="J562" s="382">
        <v>0.3</v>
      </c>
      <c r="K562" s="382">
        <v>0.1</v>
      </c>
    </row>
    <row r="563" spans="1:11" ht="15.9">
      <c r="A563" s="312" t="s">
        <v>1273</v>
      </c>
      <c r="B563" s="385">
        <v>0.3</v>
      </c>
      <c r="C563" s="385">
        <v>0.1</v>
      </c>
      <c r="D563" s="385">
        <v>0.4</v>
      </c>
      <c r="E563" s="385">
        <v>0.2</v>
      </c>
      <c r="F563" s="385">
        <v>0.3</v>
      </c>
      <c r="G563" s="385">
        <v>0.8</v>
      </c>
      <c r="H563" s="385">
        <v>0.1</v>
      </c>
      <c r="I563" s="385">
        <v>0.1</v>
      </c>
      <c r="J563" s="385">
        <v>0.3</v>
      </c>
      <c r="K563" s="385">
        <v>0.1</v>
      </c>
    </row>
    <row r="564" spans="1:11" ht="15.9">
      <c r="A564" s="312" t="s">
        <v>1274</v>
      </c>
      <c r="B564" s="388">
        <v>0.3</v>
      </c>
      <c r="C564" s="388">
        <v>0.7</v>
      </c>
      <c r="D564" s="388">
        <v>0</v>
      </c>
      <c r="E564" s="388">
        <v>0.2</v>
      </c>
      <c r="F564" s="388">
        <v>0.3</v>
      </c>
      <c r="G564" s="388">
        <v>0</v>
      </c>
      <c r="H564" s="388">
        <v>0.1</v>
      </c>
      <c r="I564" s="388">
        <v>0.1</v>
      </c>
      <c r="J564" s="388">
        <v>0.3</v>
      </c>
      <c r="K564" s="388">
        <v>0.1</v>
      </c>
    </row>
    <row r="565" spans="1:11" ht="15.9">
      <c r="A565" s="312" t="s">
        <v>519</v>
      </c>
      <c r="B565" s="356">
        <v>10</v>
      </c>
      <c r="C565" s="356">
        <v>5</v>
      </c>
      <c r="D565" s="356">
        <v>7</v>
      </c>
      <c r="E565" s="356">
        <v>5</v>
      </c>
      <c r="F565" s="356">
        <v>10</v>
      </c>
      <c r="G565" s="356">
        <v>5</v>
      </c>
      <c r="H565" s="356">
        <v>8</v>
      </c>
      <c r="I565" s="356">
        <v>10</v>
      </c>
      <c r="J565" s="356">
        <v>10</v>
      </c>
      <c r="K565" s="356">
        <v>5</v>
      </c>
    </row>
    <row r="566" spans="1:11" ht="15.9">
      <c r="A566" s="312" t="s">
        <v>521</v>
      </c>
      <c r="B566" s="356">
        <v>5</v>
      </c>
      <c r="C566" s="356">
        <v>10</v>
      </c>
      <c r="D566" s="356">
        <v>7</v>
      </c>
      <c r="E566" s="356">
        <v>5</v>
      </c>
      <c r="F566" s="356">
        <v>5</v>
      </c>
      <c r="G566" s="356">
        <v>10</v>
      </c>
      <c r="H566" s="356">
        <v>2</v>
      </c>
      <c r="I566" s="356">
        <v>5</v>
      </c>
      <c r="J566" s="356">
        <v>5</v>
      </c>
      <c r="K566" s="356">
        <v>10</v>
      </c>
    </row>
    <row r="567" spans="1:11" ht="15.9">
      <c r="A567" s="312" t="s">
        <v>522</v>
      </c>
      <c r="B567" s="392">
        <v>5</v>
      </c>
      <c r="C567" s="392">
        <v>5</v>
      </c>
      <c r="D567" s="392">
        <v>7</v>
      </c>
      <c r="E567" s="392">
        <v>10</v>
      </c>
      <c r="F567" s="392">
        <v>5</v>
      </c>
      <c r="G567" s="392">
        <v>5</v>
      </c>
      <c r="H567" s="392">
        <v>8</v>
      </c>
      <c r="I567" s="392">
        <v>5</v>
      </c>
      <c r="J567" s="392">
        <v>5</v>
      </c>
      <c r="K567" s="392">
        <v>5</v>
      </c>
    </row>
    <row r="568" spans="1:11" ht="15.9">
      <c r="A568" s="312" t="s">
        <v>13</v>
      </c>
      <c r="B568" s="402" t="s">
        <v>2129</v>
      </c>
      <c r="C568" s="402" t="s">
        <v>2129</v>
      </c>
      <c r="D568" s="402" t="s">
        <v>2129</v>
      </c>
      <c r="E568" s="402" t="s">
        <v>2130</v>
      </c>
      <c r="F568" s="402" t="s">
        <v>2129</v>
      </c>
      <c r="G568" s="402" t="s">
        <v>2129</v>
      </c>
      <c r="H568" s="402" t="s">
        <v>2129</v>
      </c>
      <c r="I568" s="402" t="s">
        <v>2131</v>
      </c>
      <c r="J568" s="402" t="s">
        <v>2129</v>
      </c>
      <c r="K568" s="402" t="s">
        <v>2132</v>
      </c>
    </row>
    <row r="569" spans="1:11" ht="15.9">
      <c r="A569" s="394" t="s">
        <v>533</v>
      </c>
      <c r="B569" s="396">
        <v>3</v>
      </c>
      <c r="C569" s="396">
        <v>3</v>
      </c>
      <c r="D569" s="396">
        <v>3</v>
      </c>
      <c r="E569" s="396">
        <v>3</v>
      </c>
      <c r="F569" s="396">
        <v>3</v>
      </c>
      <c r="G569" s="396">
        <v>3</v>
      </c>
      <c r="H569" s="396">
        <v>3</v>
      </c>
      <c r="I569" s="396">
        <v>3</v>
      </c>
      <c r="J569" s="396">
        <v>3</v>
      </c>
      <c r="K569" s="396">
        <v>3</v>
      </c>
    </row>
    <row r="570" spans="1:11" ht="15.9">
      <c r="A570" s="312" t="s">
        <v>529</v>
      </c>
      <c r="B570" s="366">
        <v>0</v>
      </c>
      <c r="C570" s="366">
        <v>0</v>
      </c>
      <c r="D570" s="366">
        <v>0</v>
      </c>
      <c r="E570" s="366">
        <v>0.2</v>
      </c>
      <c r="F570" s="366">
        <v>0</v>
      </c>
      <c r="G570" s="366">
        <v>0</v>
      </c>
      <c r="H570" s="366">
        <v>0</v>
      </c>
      <c r="I570" s="366">
        <v>0</v>
      </c>
      <c r="J570" s="366">
        <v>0</v>
      </c>
      <c r="K570" s="366">
        <v>0</v>
      </c>
    </row>
    <row r="571" spans="1:11" ht="15.9">
      <c r="A571" s="312" t="s">
        <v>1282</v>
      </c>
      <c r="B571" s="402">
        <v>1000</v>
      </c>
      <c r="C571" s="402">
        <v>1000</v>
      </c>
      <c r="D571" s="402">
        <v>1000</v>
      </c>
      <c r="E571" s="402">
        <v>1000</v>
      </c>
      <c r="F571" s="402">
        <v>1000</v>
      </c>
      <c r="G571" s="402">
        <v>1000</v>
      </c>
      <c r="H571" s="402">
        <v>1000</v>
      </c>
      <c r="I571" s="402">
        <v>1000</v>
      </c>
      <c r="J571" s="402">
        <v>1000</v>
      </c>
      <c r="K571" s="402">
        <v>1000</v>
      </c>
    </row>
    <row r="572" spans="1:11" ht="15.9">
      <c r="A572" s="312" t="s">
        <v>542</v>
      </c>
      <c r="B572" s="402">
        <v>6</v>
      </c>
      <c r="C572" s="402">
        <v>6</v>
      </c>
      <c r="D572" s="402">
        <v>6</v>
      </c>
      <c r="E572" s="402">
        <v>6</v>
      </c>
      <c r="F572" s="402">
        <v>6</v>
      </c>
      <c r="G572" s="402">
        <v>6</v>
      </c>
      <c r="H572" s="402">
        <v>6</v>
      </c>
      <c r="I572" s="402">
        <v>6</v>
      </c>
      <c r="J572" s="402">
        <v>6</v>
      </c>
      <c r="K572" s="402">
        <v>6</v>
      </c>
    </row>
    <row r="573" spans="1:11" ht="69" customHeight="1">
      <c r="A573" s="312" t="s">
        <v>1283</v>
      </c>
      <c r="B573" s="482" t="s">
        <v>2133</v>
      </c>
      <c r="C573" s="482" t="s">
        <v>2134</v>
      </c>
      <c r="D573" s="482" t="s">
        <v>2135</v>
      </c>
      <c r="E573" s="482" t="s">
        <v>2136</v>
      </c>
      <c r="F573" s="482" t="s">
        <v>2137</v>
      </c>
      <c r="G573" s="482" t="s">
        <v>2134</v>
      </c>
      <c r="H573" s="482" t="s">
        <v>2138</v>
      </c>
      <c r="I573" s="482" t="s">
        <v>2139</v>
      </c>
      <c r="J573" s="482" t="s">
        <v>2140</v>
      </c>
      <c r="K573" s="482" t="s">
        <v>2139</v>
      </c>
    </row>
    <row r="574" spans="1:11" ht="69" customHeight="1">
      <c r="A574" s="312" t="s">
        <v>1294</v>
      </c>
      <c r="B574" s="482" t="s">
        <v>2141</v>
      </c>
      <c r="C574" s="482" t="s">
        <v>2142</v>
      </c>
      <c r="D574" s="482" t="s">
        <v>2143</v>
      </c>
      <c r="E574" s="482" t="s">
        <v>2144</v>
      </c>
      <c r="F574" s="482" t="s">
        <v>2145</v>
      </c>
      <c r="G574" s="482" t="s">
        <v>2146</v>
      </c>
      <c r="H574" s="482" t="s">
        <v>2147</v>
      </c>
      <c r="I574" s="482" t="s">
        <v>2148</v>
      </c>
      <c r="J574" s="482" t="s">
        <v>2149</v>
      </c>
      <c r="K574" s="482" t="s">
        <v>2148</v>
      </c>
    </row>
    <row r="575" spans="1:11" ht="69" customHeight="1">
      <c r="A575" s="312" t="s">
        <v>1989</v>
      </c>
      <c r="B575" s="482" t="s">
        <v>2150</v>
      </c>
      <c r="C575" s="482" t="s">
        <v>2151</v>
      </c>
      <c r="D575" s="482" t="s">
        <v>2152</v>
      </c>
      <c r="E575" s="482" t="s">
        <v>2153</v>
      </c>
      <c r="F575" s="482" t="s">
        <v>2154</v>
      </c>
      <c r="G575" s="482" t="s">
        <v>2155</v>
      </c>
      <c r="H575" s="482" t="s">
        <v>2156</v>
      </c>
      <c r="I575" s="482" t="s">
        <v>2157</v>
      </c>
      <c r="J575" s="482" t="s">
        <v>2158</v>
      </c>
      <c r="K575" s="482" t="s">
        <v>2159</v>
      </c>
    </row>
    <row r="576" spans="1:11" ht="69" customHeight="1">
      <c r="A576" s="312" t="s">
        <v>2000</v>
      </c>
      <c r="B576" s="482" t="s">
        <v>2160</v>
      </c>
      <c r="C576" s="482" t="s">
        <v>2161</v>
      </c>
      <c r="D576" s="482" t="s">
        <v>2162</v>
      </c>
      <c r="E576" s="482" t="s">
        <v>2163</v>
      </c>
      <c r="F576" s="482" t="s">
        <v>2164</v>
      </c>
      <c r="G576" s="482" t="s">
        <v>2165</v>
      </c>
      <c r="H576" s="482" t="s">
        <v>2166</v>
      </c>
      <c r="I576" s="482" t="s">
        <v>2167</v>
      </c>
      <c r="J576" s="482" t="s">
        <v>2168</v>
      </c>
      <c r="K576" s="482" t="s">
        <v>2169</v>
      </c>
    </row>
    <row r="577" spans="1:14" ht="69" customHeight="1">
      <c r="A577" s="312" t="s">
        <v>2011</v>
      </c>
      <c r="B577" s="482" t="s">
        <v>2170</v>
      </c>
      <c r="C577" s="482" t="s">
        <v>2171</v>
      </c>
      <c r="D577" s="482" t="s">
        <v>2172</v>
      </c>
      <c r="E577" s="482" t="s">
        <v>2173</v>
      </c>
      <c r="F577" s="482" t="s">
        <v>2174</v>
      </c>
      <c r="G577" s="482" t="s">
        <v>2175</v>
      </c>
      <c r="H577" s="482" t="s">
        <v>2176</v>
      </c>
      <c r="I577" s="482" t="s">
        <v>2177</v>
      </c>
      <c r="J577" s="482" t="s">
        <v>2178</v>
      </c>
      <c r="K577" s="482" t="s">
        <v>2179</v>
      </c>
    </row>
    <row r="578" spans="1:14" ht="39" customHeight="1">
      <c r="A578" s="312" t="s">
        <v>35</v>
      </c>
      <c r="B578" s="399" t="s">
        <v>2180</v>
      </c>
      <c r="C578" s="399" t="s">
        <v>2181</v>
      </c>
      <c r="D578" s="399" t="s">
        <v>2182</v>
      </c>
      <c r="E578" s="399" t="s">
        <v>2183</v>
      </c>
      <c r="F578" s="399" t="s">
        <v>2184</v>
      </c>
      <c r="G578" s="399" t="s">
        <v>2185</v>
      </c>
      <c r="H578" s="399" t="s">
        <v>2186</v>
      </c>
      <c r="I578" s="399" t="s">
        <v>2187</v>
      </c>
      <c r="J578" s="399" t="s">
        <v>2188</v>
      </c>
      <c r="K578" s="399" t="s">
        <v>2189</v>
      </c>
    </row>
    <row r="579" spans="1:14" ht="14.6"/>
    <row r="580" spans="1:14" ht="14.6">
      <c r="B580" s="863" t="s">
        <v>2190</v>
      </c>
      <c r="C580" s="863"/>
      <c r="D580" s="863"/>
      <c r="E580" s="863"/>
      <c r="F580" s="863"/>
      <c r="G580" s="863"/>
      <c r="H580" s="863"/>
      <c r="I580" s="863"/>
      <c r="J580" s="863"/>
    </row>
    <row r="581" spans="1:14" ht="14.6">
      <c r="B581" s="863"/>
      <c r="C581" s="863"/>
      <c r="D581" s="863"/>
      <c r="E581" s="863"/>
      <c r="F581" s="863"/>
      <c r="G581" s="863"/>
      <c r="H581" s="863"/>
      <c r="I581" s="863"/>
      <c r="J581" s="863"/>
    </row>
    <row r="582" spans="1:14" ht="14.6">
      <c r="B582" s="863"/>
      <c r="C582" s="863"/>
      <c r="D582" s="863"/>
      <c r="E582" s="863"/>
      <c r="F582" s="863"/>
      <c r="G582" s="863"/>
      <c r="H582" s="863"/>
      <c r="I582" s="863"/>
      <c r="J582" s="863"/>
    </row>
    <row r="583" spans="1:14" ht="14.6">
      <c r="B583" s="863"/>
      <c r="C583" s="863"/>
      <c r="D583" s="863"/>
      <c r="E583" s="863"/>
      <c r="F583" s="863"/>
      <c r="G583" s="863"/>
      <c r="H583" s="863"/>
      <c r="I583" s="863"/>
      <c r="J583" s="863"/>
    </row>
    <row r="584" spans="1:14" ht="14.6">
      <c r="B584" s="863"/>
      <c r="C584" s="863"/>
      <c r="D584" s="863"/>
      <c r="E584" s="863"/>
      <c r="F584" s="863"/>
      <c r="G584" s="863"/>
      <c r="H584" s="863"/>
      <c r="I584" s="863"/>
      <c r="J584" s="863"/>
    </row>
    <row r="586" spans="1:14" ht="15.9">
      <c r="A586" s="312" t="s">
        <v>1251</v>
      </c>
      <c r="B586" s="483" t="s">
        <v>2191</v>
      </c>
      <c r="C586" s="483" t="s">
        <v>2192</v>
      </c>
      <c r="D586" s="483" t="s">
        <v>2193</v>
      </c>
      <c r="E586" s="483" t="s">
        <v>2194</v>
      </c>
      <c r="F586" s="483" t="s">
        <v>2195</v>
      </c>
      <c r="G586" s="483" t="s">
        <v>2196</v>
      </c>
      <c r="H586" s="483" t="s">
        <v>2197</v>
      </c>
      <c r="I586" s="483" t="s">
        <v>2198</v>
      </c>
      <c r="J586" s="483" t="s">
        <v>2199</v>
      </c>
      <c r="K586" s="483" t="s">
        <v>2200</v>
      </c>
      <c r="M586" s="479" t="s">
        <v>2201</v>
      </c>
      <c r="N586" s="479" t="s">
        <v>2201</v>
      </c>
    </row>
    <row r="587" spans="1:14" ht="15.9">
      <c r="A587" s="312" t="s">
        <v>1261</v>
      </c>
      <c r="B587" s="315" t="s">
        <v>1221</v>
      </c>
      <c r="C587" s="319" t="s">
        <v>1225</v>
      </c>
      <c r="D587" s="321" t="s">
        <v>1227</v>
      </c>
      <c r="E587" s="323" t="s">
        <v>1229</v>
      </c>
      <c r="F587" s="341" t="s">
        <v>1231</v>
      </c>
      <c r="G587" s="327" t="s">
        <v>1233</v>
      </c>
      <c r="H587" s="328" t="s">
        <v>1235</v>
      </c>
      <c r="I587" s="329" t="s">
        <v>1237</v>
      </c>
      <c r="J587" s="330" t="s">
        <v>1239</v>
      </c>
      <c r="K587" s="332" t="s">
        <v>1241</v>
      </c>
      <c r="M587" s="317" t="s">
        <v>1223</v>
      </c>
      <c r="N587" s="333" t="s">
        <v>1242</v>
      </c>
    </row>
    <row r="588" spans="1:14" ht="15.9">
      <c r="A588" s="312" t="s">
        <v>1262</v>
      </c>
      <c r="B588" s="344" t="s">
        <v>1232</v>
      </c>
      <c r="C588" s="344" t="s">
        <v>1232</v>
      </c>
      <c r="D588" s="344" t="s">
        <v>1226</v>
      </c>
      <c r="E588" s="344" t="s">
        <v>1232</v>
      </c>
      <c r="F588" s="344" t="s">
        <v>1230</v>
      </c>
      <c r="G588" s="344" t="s">
        <v>1232</v>
      </c>
      <c r="H588" s="344" t="s">
        <v>1222</v>
      </c>
      <c r="I588" s="312" t="s">
        <v>1232</v>
      </c>
      <c r="J588" s="344" t="s">
        <v>1232</v>
      </c>
      <c r="K588" s="344" t="s">
        <v>1228</v>
      </c>
    </row>
    <row r="589" spans="1:14" ht="15.9">
      <c r="A589" s="346" t="s">
        <v>491</v>
      </c>
      <c r="B589" s="348" t="s">
        <v>2127</v>
      </c>
      <c r="C589" s="348" t="s">
        <v>1954</v>
      </c>
      <c r="D589" s="348" t="s">
        <v>1954</v>
      </c>
      <c r="E589" s="348" t="s">
        <v>1954</v>
      </c>
      <c r="F589" s="348" t="s">
        <v>2126</v>
      </c>
      <c r="G589" s="348" t="s">
        <v>2126</v>
      </c>
      <c r="H589" s="348" t="s">
        <v>2126</v>
      </c>
      <c r="I589" s="348" t="s">
        <v>1954</v>
      </c>
      <c r="J589" s="348" t="s">
        <v>2126</v>
      </c>
      <c r="K589" s="348" t="s">
        <v>2126</v>
      </c>
    </row>
    <row r="590" spans="1:14" ht="15.9">
      <c r="A590" s="350" t="s">
        <v>1264</v>
      </c>
      <c r="B590" s="352" t="s">
        <v>2202</v>
      </c>
      <c r="C590" s="352" t="s">
        <v>1953</v>
      </c>
      <c r="D590" s="352" t="s">
        <v>1953</v>
      </c>
      <c r="E590" s="352" t="s">
        <v>1953</v>
      </c>
      <c r="F590" s="352" t="s">
        <v>1551</v>
      </c>
      <c r="G590" s="352" t="s">
        <v>655</v>
      </c>
      <c r="H590" s="352" t="s">
        <v>1956</v>
      </c>
      <c r="I590" s="352" t="s">
        <v>1953</v>
      </c>
      <c r="J590" s="352" t="s">
        <v>1953</v>
      </c>
      <c r="K590" s="352" t="s">
        <v>1956</v>
      </c>
    </row>
    <row r="591" spans="1:14" ht="15.9">
      <c r="A591" s="354" t="s">
        <v>495</v>
      </c>
      <c r="B591" s="356">
        <v>10</v>
      </c>
      <c r="C591" s="356">
        <v>8</v>
      </c>
      <c r="D591" s="356">
        <v>8</v>
      </c>
      <c r="E591" s="360">
        <v>0</v>
      </c>
      <c r="F591" s="356">
        <v>10</v>
      </c>
      <c r="G591" s="360">
        <v>10</v>
      </c>
      <c r="H591" s="356">
        <v>10</v>
      </c>
      <c r="I591" s="360">
        <v>12</v>
      </c>
      <c r="J591" s="356">
        <v>5</v>
      </c>
      <c r="K591" s="360">
        <v>10</v>
      </c>
    </row>
    <row r="592" spans="1:14" ht="15.9">
      <c r="A592" s="358" t="s">
        <v>497</v>
      </c>
      <c r="B592" s="360">
        <v>10</v>
      </c>
      <c r="C592" s="360">
        <v>8</v>
      </c>
      <c r="D592" s="360">
        <v>8</v>
      </c>
      <c r="E592" s="360">
        <v>8</v>
      </c>
      <c r="F592" s="360">
        <v>10</v>
      </c>
      <c r="G592" s="360">
        <v>10</v>
      </c>
      <c r="H592" s="360">
        <v>10</v>
      </c>
      <c r="I592" s="360">
        <v>0</v>
      </c>
      <c r="J592" s="360">
        <v>5</v>
      </c>
      <c r="K592" s="360">
        <v>10</v>
      </c>
    </row>
    <row r="593" spans="1:11" ht="15.9">
      <c r="A593" s="312" t="s">
        <v>1266</v>
      </c>
      <c r="B593" s="363">
        <v>0.4</v>
      </c>
      <c r="C593" s="363">
        <v>0.3</v>
      </c>
      <c r="D593" s="363">
        <v>0</v>
      </c>
      <c r="E593" s="363">
        <v>0.1</v>
      </c>
      <c r="F593" s="363">
        <v>0.5</v>
      </c>
      <c r="G593" s="363">
        <v>-0.5</v>
      </c>
      <c r="H593" s="363">
        <v>-0.5</v>
      </c>
      <c r="I593" s="363">
        <v>0.1</v>
      </c>
      <c r="J593" s="363">
        <v>0.5</v>
      </c>
      <c r="K593" s="363">
        <v>0.5</v>
      </c>
    </row>
    <row r="594" spans="1:11" ht="15.9">
      <c r="A594" s="312" t="s">
        <v>1267</v>
      </c>
      <c r="B594" s="366">
        <v>0.4</v>
      </c>
      <c r="C594" s="366">
        <v>0.3</v>
      </c>
      <c r="D594" s="366">
        <v>-0.5</v>
      </c>
      <c r="E594" s="366">
        <v>0.1</v>
      </c>
      <c r="F594" s="366">
        <v>-0.5</v>
      </c>
      <c r="G594" s="366">
        <v>0.5</v>
      </c>
      <c r="H594" s="366">
        <v>0.5</v>
      </c>
      <c r="I594" s="366">
        <v>0.1</v>
      </c>
      <c r="J594" s="366">
        <v>0.5</v>
      </c>
      <c r="K594" s="366">
        <v>-0.5</v>
      </c>
    </row>
    <row r="595" spans="1:11" ht="15.9">
      <c r="A595" s="312" t="s">
        <v>1268</v>
      </c>
      <c r="B595" s="369">
        <v>0.7</v>
      </c>
      <c r="C595" s="369">
        <v>0.3</v>
      </c>
      <c r="D595" s="369">
        <v>0</v>
      </c>
      <c r="E595" s="369">
        <v>0.1</v>
      </c>
      <c r="F595" s="369">
        <v>0.5</v>
      </c>
      <c r="G595" s="369">
        <v>0.1</v>
      </c>
      <c r="H595" s="369">
        <v>1</v>
      </c>
      <c r="I595" s="369">
        <v>0.1</v>
      </c>
      <c r="J595" s="369">
        <v>0</v>
      </c>
      <c r="K595" s="369">
        <v>0</v>
      </c>
    </row>
    <row r="596" spans="1:11" ht="15.9">
      <c r="A596" s="312" t="s">
        <v>1269</v>
      </c>
      <c r="B596" s="372">
        <v>0.4</v>
      </c>
      <c r="C596" s="372">
        <v>0.3</v>
      </c>
      <c r="D596" s="372">
        <v>1</v>
      </c>
      <c r="E596" s="372">
        <v>0.1</v>
      </c>
      <c r="F596" s="372">
        <v>-0.5</v>
      </c>
      <c r="G596" s="372">
        <v>0.1</v>
      </c>
      <c r="H596" s="372">
        <v>0.5</v>
      </c>
      <c r="I596" s="372">
        <v>0.1</v>
      </c>
      <c r="J596" s="372">
        <v>0</v>
      </c>
      <c r="K596" s="372">
        <v>0</v>
      </c>
    </row>
    <row r="597" spans="1:11" ht="15.9">
      <c r="A597" s="465" t="s">
        <v>1270</v>
      </c>
      <c r="B597" s="376">
        <v>0.4</v>
      </c>
      <c r="C597" s="376">
        <v>0.3</v>
      </c>
      <c r="D597" s="376">
        <v>0.5</v>
      </c>
      <c r="E597" s="376">
        <v>0.1</v>
      </c>
      <c r="F597" s="376">
        <v>0.5</v>
      </c>
      <c r="G597" s="376">
        <v>0.1</v>
      </c>
      <c r="H597" s="376">
        <v>-0.5</v>
      </c>
      <c r="I597" s="376">
        <v>0.1</v>
      </c>
      <c r="J597" s="376">
        <v>0</v>
      </c>
      <c r="K597" s="376">
        <v>0</v>
      </c>
    </row>
    <row r="598" spans="1:11" ht="15.9">
      <c r="A598" s="312" t="s">
        <v>1271</v>
      </c>
      <c r="B598" s="379">
        <v>0.4</v>
      </c>
      <c r="C598" s="379">
        <v>0.3</v>
      </c>
      <c r="D598" s="379">
        <v>-0.5</v>
      </c>
      <c r="E598" s="379">
        <v>0.1</v>
      </c>
      <c r="F598" s="379">
        <v>0.5</v>
      </c>
      <c r="G598" s="379">
        <v>0.1</v>
      </c>
      <c r="H598" s="379">
        <v>-0.5</v>
      </c>
      <c r="I598" s="379">
        <v>0.4</v>
      </c>
      <c r="J598" s="379">
        <v>-0.5</v>
      </c>
      <c r="K598" s="379">
        <v>0</v>
      </c>
    </row>
    <row r="599" spans="1:11" ht="15.9">
      <c r="A599" s="312" t="s">
        <v>1272</v>
      </c>
      <c r="B599" s="382">
        <v>0.4</v>
      </c>
      <c r="C599" s="382">
        <v>0.3</v>
      </c>
      <c r="D599" s="382">
        <v>0.5</v>
      </c>
      <c r="E599" s="382">
        <v>0.7</v>
      </c>
      <c r="F599" s="382">
        <v>0</v>
      </c>
      <c r="G599" s="382">
        <v>0.1</v>
      </c>
      <c r="H599" s="382">
        <v>-0.5</v>
      </c>
      <c r="I599" s="382">
        <v>0.2</v>
      </c>
      <c r="J599" s="382">
        <v>-0.5</v>
      </c>
      <c r="K599" s="382">
        <v>0</v>
      </c>
    </row>
    <row r="600" spans="1:11" ht="15.9">
      <c r="A600" s="312" t="s">
        <v>1273</v>
      </c>
      <c r="B600" s="385">
        <v>0.5</v>
      </c>
      <c r="C600" s="385">
        <v>-0.5</v>
      </c>
      <c r="D600" s="385">
        <v>0</v>
      </c>
      <c r="E600" s="385">
        <v>0.2</v>
      </c>
      <c r="F600" s="385">
        <v>1</v>
      </c>
      <c r="G600" s="385">
        <v>1</v>
      </c>
      <c r="H600" s="385">
        <v>1</v>
      </c>
      <c r="I600" s="385">
        <v>0.2</v>
      </c>
      <c r="J600" s="385">
        <v>0</v>
      </c>
      <c r="K600" s="385">
        <v>0</v>
      </c>
    </row>
    <row r="601" spans="1:11" ht="15.9">
      <c r="A601" s="312" t="s">
        <v>1274</v>
      </c>
      <c r="B601" s="388">
        <v>0.5</v>
      </c>
      <c r="C601" s="388">
        <v>-0.5</v>
      </c>
      <c r="D601" s="388">
        <v>0</v>
      </c>
      <c r="E601" s="388">
        <v>0.2</v>
      </c>
      <c r="F601" s="388">
        <v>1</v>
      </c>
      <c r="G601" s="388">
        <v>0</v>
      </c>
      <c r="H601" s="388">
        <v>1</v>
      </c>
      <c r="I601" s="388">
        <v>0.2</v>
      </c>
      <c r="J601" s="388">
        <v>0</v>
      </c>
      <c r="K601" s="388">
        <v>0</v>
      </c>
    </row>
    <row r="602" spans="1:11" ht="15.9">
      <c r="A602" s="312" t="s">
        <v>519</v>
      </c>
      <c r="B602" s="356">
        <v>20</v>
      </c>
      <c r="C602" s="356">
        <v>5</v>
      </c>
      <c r="D602" s="356">
        <v>5</v>
      </c>
      <c r="E602" s="356">
        <v>5</v>
      </c>
      <c r="F602" s="356">
        <v>10</v>
      </c>
      <c r="G602" s="356">
        <v>5</v>
      </c>
      <c r="H602" s="356">
        <v>20</v>
      </c>
      <c r="I602" s="356">
        <v>5</v>
      </c>
      <c r="J602" s="356">
        <v>2</v>
      </c>
      <c r="K602" s="356">
        <v>5</v>
      </c>
    </row>
    <row r="603" spans="1:11" ht="15.9">
      <c r="A603" s="312" t="s">
        <v>521</v>
      </c>
      <c r="B603" s="356">
        <v>10</v>
      </c>
      <c r="C603" s="356">
        <v>5</v>
      </c>
      <c r="D603" s="356">
        <v>5</v>
      </c>
      <c r="E603" s="356">
        <v>5</v>
      </c>
      <c r="F603" s="356">
        <v>5</v>
      </c>
      <c r="G603" s="356">
        <v>5</v>
      </c>
      <c r="H603" s="356">
        <v>2</v>
      </c>
      <c r="I603" s="356">
        <v>5</v>
      </c>
      <c r="J603" s="356">
        <v>2</v>
      </c>
      <c r="K603" s="356">
        <v>5</v>
      </c>
    </row>
    <row r="604" spans="1:11" ht="15.9">
      <c r="A604" s="312" t="s">
        <v>522</v>
      </c>
      <c r="B604" s="392">
        <v>20</v>
      </c>
      <c r="C604" s="392">
        <v>5</v>
      </c>
      <c r="D604" s="392">
        <v>10</v>
      </c>
      <c r="E604" s="392">
        <v>10</v>
      </c>
      <c r="F604" s="392">
        <v>5</v>
      </c>
      <c r="G604" s="392">
        <v>5</v>
      </c>
      <c r="H604" s="392">
        <v>2</v>
      </c>
      <c r="I604" s="392">
        <v>10</v>
      </c>
      <c r="J604" s="392">
        <v>10</v>
      </c>
      <c r="K604" s="392">
        <v>5</v>
      </c>
    </row>
    <row r="605" spans="1:11" ht="31.75">
      <c r="A605" s="312" t="s">
        <v>13</v>
      </c>
      <c r="B605" s="356" t="s">
        <v>2203</v>
      </c>
      <c r="C605" s="310" t="s">
        <v>2204</v>
      </c>
      <c r="D605" s="402" t="s">
        <v>2205</v>
      </c>
      <c r="E605" s="402" t="s">
        <v>2130</v>
      </c>
      <c r="F605" s="480" t="s">
        <v>2206</v>
      </c>
      <c r="G605" s="402" t="s">
        <v>2207</v>
      </c>
      <c r="H605" s="356" t="s">
        <v>2208</v>
      </c>
      <c r="I605" s="402" t="s">
        <v>2209</v>
      </c>
      <c r="J605" s="356" t="s">
        <v>2210</v>
      </c>
      <c r="K605" s="402" t="s">
        <v>2211</v>
      </c>
    </row>
    <row r="606" spans="1:11" ht="15.9">
      <c r="A606" s="394" t="s">
        <v>533</v>
      </c>
      <c r="B606" s="396" t="s">
        <v>2212</v>
      </c>
      <c r="C606" s="396" t="s">
        <v>2213</v>
      </c>
      <c r="D606" s="396">
        <v>3</v>
      </c>
      <c r="E606" s="396">
        <v>3</v>
      </c>
      <c r="F606" s="396" t="s">
        <v>1277</v>
      </c>
      <c r="G606" s="396">
        <v>3</v>
      </c>
      <c r="H606" s="396" t="s">
        <v>982</v>
      </c>
      <c r="I606" s="396">
        <v>3</v>
      </c>
      <c r="J606" s="396" t="s">
        <v>899</v>
      </c>
      <c r="K606" s="396">
        <v>3</v>
      </c>
    </row>
    <row r="607" spans="1:11" ht="15.9">
      <c r="A607" s="312" t="s">
        <v>1278</v>
      </c>
      <c r="B607" s="366">
        <v>0.2</v>
      </c>
      <c r="C607" s="366">
        <v>0</v>
      </c>
      <c r="D607" s="366">
        <v>0</v>
      </c>
      <c r="E607" s="366">
        <v>0.2</v>
      </c>
      <c r="F607" s="366">
        <v>0</v>
      </c>
      <c r="G607" s="366">
        <v>0</v>
      </c>
      <c r="H607" s="366">
        <v>0</v>
      </c>
      <c r="I607" s="366">
        <v>0</v>
      </c>
      <c r="J607" s="481">
        <v>0.3</v>
      </c>
      <c r="K607" s="366">
        <v>0</v>
      </c>
    </row>
    <row r="608" spans="1:11" ht="15.9">
      <c r="A608" s="312" t="s">
        <v>523</v>
      </c>
      <c r="B608" s="392">
        <v>0</v>
      </c>
      <c r="C608" s="392">
        <v>2</v>
      </c>
      <c r="D608" s="392">
        <v>0</v>
      </c>
      <c r="E608" s="392">
        <v>1000</v>
      </c>
      <c r="F608" s="392">
        <v>0</v>
      </c>
      <c r="G608" s="392">
        <v>0</v>
      </c>
      <c r="H608" s="392">
        <v>0</v>
      </c>
      <c r="I608" s="402">
        <v>1</v>
      </c>
      <c r="J608" s="392">
        <v>0</v>
      </c>
      <c r="K608" s="392">
        <v>0</v>
      </c>
    </row>
    <row r="609" spans="1:14" ht="15.9">
      <c r="A609" s="312" t="s">
        <v>542</v>
      </c>
      <c r="B609" s="402">
        <v>8</v>
      </c>
      <c r="C609" s="402">
        <v>8</v>
      </c>
      <c r="D609" s="402">
        <v>8</v>
      </c>
      <c r="E609" s="402">
        <v>6</v>
      </c>
      <c r="F609" s="402">
        <v>8</v>
      </c>
      <c r="G609" s="402">
        <v>8</v>
      </c>
      <c r="H609" s="402">
        <v>8</v>
      </c>
      <c r="I609" s="402">
        <v>6</v>
      </c>
      <c r="J609" s="402">
        <v>8</v>
      </c>
      <c r="K609" s="392">
        <v>8</v>
      </c>
    </row>
    <row r="610" spans="1:14" ht="47.6">
      <c r="A610" s="312" t="s">
        <v>1283</v>
      </c>
      <c r="B610" s="482" t="s">
        <v>2214</v>
      </c>
      <c r="C610" s="482" t="s">
        <v>2215</v>
      </c>
      <c r="D610" s="482" t="s">
        <v>2216</v>
      </c>
      <c r="E610" s="482" t="s">
        <v>2136</v>
      </c>
      <c r="F610" s="482" t="s">
        <v>2217</v>
      </c>
      <c r="G610" s="482" t="s">
        <v>2218</v>
      </c>
      <c r="H610" s="482" t="s">
        <v>2219</v>
      </c>
      <c r="I610" s="482" t="s">
        <v>2220</v>
      </c>
      <c r="J610" s="482" t="s">
        <v>2221</v>
      </c>
      <c r="K610" s="482" t="s">
        <v>2222</v>
      </c>
    </row>
    <row r="611" spans="1:14" ht="55.5" customHeight="1">
      <c r="A611" s="312" t="s">
        <v>1294</v>
      </c>
      <c r="B611" s="482" t="s">
        <v>2223</v>
      </c>
      <c r="C611" s="482" t="s">
        <v>2224</v>
      </c>
      <c r="D611" s="482" t="s">
        <v>2225</v>
      </c>
      <c r="E611" s="482" t="s">
        <v>2144</v>
      </c>
      <c r="F611" s="482" t="s">
        <v>2226</v>
      </c>
      <c r="G611" s="482" t="s">
        <v>2227</v>
      </c>
      <c r="H611" s="482" t="s">
        <v>2228</v>
      </c>
      <c r="I611" s="482" t="s">
        <v>2229</v>
      </c>
      <c r="J611" s="482" t="s">
        <v>2230</v>
      </c>
      <c r="K611" s="482" t="s">
        <v>2231</v>
      </c>
    </row>
    <row r="612" spans="1:14" ht="123.75" customHeight="1">
      <c r="A612" s="312" t="s">
        <v>1989</v>
      </c>
      <c r="B612" s="482" t="s">
        <v>2232</v>
      </c>
      <c r="C612" s="482" t="s">
        <v>2233</v>
      </c>
      <c r="D612" s="482" t="s">
        <v>2234</v>
      </c>
      <c r="E612" s="482" t="s">
        <v>2153</v>
      </c>
      <c r="F612" s="482" t="s">
        <v>2235</v>
      </c>
      <c r="G612" s="482" t="s">
        <v>2236</v>
      </c>
      <c r="H612" s="482" t="s">
        <v>2237</v>
      </c>
      <c r="I612" s="482" t="s">
        <v>2238</v>
      </c>
      <c r="J612" s="482" t="s">
        <v>2239</v>
      </c>
      <c r="K612" s="482" t="s">
        <v>2240</v>
      </c>
    </row>
    <row r="613" spans="1:14" ht="63.45">
      <c r="A613" s="312" t="s">
        <v>2000</v>
      </c>
      <c r="B613" s="482" t="s">
        <v>2241</v>
      </c>
      <c r="C613" s="482" t="s">
        <v>2242</v>
      </c>
      <c r="D613" s="482" t="s">
        <v>2243</v>
      </c>
      <c r="E613" s="482" t="s">
        <v>2163</v>
      </c>
      <c r="F613" s="482" t="s">
        <v>2244</v>
      </c>
      <c r="G613" s="482" t="s">
        <v>2245</v>
      </c>
      <c r="H613" s="482" t="s">
        <v>2246</v>
      </c>
      <c r="I613" s="482" t="s">
        <v>2247</v>
      </c>
      <c r="J613" s="482" t="s">
        <v>2248</v>
      </c>
      <c r="K613" s="482" t="s">
        <v>2249</v>
      </c>
    </row>
    <row r="614" spans="1:14" ht="79.3">
      <c r="A614" s="312" t="s">
        <v>2011</v>
      </c>
      <c r="B614" s="482" t="s">
        <v>2250</v>
      </c>
      <c r="C614" s="482" t="s">
        <v>2251</v>
      </c>
      <c r="D614" s="482" t="s">
        <v>2252</v>
      </c>
      <c r="E614" s="482" t="s">
        <v>2173</v>
      </c>
      <c r="F614" s="482" t="s">
        <v>2253</v>
      </c>
      <c r="G614" s="482" t="s">
        <v>2254</v>
      </c>
      <c r="H614" s="482" t="s">
        <v>2255</v>
      </c>
      <c r="I614" s="482" t="s">
        <v>2256</v>
      </c>
      <c r="J614" s="482" t="s">
        <v>2257</v>
      </c>
      <c r="K614" s="482" t="s">
        <v>2258</v>
      </c>
    </row>
    <row r="615" spans="1:14" ht="24" customHeight="1">
      <c r="A615" s="312" t="s">
        <v>35</v>
      </c>
      <c r="B615" s="399" t="s">
        <v>2259</v>
      </c>
      <c r="C615" s="399" t="s">
        <v>2260</v>
      </c>
      <c r="D615" s="399" t="s">
        <v>2261</v>
      </c>
      <c r="E615" s="399" t="s">
        <v>2262</v>
      </c>
      <c r="F615" s="399" t="s">
        <v>2263</v>
      </c>
      <c r="G615" s="399" t="s">
        <v>2264</v>
      </c>
      <c r="H615" s="399" t="s">
        <v>2265</v>
      </c>
      <c r="I615" s="399" t="s">
        <v>2266</v>
      </c>
      <c r="J615" s="399" t="s">
        <v>2267</v>
      </c>
      <c r="K615" s="399" t="s">
        <v>2268</v>
      </c>
      <c r="L615" s="429"/>
    </row>
    <row r="621" spans="1:14" ht="14.25" customHeight="1">
      <c r="N621" s="484"/>
    </row>
    <row r="622" spans="1:14" ht="14.25" customHeight="1">
      <c r="N622" s="312"/>
    </row>
    <row r="639" ht="14.6"/>
    <row r="640" ht="14.6"/>
    <row r="641" ht="14.6"/>
    <row r="642" ht="14.6"/>
    <row r="643" ht="14.6"/>
    <row r="644" ht="14.6"/>
    <row r="645" ht="14.6"/>
    <row r="646" ht="14.6"/>
    <row r="647" ht="14.6"/>
    <row r="648" ht="14.6"/>
    <row r="649" ht="14.6"/>
    <row r="719" spans="2:2" ht="282" customHeight="1">
      <c r="B719" s="485" t="s">
        <v>2269</v>
      </c>
    </row>
    <row r="725" spans="2:15" ht="14.25" customHeight="1">
      <c r="B725" s="479" t="s">
        <v>2270</v>
      </c>
      <c r="C725" s="479" t="s">
        <v>2271</v>
      </c>
      <c r="D725" s="479" t="s">
        <v>2272</v>
      </c>
      <c r="E725" s="479" t="s">
        <v>2273</v>
      </c>
      <c r="F725" s="479" t="s">
        <v>2274</v>
      </c>
      <c r="G725" s="479" t="s">
        <v>2275</v>
      </c>
      <c r="H725" s="479" t="s">
        <v>2276</v>
      </c>
      <c r="I725" s="479" t="s">
        <v>2277</v>
      </c>
      <c r="J725" s="479" t="s">
        <v>2278</v>
      </c>
      <c r="K725" s="479" t="s">
        <v>2279</v>
      </c>
      <c r="L725" s="479" t="s">
        <v>2201</v>
      </c>
      <c r="M725" s="479" t="s">
        <v>2201</v>
      </c>
      <c r="N725" s="479" t="s">
        <v>2201</v>
      </c>
    </row>
    <row r="726" spans="2:15" ht="14.25" customHeight="1">
      <c r="B726" s="315" t="s">
        <v>1221</v>
      </c>
      <c r="C726" s="319" t="s">
        <v>1225</v>
      </c>
      <c r="D726" s="321" t="s">
        <v>1227</v>
      </c>
      <c r="E726" s="323" t="s">
        <v>1229</v>
      </c>
      <c r="F726" s="341" t="s">
        <v>1231</v>
      </c>
      <c r="G726" s="327" t="s">
        <v>1233</v>
      </c>
      <c r="H726" s="328" t="s">
        <v>1235</v>
      </c>
      <c r="I726" s="329" t="s">
        <v>1237</v>
      </c>
      <c r="J726" s="330" t="s">
        <v>1239</v>
      </c>
      <c r="K726" s="332" t="s">
        <v>1241</v>
      </c>
      <c r="L726" s="317" t="s">
        <v>2280</v>
      </c>
      <c r="M726" s="317" t="s">
        <v>1223</v>
      </c>
      <c r="N726" s="333" t="s">
        <v>1242</v>
      </c>
    </row>
    <row r="727" spans="2:15" ht="14.25" customHeight="1">
      <c r="B727" s="344" t="s">
        <v>1232</v>
      </c>
      <c r="C727" s="344" t="s">
        <v>1232</v>
      </c>
      <c r="D727" s="344" t="s">
        <v>1226</v>
      </c>
      <c r="E727" s="344" t="s">
        <v>1226</v>
      </c>
      <c r="F727" s="344" t="s">
        <v>1230</v>
      </c>
      <c r="G727" s="344" t="s">
        <v>1232</v>
      </c>
      <c r="H727" s="344" t="s">
        <v>1222</v>
      </c>
      <c r="I727" s="344" t="s">
        <v>1224</v>
      </c>
      <c r="J727" s="344" t="s">
        <v>1230</v>
      </c>
      <c r="K727" s="344" t="s">
        <v>1228</v>
      </c>
      <c r="O727" s="312" t="s">
        <v>2281</v>
      </c>
    </row>
    <row r="728" spans="2:15" ht="14.25" customHeight="1">
      <c r="B728" s="348" t="s">
        <v>1955</v>
      </c>
      <c r="C728" s="348" t="s">
        <v>1954</v>
      </c>
      <c r="D728" s="348" t="s">
        <v>1954</v>
      </c>
      <c r="E728" s="348" t="s">
        <v>1954</v>
      </c>
      <c r="F728" s="348" t="s">
        <v>2126</v>
      </c>
      <c r="G728" s="348" t="s">
        <v>2282</v>
      </c>
      <c r="H728" s="348" t="s">
        <v>2126</v>
      </c>
      <c r="I728" s="348" t="s">
        <v>1954</v>
      </c>
      <c r="J728" s="348" t="s">
        <v>2126</v>
      </c>
      <c r="K728" s="348" t="s">
        <v>2126</v>
      </c>
      <c r="O728" s="348" t="s">
        <v>1955</v>
      </c>
    </row>
    <row r="729" spans="2:15" ht="14.25" customHeight="1">
      <c r="B729" s="352" t="s">
        <v>1953</v>
      </c>
      <c r="C729" s="352" t="s">
        <v>1953</v>
      </c>
      <c r="D729" s="352" t="s">
        <v>1953</v>
      </c>
      <c r="E729" s="352" t="s">
        <v>655</v>
      </c>
      <c r="F729" s="352" t="s">
        <v>1551</v>
      </c>
      <c r="G729" s="352" t="s">
        <v>655</v>
      </c>
      <c r="H729" s="352" t="s">
        <v>1956</v>
      </c>
      <c r="I729" s="352" t="s">
        <v>1954</v>
      </c>
      <c r="J729" s="352" t="s">
        <v>1953</v>
      </c>
      <c r="K729" s="352" t="s">
        <v>1956</v>
      </c>
      <c r="O729" s="352" t="s">
        <v>1956</v>
      </c>
    </row>
    <row r="730" spans="2:15" ht="14.25" customHeight="1">
      <c r="B730" s="356">
        <v>10</v>
      </c>
      <c r="C730" s="356">
        <v>5</v>
      </c>
      <c r="D730" s="360">
        <v>5</v>
      </c>
      <c r="E730" s="356">
        <v>2</v>
      </c>
      <c r="F730" s="356">
        <v>10</v>
      </c>
      <c r="G730" s="360">
        <v>10</v>
      </c>
      <c r="H730" s="356">
        <v>10</v>
      </c>
      <c r="I730" s="356">
        <v>5</v>
      </c>
      <c r="J730" s="356">
        <v>5</v>
      </c>
      <c r="K730" s="360">
        <v>10</v>
      </c>
      <c r="O730" s="360">
        <v>5</v>
      </c>
    </row>
    <row r="731" spans="2:15" ht="14.25" customHeight="1">
      <c r="B731" s="360">
        <v>10</v>
      </c>
      <c r="C731" s="360">
        <v>5</v>
      </c>
      <c r="D731" s="360">
        <v>5</v>
      </c>
      <c r="E731" s="360">
        <v>2</v>
      </c>
      <c r="F731" s="360">
        <v>10</v>
      </c>
      <c r="G731" s="360">
        <v>10</v>
      </c>
      <c r="H731" s="360">
        <v>10</v>
      </c>
      <c r="I731" s="360">
        <v>5</v>
      </c>
      <c r="J731" s="360">
        <v>5</v>
      </c>
      <c r="K731" s="360">
        <v>10</v>
      </c>
      <c r="O731" s="360">
        <v>5</v>
      </c>
    </row>
    <row r="732" spans="2:15" ht="14.25" customHeight="1">
      <c r="B732" s="363">
        <v>-0.2</v>
      </c>
      <c r="C732" s="363">
        <v>0.3</v>
      </c>
      <c r="D732" s="363">
        <v>0</v>
      </c>
      <c r="E732" s="363">
        <v>0</v>
      </c>
      <c r="F732" s="363">
        <v>0.5</v>
      </c>
      <c r="G732" s="363">
        <v>-0.5</v>
      </c>
      <c r="H732" s="363">
        <v>-0.5</v>
      </c>
      <c r="I732" s="363">
        <v>0</v>
      </c>
      <c r="J732" s="363">
        <v>0.5</v>
      </c>
      <c r="K732" s="363">
        <v>0.5</v>
      </c>
      <c r="O732" s="363">
        <v>0</v>
      </c>
    </row>
    <row r="733" spans="2:15" ht="14.25" customHeight="1">
      <c r="B733" s="366">
        <v>-0.2</v>
      </c>
      <c r="C733" s="366">
        <v>0.3</v>
      </c>
      <c r="D733" s="366">
        <v>-0.5</v>
      </c>
      <c r="E733" s="366">
        <v>0</v>
      </c>
      <c r="F733" s="366">
        <v>-0.5</v>
      </c>
      <c r="G733" s="366">
        <v>0.5</v>
      </c>
      <c r="H733" s="366">
        <v>0.5</v>
      </c>
      <c r="I733" s="366">
        <v>0</v>
      </c>
      <c r="J733" s="366">
        <v>0.5</v>
      </c>
      <c r="K733" s="366">
        <v>-0.5</v>
      </c>
      <c r="O733" s="366">
        <v>-0.5</v>
      </c>
    </row>
    <row r="734" spans="2:15" ht="14.25" customHeight="1">
      <c r="B734" s="369">
        <v>-0.2</v>
      </c>
      <c r="C734" s="369">
        <v>0.3</v>
      </c>
      <c r="D734" s="369">
        <v>0</v>
      </c>
      <c r="E734" s="369">
        <v>0</v>
      </c>
      <c r="F734" s="369">
        <v>0.5</v>
      </c>
      <c r="G734" s="369">
        <v>0.1</v>
      </c>
      <c r="H734" s="369">
        <v>1</v>
      </c>
      <c r="I734" s="369">
        <v>0</v>
      </c>
      <c r="J734" s="369">
        <v>0</v>
      </c>
      <c r="K734" s="369">
        <v>0</v>
      </c>
      <c r="O734" s="369">
        <v>0</v>
      </c>
    </row>
    <row r="735" spans="2:15" ht="14.25" customHeight="1">
      <c r="B735" s="372">
        <v>-0.2</v>
      </c>
      <c r="C735" s="372">
        <v>0.3</v>
      </c>
      <c r="D735" s="372">
        <v>1</v>
      </c>
      <c r="E735" s="372">
        <v>0</v>
      </c>
      <c r="F735" s="372">
        <v>-0.5</v>
      </c>
      <c r="G735" s="372">
        <v>0.1</v>
      </c>
      <c r="H735" s="372">
        <v>0.5</v>
      </c>
      <c r="I735" s="372">
        <v>0</v>
      </c>
      <c r="J735" s="372">
        <v>0</v>
      </c>
      <c r="K735" s="372">
        <v>0</v>
      </c>
      <c r="O735" s="372">
        <v>0.5</v>
      </c>
    </row>
    <row r="736" spans="2:15" ht="14.25" customHeight="1">
      <c r="B736" s="376">
        <v>-0.2</v>
      </c>
      <c r="C736" s="376">
        <v>0.3</v>
      </c>
      <c r="D736" s="376">
        <v>0.5</v>
      </c>
      <c r="E736" s="376">
        <v>0</v>
      </c>
      <c r="F736" s="376">
        <v>0.5</v>
      </c>
      <c r="G736" s="376">
        <v>0.1</v>
      </c>
      <c r="H736" s="376">
        <v>-0.5</v>
      </c>
      <c r="I736" s="376">
        <v>0</v>
      </c>
      <c r="J736" s="376">
        <v>0</v>
      </c>
      <c r="K736" s="376">
        <v>0</v>
      </c>
      <c r="O736" s="376">
        <v>0.5</v>
      </c>
    </row>
    <row r="737" spans="2:15" ht="14.25" customHeight="1">
      <c r="B737" s="379">
        <v>-0.2</v>
      </c>
      <c r="C737" s="379">
        <v>0.3</v>
      </c>
      <c r="D737" s="379">
        <v>-0.5</v>
      </c>
      <c r="E737" s="379">
        <v>0</v>
      </c>
      <c r="F737" s="379">
        <v>0.5</v>
      </c>
      <c r="G737" s="379">
        <v>0.1</v>
      </c>
      <c r="H737" s="379">
        <v>-0.5</v>
      </c>
      <c r="I737" s="379">
        <v>0</v>
      </c>
      <c r="J737" s="379">
        <v>-0.5</v>
      </c>
      <c r="K737" s="379">
        <v>0</v>
      </c>
      <c r="O737" s="379">
        <v>0.5</v>
      </c>
    </row>
    <row r="738" spans="2:15" ht="14.25" customHeight="1">
      <c r="B738" s="372">
        <v>-0.2</v>
      </c>
      <c r="C738" s="382">
        <v>0.3</v>
      </c>
      <c r="D738" s="382">
        <v>0.5</v>
      </c>
      <c r="E738" s="382">
        <v>0</v>
      </c>
      <c r="F738" s="382">
        <v>0</v>
      </c>
      <c r="G738" s="382">
        <v>0.1</v>
      </c>
      <c r="H738" s="382">
        <v>-0.5</v>
      </c>
      <c r="I738" s="382">
        <v>0</v>
      </c>
      <c r="J738" s="382">
        <v>-0.5</v>
      </c>
      <c r="K738" s="382">
        <v>0</v>
      </c>
      <c r="O738" s="382">
        <v>-1</v>
      </c>
    </row>
    <row r="739" spans="2:15" ht="14.25" customHeight="1">
      <c r="B739" s="385">
        <v>-0.2</v>
      </c>
      <c r="C739" s="385">
        <v>-0.5</v>
      </c>
      <c r="D739" s="385">
        <v>0</v>
      </c>
      <c r="E739" s="385">
        <v>0</v>
      </c>
      <c r="F739" s="385">
        <v>1</v>
      </c>
      <c r="G739" s="385">
        <v>1</v>
      </c>
      <c r="H739" s="385">
        <v>1</v>
      </c>
      <c r="I739" s="385">
        <v>0</v>
      </c>
      <c r="J739" s="385">
        <v>0</v>
      </c>
      <c r="K739" s="385">
        <v>0</v>
      </c>
      <c r="O739" s="385">
        <v>-0.5</v>
      </c>
    </row>
    <row r="740" spans="2:15" ht="14.25" customHeight="1">
      <c r="B740" s="388">
        <v>-0.2</v>
      </c>
      <c r="C740" s="388">
        <v>-0.5</v>
      </c>
      <c r="D740" s="388">
        <v>0</v>
      </c>
      <c r="E740" s="388">
        <v>0</v>
      </c>
      <c r="F740" s="388">
        <v>1</v>
      </c>
      <c r="G740" s="388">
        <v>0</v>
      </c>
      <c r="H740" s="388">
        <v>1</v>
      </c>
      <c r="I740" s="388">
        <v>0</v>
      </c>
      <c r="J740" s="388">
        <v>0</v>
      </c>
      <c r="K740" s="388">
        <v>0</v>
      </c>
      <c r="O740" s="388">
        <v>1</v>
      </c>
    </row>
    <row r="741" spans="2:15" ht="14.25" customHeight="1">
      <c r="B741" s="356">
        <v>5</v>
      </c>
      <c r="C741" s="356">
        <v>5</v>
      </c>
      <c r="D741" s="356">
        <v>5</v>
      </c>
      <c r="E741" s="356">
        <v>5</v>
      </c>
      <c r="F741" s="356">
        <v>10</v>
      </c>
      <c r="G741" s="356">
        <v>5</v>
      </c>
      <c r="H741" s="356">
        <v>20</v>
      </c>
      <c r="I741" s="356">
        <v>10</v>
      </c>
      <c r="J741" s="356">
        <v>2</v>
      </c>
      <c r="K741" s="356">
        <v>5</v>
      </c>
      <c r="O741" s="356">
        <v>10</v>
      </c>
    </row>
    <row r="742" spans="2:15" ht="14.25" customHeight="1">
      <c r="B742" s="356">
        <v>5</v>
      </c>
      <c r="C742" s="356">
        <v>5</v>
      </c>
      <c r="D742" s="356">
        <v>5</v>
      </c>
      <c r="E742" s="356">
        <v>5</v>
      </c>
      <c r="F742" s="356">
        <v>5</v>
      </c>
      <c r="G742" s="356">
        <v>5</v>
      </c>
      <c r="H742" s="356">
        <v>2</v>
      </c>
      <c r="I742" s="356">
        <v>2</v>
      </c>
      <c r="J742" s="356">
        <v>2</v>
      </c>
      <c r="K742" s="356">
        <v>5</v>
      </c>
      <c r="O742" s="356">
        <v>0</v>
      </c>
    </row>
    <row r="743" spans="2:15" ht="14.25" customHeight="1">
      <c r="B743" s="392">
        <v>5</v>
      </c>
      <c r="C743" s="392">
        <v>5</v>
      </c>
      <c r="D743" s="392">
        <v>10</v>
      </c>
      <c r="E743" s="392">
        <v>5</v>
      </c>
      <c r="F743" s="392">
        <v>5</v>
      </c>
      <c r="G743" s="392">
        <v>5</v>
      </c>
      <c r="H743" s="392">
        <v>2</v>
      </c>
      <c r="I743" s="392">
        <v>2</v>
      </c>
      <c r="J743" s="392">
        <v>10</v>
      </c>
      <c r="K743" s="392">
        <v>5</v>
      </c>
      <c r="O743" s="392">
        <v>0</v>
      </c>
    </row>
    <row r="744" spans="2:15" ht="14.25" customHeight="1">
      <c r="B744" s="356" t="s">
        <v>2283</v>
      </c>
      <c r="C744" s="310" t="s">
        <v>2204</v>
      </c>
      <c r="D744" s="402" t="s">
        <v>2205</v>
      </c>
      <c r="E744" s="356" t="s">
        <v>2284</v>
      </c>
      <c r="F744" s="480" t="s">
        <v>2206</v>
      </c>
      <c r="G744" s="402" t="s">
        <v>2207</v>
      </c>
      <c r="H744" s="356" t="s">
        <v>2208</v>
      </c>
      <c r="I744" s="356" t="s">
        <v>2285</v>
      </c>
      <c r="J744" s="356" t="s">
        <v>2210</v>
      </c>
      <c r="K744" s="402" t="s">
        <v>2211</v>
      </c>
      <c r="O744" s="402" t="s">
        <v>2286</v>
      </c>
    </row>
    <row r="745" spans="2:15" ht="14.25" customHeight="1">
      <c r="B745" s="396" t="s">
        <v>1276</v>
      </c>
      <c r="C745" s="396" t="s">
        <v>2213</v>
      </c>
      <c r="D745" s="396">
        <v>3</v>
      </c>
      <c r="E745" s="396" t="s">
        <v>1276</v>
      </c>
      <c r="F745" s="396" t="s">
        <v>1277</v>
      </c>
      <c r="G745" s="396">
        <v>3</v>
      </c>
      <c r="H745" s="396" t="s">
        <v>982</v>
      </c>
      <c r="I745" s="396" t="s">
        <v>982</v>
      </c>
      <c r="J745" s="396" t="s">
        <v>899</v>
      </c>
      <c r="K745" s="396">
        <v>3</v>
      </c>
      <c r="O745" s="396">
        <v>3</v>
      </c>
    </row>
    <row r="746" spans="2:15" ht="14.25" customHeight="1">
      <c r="B746" s="366">
        <v>0</v>
      </c>
      <c r="C746" s="366">
        <v>0</v>
      </c>
      <c r="D746" s="366">
        <v>0</v>
      </c>
      <c r="E746" s="366">
        <v>0</v>
      </c>
      <c r="F746" s="366">
        <v>0</v>
      </c>
      <c r="G746" s="366">
        <v>0</v>
      </c>
      <c r="H746" s="366">
        <v>0</v>
      </c>
      <c r="I746" s="366">
        <v>0</v>
      </c>
      <c r="J746" s="481">
        <v>0.3</v>
      </c>
      <c r="K746" s="366">
        <v>0</v>
      </c>
      <c r="O746" s="366">
        <v>0</v>
      </c>
    </row>
    <row r="747" spans="2:15" ht="14.25" customHeight="1">
      <c r="B747" s="392">
        <v>0</v>
      </c>
      <c r="C747" s="392">
        <v>2</v>
      </c>
      <c r="D747" s="392">
        <v>0</v>
      </c>
      <c r="E747" s="392">
        <v>0</v>
      </c>
      <c r="F747" s="392">
        <v>0</v>
      </c>
      <c r="G747" s="392">
        <v>0</v>
      </c>
      <c r="H747" s="392">
        <v>0</v>
      </c>
      <c r="I747" s="392">
        <v>0</v>
      </c>
      <c r="J747" s="392">
        <v>0</v>
      </c>
      <c r="K747" s="392">
        <v>0</v>
      </c>
      <c r="O747" s="366">
        <v>0</v>
      </c>
    </row>
    <row r="748" spans="2:15" ht="14.25" customHeight="1">
      <c r="B748" s="402">
        <v>8</v>
      </c>
      <c r="C748" s="402">
        <v>8</v>
      </c>
      <c r="D748" s="402">
        <v>8</v>
      </c>
      <c r="E748" s="402">
        <v>8</v>
      </c>
      <c r="F748" s="402">
        <v>8</v>
      </c>
      <c r="G748" s="402">
        <v>8</v>
      </c>
      <c r="H748" s="402">
        <v>8</v>
      </c>
      <c r="I748" s="402">
        <v>8</v>
      </c>
      <c r="J748" s="402">
        <v>8</v>
      </c>
      <c r="K748" s="392">
        <v>8</v>
      </c>
      <c r="O748" s="402">
        <v>1000</v>
      </c>
    </row>
    <row r="749" spans="2:15" ht="14.25" customHeight="1">
      <c r="B749" s="429" t="s">
        <v>2287</v>
      </c>
      <c r="C749" s="429" t="s">
        <v>2215</v>
      </c>
      <c r="D749" s="429" t="s">
        <v>2216</v>
      </c>
      <c r="E749" s="429" t="s">
        <v>2288</v>
      </c>
      <c r="F749" s="429" t="s">
        <v>2217</v>
      </c>
      <c r="G749" s="429" t="s">
        <v>2218</v>
      </c>
      <c r="H749" s="429" t="s">
        <v>2219</v>
      </c>
      <c r="I749" s="429" t="s">
        <v>2289</v>
      </c>
      <c r="J749" s="429" t="s">
        <v>2221</v>
      </c>
      <c r="K749" s="429" t="s">
        <v>2222</v>
      </c>
      <c r="O749" s="402">
        <v>6</v>
      </c>
    </row>
    <row r="750" spans="2:15" ht="14.25" customHeight="1">
      <c r="B750" s="429" t="s">
        <v>2290</v>
      </c>
      <c r="C750" s="429" t="s">
        <v>2224</v>
      </c>
      <c r="D750" s="429" t="s">
        <v>2225</v>
      </c>
      <c r="E750" s="429" t="s">
        <v>2291</v>
      </c>
      <c r="F750" s="466" t="s">
        <v>2226</v>
      </c>
      <c r="G750" s="429" t="s">
        <v>2227</v>
      </c>
      <c r="H750" s="429" t="s">
        <v>2228</v>
      </c>
      <c r="I750" s="429" t="s">
        <v>2292</v>
      </c>
      <c r="J750" s="429" t="s">
        <v>2230</v>
      </c>
      <c r="K750" s="429" t="s">
        <v>2231</v>
      </c>
      <c r="O750" s="429" t="s">
        <v>2293</v>
      </c>
    </row>
    <row r="751" spans="2:15" ht="14.25" customHeight="1">
      <c r="B751" s="429" t="s">
        <v>2294</v>
      </c>
      <c r="C751" s="429" t="s">
        <v>2233</v>
      </c>
      <c r="D751" s="429" t="s">
        <v>2234</v>
      </c>
      <c r="E751" s="429" t="s">
        <v>2295</v>
      </c>
      <c r="F751" s="429" t="s">
        <v>2296</v>
      </c>
      <c r="G751" s="429" t="s">
        <v>2236</v>
      </c>
      <c r="H751" s="429" t="s">
        <v>2297</v>
      </c>
      <c r="I751" s="429" t="s">
        <v>2298</v>
      </c>
      <c r="J751" s="429" t="s">
        <v>2239</v>
      </c>
      <c r="K751" s="429" t="s">
        <v>2240</v>
      </c>
      <c r="O751" s="429" t="s">
        <v>2299</v>
      </c>
    </row>
    <row r="752" spans="2:15" ht="14.25" customHeight="1">
      <c r="B752" s="429" t="s">
        <v>2300</v>
      </c>
      <c r="C752" s="429" t="s">
        <v>2242</v>
      </c>
      <c r="D752" s="429" t="s">
        <v>2243</v>
      </c>
      <c r="E752" s="429" t="s">
        <v>2301</v>
      </c>
      <c r="F752" s="429" t="s">
        <v>2244</v>
      </c>
      <c r="G752" s="429" t="s">
        <v>2245</v>
      </c>
      <c r="H752" s="429" t="s">
        <v>2246</v>
      </c>
      <c r="I752" s="429" t="s">
        <v>2302</v>
      </c>
      <c r="J752" s="429" t="s">
        <v>2248</v>
      </c>
      <c r="K752" s="429" t="s">
        <v>2249</v>
      </c>
      <c r="O752" s="429" t="s">
        <v>2303</v>
      </c>
    </row>
    <row r="753" spans="2:15" ht="14.25" customHeight="1">
      <c r="B753" s="429" t="s">
        <v>2304</v>
      </c>
      <c r="C753" s="429" t="s">
        <v>2305</v>
      </c>
      <c r="D753" s="429" t="s">
        <v>2252</v>
      </c>
      <c r="E753" s="429" t="s">
        <v>2306</v>
      </c>
      <c r="F753" s="429" t="s">
        <v>2253</v>
      </c>
      <c r="G753" s="429" t="s">
        <v>2254</v>
      </c>
      <c r="H753" s="429" t="s">
        <v>2255</v>
      </c>
      <c r="I753" s="429" t="s">
        <v>2307</v>
      </c>
      <c r="J753" s="429" t="s">
        <v>2257</v>
      </c>
      <c r="K753" s="429" t="s">
        <v>2258</v>
      </c>
      <c r="L753" s="310" t="s">
        <v>2308</v>
      </c>
      <c r="O753" s="429" t="s">
        <v>2309</v>
      </c>
    </row>
    <row r="754" spans="2:15" ht="14.25" customHeight="1">
      <c r="B754" s="429"/>
      <c r="C754" s="429"/>
      <c r="D754" s="429"/>
      <c r="E754" s="429"/>
      <c r="F754" s="429"/>
      <c r="G754" s="429"/>
      <c r="I754" s="429"/>
      <c r="J754" s="429"/>
      <c r="K754" s="429"/>
      <c r="L754" s="429"/>
      <c r="O754" s="356" t="s">
        <v>2310</v>
      </c>
    </row>
    <row r="755" spans="2:15" ht="14.25" customHeight="1">
      <c r="B755" s="864" t="s">
        <v>2311</v>
      </c>
      <c r="C755" s="864"/>
      <c r="D755" s="864"/>
      <c r="E755" s="864"/>
      <c r="F755" s="864"/>
      <c r="G755" s="864"/>
      <c r="H755" s="864"/>
      <c r="I755" s="864"/>
      <c r="J755" s="864"/>
    </row>
    <row r="756" spans="2:15" ht="14.25" customHeight="1">
      <c r="B756" s="864"/>
      <c r="C756" s="864"/>
      <c r="D756" s="864"/>
      <c r="E756" s="864"/>
      <c r="F756" s="864"/>
      <c r="G756" s="864"/>
      <c r="H756" s="864"/>
      <c r="I756" s="864"/>
      <c r="J756" s="864"/>
    </row>
    <row r="757" spans="2:15" ht="14.25" customHeight="1">
      <c r="B757" s="864"/>
      <c r="C757" s="864"/>
      <c r="D757" s="864"/>
      <c r="E757" s="864"/>
      <c r="F757" s="864"/>
      <c r="G757" s="864"/>
      <c r="H757" s="864"/>
      <c r="I757" s="864"/>
      <c r="J757" s="864"/>
    </row>
    <row r="758" spans="2:15" ht="14.25" customHeight="1">
      <c r="B758" s="864"/>
      <c r="C758" s="864"/>
      <c r="D758" s="864"/>
      <c r="E758" s="864"/>
      <c r="F758" s="864"/>
      <c r="G758" s="864"/>
      <c r="H758" s="864"/>
      <c r="I758" s="864"/>
      <c r="J758" s="864"/>
    </row>
    <row r="759" spans="2:15" ht="14.25" customHeight="1">
      <c r="B759" s="864"/>
      <c r="C759" s="864"/>
      <c r="D759" s="864"/>
      <c r="E759" s="864"/>
      <c r="F759" s="864"/>
      <c r="G759" s="864"/>
      <c r="H759" s="864"/>
      <c r="I759" s="864"/>
      <c r="J759" s="864"/>
    </row>
    <row r="760" spans="2:15" ht="14.25" customHeight="1">
      <c r="B760" s="479" t="s">
        <v>2312</v>
      </c>
      <c r="C760" s="479" t="s">
        <v>2313</v>
      </c>
      <c r="D760" s="479" t="s">
        <v>2313</v>
      </c>
      <c r="E760" s="479" t="s">
        <v>2314</v>
      </c>
      <c r="F760" s="479" t="s">
        <v>2315</v>
      </c>
      <c r="G760" s="479" t="s">
        <v>2316</v>
      </c>
      <c r="H760" s="479" t="s">
        <v>2317</v>
      </c>
      <c r="I760" s="479" t="s">
        <v>2318</v>
      </c>
      <c r="J760" s="479" t="s">
        <v>2319</v>
      </c>
      <c r="N760" s="484"/>
    </row>
    <row r="761" spans="2:15" ht="14.25" customHeight="1">
      <c r="B761" s="315" t="s">
        <v>2320</v>
      </c>
      <c r="C761" s="315" t="s">
        <v>2320</v>
      </c>
      <c r="D761" s="315" t="s">
        <v>2320</v>
      </c>
      <c r="E761" s="315" t="s">
        <v>2320</v>
      </c>
      <c r="F761" s="315" t="s">
        <v>2320</v>
      </c>
      <c r="G761" s="315" t="s">
        <v>2320</v>
      </c>
      <c r="H761" s="315" t="s">
        <v>2320</v>
      </c>
      <c r="I761" s="315" t="s">
        <v>2320</v>
      </c>
      <c r="J761" s="315" t="s">
        <v>2320</v>
      </c>
      <c r="N761" s="312"/>
    </row>
    <row r="762" spans="2:15" ht="14.25" customHeight="1">
      <c r="B762" s="356" t="s">
        <v>1222</v>
      </c>
      <c r="C762" s="312" t="s">
        <v>896</v>
      </c>
      <c r="D762" s="312" t="s">
        <v>896</v>
      </c>
      <c r="E762" s="356" t="s">
        <v>1226</v>
      </c>
      <c r="F762" s="310" t="s">
        <v>2321</v>
      </c>
      <c r="G762" s="310" t="s">
        <v>896</v>
      </c>
      <c r="H762" s="356" t="s">
        <v>896</v>
      </c>
      <c r="I762" s="356" t="s">
        <v>896</v>
      </c>
      <c r="J762" s="356" t="s">
        <v>896</v>
      </c>
    </row>
    <row r="763" spans="2:15" ht="14.25" customHeight="1">
      <c r="B763" s="348" t="s">
        <v>2322</v>
      </c>
      <c r="C763" s="348" t="s">
        <v>1954</v>
      </c>
      <c r="D763" s="348" t="s">
        <v>1954</v>
      </c>
      <c r="E763" s="348" t="s">
        <v>2323</v>
      </c>
      <c r="F763" s="310">
        <v>300</v>
      </c>
      <c r="G763" s="310">
        <v>700</v>
      </c>
      <c r="H763" s="348" t="s">
        <v>1672</v>
      </c>
      <c r="I763" s="348" t="s">
        <v>1954</v>
      </c>
      <c r="J763" s="348" t="s">
        <v>2126</v>
      </c>
    </row>
    <row r="764" spans="2:15" ht="14.25" customHeight="1">
      <c r="B764" s="352" t="s">
        <v>2324</v>
      </c>
      <c r="C764" s="352" t="s">
        <v>1672</v>
      </c>
      <c r="D764" s="352" t="s">
        <v>1672</v>
      </c>
      <c r="E764" s="352">
        <v>300</v>
      </c>
      <c r="F764" s="310">
        <v>500</v>
      </c>
      <c r="G764" s="310">
        <v>500</v>
      </c>
      <c r="H764" s="352" t="s">
        <v>1672</v>
      </c>
      <c r="I764" s="352" t="s">
        <v>1672</v>
      </c>
      <c r="J764" s="352" t="s">
        <v>2325</v>
      </c>
    </row>
    <row r="765" spans="2:15" ht="14.25" customHeight="1">
      <c r="B765" s="356">
        <v>7</v>
      </c>
      <c r="C765" s="360">
        <v>5</v>
      </c>
      <c r="D765" s="360">
        <v>5</v>
      </c>
      <c r="E765" s="356">
        <v>15</v>
      </c>
      <c r="F765" s="310">
        <v>20</v>
      </c>
      <c r="G765" s="310">
        <v>6</v>
      </c>
      <c r="H765" s="356">
        <v>4</v>
      </c>
      <c r="I765" s="356">
        <v>10</v>
      </c>
      <c r="J765" s="356">
        <v>15</v>
      </c>
    </row>
    <row r="766" spans="2:15" ht="14.25" customHeight="1">
      <c r="B766" s="360">
        <v>10</v>
      </c>
      <c r="C766" s="360">
        <v>5</v>
      </c>
      <c r="D766" s="360">
        <v>5</v>
      </c>
      <c r="E766" s="360">
        <v>15</v>
      </c>
      <c r="F766" s="310">
        <v>20</v>
      </c>
      <c r="G766" s="310">
        <v>6</v>
      </c>
      <c r="H766" s="360">
        <v>4</v>
      </c>
      <c r="I766" s="360">
        <v>10</v>
      </c>
      <c r="J766" s="360">
        <v>15</v>
      </c>
    </row>
    <row r="767" spans="2:15" ht="14.25" customHeight="1">
      <c r="B767" s="363">
        <v>-0.3</v>
      </c>
      <c r="C767" s="363">
        <v>0</v>
      </c>
      <c r="D767" s="363">
        <v>0</v>
      </c>
      <c r="E767" s="363">
        <v>-0.5</v>
      </c>
      <c r="G767" s="310">
        <v>0</v>
      </c>
      <c r="H767" s="363">
        <v>0.2</v>
      </c>
      <c r="I767" s="363">
        <v>0.4</v>
      </c>
      <c r="J767" s="363">
        <v>0.4</v>
      </c>
    </row>
    <row r="768" spans="2:15" ht="14.25" customHeight="1">
      <c r="B768" s="366">
        <v>0.5</v>
      </c>
      <c r="C768" s="366">
        <v>0</v>
      </c>
      <c r="D768" s="366">
        <v>0</v>
      </c>
      <c r="E768" s="366">
        <v>0.4</v>
      </c>
      <c r="F768" s="486"/>
      <c r="G768" s="310">
        <v>0</v>
      </c>
      <c r="H768" s="366">
        <v>0.2</v>
      </c>
      <c r="I768" s="366">
        <v>0.4</v>
      </c>
      <c r="J768" s="366">
        <v>0.4</v>
      </c>
    </row>
    <row r="769" spans="2:10" ht="14.25" customHeight="1">
      <c r="B769" s="369">
        <v>-0.2</v>
      </c>
      <c r="C769" s="369">
        <v>0</v>
      </c>
      <c r="D769" s="369">
        <v>0</v>
      </c>
      <c r="E769" s="369">
        <v>0.4</v>
      </c>
      <c r="G769" s="310">
        <v>0</v>
      </c>
      <c r="H769" s="369" t="s">
        <v>2326</v>
      </c>
      <c r="I769" s="369">
        <v>0.4</v>
      </c>
      <c r="J769" s="369">
        <v>0.4</v>
      </c>
    </row>
    <row r="770" spans="2:10" ht="14.25" customHeight="1">
      <c r="B770" s="372">
        <v>0.2</v>
      </c>
      <c r="C770" s="372">
        <v>0</v>
      </c>
      <c r="D770" s="372">
        <v>0</v>
      </c>
      <c r="E770" s="372">
        <v>0.4</v>
      </c>
      <c r="G770" s="310">
        <v>0</v>
      </c>
      <c r="H770" s="372">
        <v>0.2</v>
      </c>
      <c r="I770" s="372">
        <v>0.4</v>
      </c>
      <c r="J770" s="372">
        <v>0.4</v>
      </c>
    </row>
    <row r="771" spans="2:10" ht="14.25" customHeight="1">
      <c r="B771" s="376">
        <v>0</v>
      </c>
      <c r="C771" s="376">
        <v>0</v>
      </c>
      <c r="D771" s="376">
        <v>0</v>
      </c>
      <c r="E771" s="376">
        <v>0.4</v>
      </c>
      <c r="G771" s="310">
        <v>0</v>
      </c>
      <c r="H771" s="376">
        <v>0.2</v>
      </c>
      <c r="I771" s="376">
        <v>0.4</v>
      </c>
      <c r="J771" s="376">
        <v>0.4</v>
      </c>
    </row>
    <row r="772" spans="2:10" ht="14.25" customHeight="1">
      <c r="B772" s="379">
        <v>0</v>
      </c>
      <c r="C772" s="379">
        <v>0</v>
      </c>
      <c r="D772" s="379">
        <v>0</v>
      </c>
      <c r="E772" s="379">
        <v>0.4</v>
      </c>
      <c r="G772" s="310">
        <v>0</v>
      </c>
      <c r="H772" s="379">
        <v>0.2</v>
      </c>
      <c r="I772" s="379">
        <v>0.4</v>
      </c>
      <c r="J772" s="379">
        <v>0.4</v>
      </c>
    </row>
    <row r="773" spans="2:10" ht="14.25" customHeight="1">
      <c r="B773" s="382">
        <v>0</v>
      </c>
      <c r="C773" s="382">
        <v>0</v>
      </c>
      <c r="D773" s="382">
        <v>0</v>
      </c>
      <c r="E773" s="382">
        <v>0.4</v>
      </c>
      <c r="G773" s="310">
        <v>0</v>
      </c>
      <c r="H773" s="382">
        <v>0.2</v>
      </c>
      <c r="I773" s="382">
        <v>0.4</v>
      </c>
      <c r="J773" s="382">
        <v>0.4</v>
      </c>
    </row>
    <row r="774" spans="2:10" ht="14.25" customHeight="1">
      <c r="B774" s="385">
        <v>0</v>
      </c>
      <c r="C774" s="385">
        <v>0</v>
      </c>
      <c r="D774" s="385">
        <v>0</v>
      </c>
      <c r="E774" s="385">
        <v>1</v>
      </c>
      <c r="G774" s="310">
        <v>0</v>
      </c>
      <c r="H774" s="385">
        <v>0.2</v>
      </c>
      <c r="I774" s="385">
        <v>0.4</v>
      </c>
      <c r="J774" s="385">
        <v>0.4</v>
      </c>
    </row>
    <row r="775" spans="2:10" ht="14.25" customHeight="1">
      <c r="B775" s="388">
        <v>0</v>
      </c>
      <c r="C775" s="388">
        <v>0</v>
      </c>
      <c r="D775" s="388">
        <v>0</v>
      </c>
      <c r="E775" s="388">
        <v>1</v>
      </c>
      <c r="G775" s="310">
        <v>0</v>
      </c>
      <c r="H775" s="388">
        <v>0.2</v>
      </c>
      <c r="I775" s="388">
        <v>0.4</v>
      </c>
      <c r="J775" s="388">
        <v>0.4</v>
      </c>
    </row>
    <row r="776" spans="2:10" ht="14.25" customHeight="1">
      <c r="B776" s="356">
        <v>6</v>
      </c>
      <c r="C776" s="356">
        <v>0</v>
      </c>
      <c r="D776" s="356">
        <v>0</v>
      </c>
      <c r="E776" s="356">
        <v>15</v>
      </c>
      <c r="F776" s="310">
        <v>10</v>
      </c>
      <c r="G776" s="310">
        <v>5</v>
      </c>
      <c r="H776" s="356">
        <v>5</v>
      </c>
      <c r="I776" s="356">
        <v>5</v>
      </c>
      <c r="J776" s="356">
        <v>5</v>
      </c>
    </row>
    <row r="777" spans="2:10" ht="14.25" customHeight="1">
      <c r="B777" s="356">
        <v>0</v>
      </c>
      <c r="C777" s="356">
        <v>0</v>
      </c>
      <c r="D777" s="356">
        <v>0</v>
      </c>
      <c r="E777" s="356">
        <v>0</v>
      </c>
      <c r="F777" s="310">
        <v>15</v>
      </c>
      <c r="G777" s="310">
        <v>5</v>
      </c>
      <c r="H777" s="356">
        <v>5</v>
      </c>
      <c r="I777" s="356">
        <v>5</v>
      </c>
      <c r="J777" s="356">
        <v>5</v>
      </c>
    </row>
    <row r="778" spans="2:10" ht="14.25" customHeight="1">
      <c r="B778" s="392">
        <v>9</v>
      </c>
      <c r="C778" s="392">
        <v>0</v>
      </c>
      <c r="D778" s="392">
        <v>0</v>
      </c>
      <c r="E778" s="392">
        <v>0</v>
      </c>
      <c r="F778" s="310">
        <v>30</v>
      </c>
      <c r="G778" s="310">
        <v>5</v>
      </c>
      <c r="H778" s="392">
        <v>5</v>
      </c>
      <c r="I778" s="392">
        <v>5</v>
      </c>
      <c r="J778" s="392">
        <v>5</v>
      </c>
    </row>
    <row r="779" spans="2:10" ht="14.25" customHeight="1">
      <c r="B779" s="356" t="s">
        <v>2327</v>
      </c>
      <c r="C779" s="402" t="s">
        <v>2328</v>
      </c>
      <c r="D779" s="402" t="s">
        <v>2328</v>
      </c>
      <c r="E779" s="356" t="s">
        <v>2329</v>
      </c>
      <c r="F779" s="310" t="s">
        <v>2330</v>
      </c>
      <c r="G779" s="310" t="s">
        <v>1392</v>
      </c>
      <c r="H779" s="356" t="s">
        <v>2331</v>
      </c>
      <c r="I779" s="356" t="s">
        <v>2332</v>
      </c>
      <c r="J779" s="356" t="s">
        <v>2333</v>
      </c>
    </row>
    <row r="780" spans="2:10" ht="14.25" customHeight="1">
      <c r="B780" s="396"/>
      <c r="C780" s="396">
        <v>3</v>
      </c>
      <c r="D780" s="396">
        <v>3</v>
      </c>
      <c r="E780" s="396"/>
      <c r="H780" s="396" t="s">
        <v>2055</v>
      </c>
      <c r="I780" s="396" t="s">
        <v>2055</v>
      </c>
      <c r="J780" s="396" t="s">
        <v>2055</v>
      </c>
    </row>
    <row r="781" spans="2:10" ht="14.25" customHeight="1">
      <c r="B781" s="366">
        <v>0</v>
      </c>
      <c r="C781" s="366">
        <v>0</v>
      </c>
      <c r="D781" s="366">
        <v>0</v>
      </c>
      <c r="E781" s="366"/>
      <c r="F781" s="310" t="s">
        <v>2334</v>
      </c>
      <c r="H781" s="366">
        <v>0</v>
      </c>
      <c r="I781" s="366">
        <v>0</v>
      </c>
      <c r="J781" s="366">
        <v>0</v>
      </c>
    </row>
    <row r="782" spans="2:10" ht="14.25" customHeight="1">
      <c r="B782" s="402">
        <v>12</v>
      </c>
      <c r="C782" s="392">
        <v>0</v>
      </c>
      <c r="D782" s="392">
        <v>0</v>
      </c>
      <c r="E782" s="402"/>
      <c r="H782" s="356">
        <v>12</v>
      </c>
      <c r="I782" s="356">
        <v>12</v>
      </c>
      <c r="J782" s="356">
        <v>12</v>
      </c>
    </row>
    <row r="783" spans="2:10" ht="30" customHeight="1">
      <c r="B783" s="402" t="s">
        <v>2335</v>
      </c>
      <c r="C783" s="310">
        <v>8</v>
      </c>
      <c r="D783" s="310">
        <v>8</v>
      </c>
      <c r="E783" s="429" t="s">
        <v>2336</v>
      </c>
      <c r="F783" s="466" t="s">
        <v>2337</v>
      </c>
      <c r="G783" s="466" t="s">
        <v>2338</v>
      </c>
      <c r="H783" s="429" t="s">
        <v>2339</v>
      </c>
      <c r="I783" s="402" t="s">
        <v>2340</v>
      </c>
      <c r="J783" s="429" t="s">
        <v>2341</v>
      </c>
    </row>
    <row r="784" spans="2:10" ht="90" customHeight="1">
      <c r="B784" s="429" t="s">
        <v>2342</v>
      </c>
      <c r="C784" s="429" t="s">
        <v>2343</v>
      </c>
      <c r="D784" s="429" t="s">
        <v>2343</v>
      </c>
      <c r="E784" s="429" t="s">
        <v>2344</v>
      </c>
      <c r="F784" s="466" t="s">
        <v>2345</v>
      </c>
      <c r="G784" s="466" t="s">
        <v>2346</v>
      </c>
      <c r="H784" s="429" t="s">
        <v>2347</v>
      </c>
      <c r="I784" s="429" t="s">
        <v>2348</v>
      </c>
      <c r="J784" s="310" t="s">
        <v>2349</v>
      </c>
    </row>
    <row r="785" spans="2:10" ht="60" customHeight="1">
      <c r="B785" s="429" t="s">
        <v>2350</v>
      </c>
      <c r="C785" s="429" t="s">
        <v>2351</v>
      </c>
      <c r="D785" s="429" t="s">
        <v>2351</v>
      </c>
      <c r="E785" s="429" t="s">
        <v>2352</v>
      </c>
      <c r="F785" s="466" t="s">
        <v>2353</v>
      </c>
      <c r="G785" s="466" t="s">
        <v>2354</v>
      </c>
      <c r="H785" s="429" t="s">
        <v>2355</v>
      </c>
      <c r="I785" s="429" t="s">
        <v>2356</v>
      </c>
      <c r="J785" s="429" t="s">
        <v>2357</v>
      </c>
    </row>
    <row r="786" spans="2:10" ht="63" customHeight="1">
      <c r="B786" s="429" t="s">
        <v>2358</v>
      </c>
      <c r="C786" s="429" t="s">
        <v>2359</v>
      </c>
      <c r="D786" s="429" t="s">
        <v>2359</v>
      </c>
      <c r="E786" s="429" t="s">
        <v>2360</v>
      </c>
      <c r="F786" s="466" t="s">
        <v>2361</v>
      </c>
      <c r="G786" s="466" t="s">
        <v>2362</v>
      </c>
      <c r="H786" s="429" t="s">
        <v>2363</v>
      </c>
      <c r="I786" s="429" t="s">
        <v>2364</v>
      </c>
      <c r="J786" s="310" t="s">
        <v>2365</v>
      </c>
    </row>
    <row r="787" spans="2:10" ht="54.75" customHeight="1">
      <c r="B787" s="429" t="s">
        <v>2366</v>
      </c>
      <c r="C787" s="429" t="s">
        <v>2367</v>
      </c>
      <c r="D787" s="429" t="s">
        <v>2367</v>
      </c>
      <c r="E787" s="429" t="s">
        <v>2368</v>
      </c>
      <c r="F787" s="466" t="s">
        <v>2369</v>
      </c>
      <c r="G787" s="466" t="s">
        <v>2370</v>
      </c>
      <c r="H787" s="429" t="s">
        <v>2371</v>
      </c>
      <c r="I787" s="429" t="s">
        <v>2372</v>
      </c>
      <c r="J787" s="429" t="s">
        <v>2373</v>
      </c>
    </row>
    <row r="788" spans="2:10" ht="69" customHeight="1">
      <c r="B788" s="356" t="s">
        <v>2374</v>
      </c>
      <c r="C788" s="429" t="s">
        <v>2375</v>
      </c>
      <c r="D788" s="429" t="s">
        <v>2375</v>
      </c>
      <c r="E788" s="487" t="s">
        <v>2376</v>
      </c>
      <c r="F788" s="466"/>
      <c r="H788" s="429"/>
      <c r="I788" s="466" t="s">
        <v>2377</v>
      </c>
      <c r="J788" s="429" t="s">
        <v>2378</v>
      </c>
    </row>
    <row r="789" spans="2:10" ht="14.25" customHeight="1">
      <c r="H789" s="429"/>
      <c r="I789" s="466"/>
    </row>
  </sheetData>
  <mergeCells count="5">
    <mergeCell ref="E1:K10"/>
    <mergeCell ref="B243:K248"/>
    <mergeCell ref="B481:K485"/>
    <mergeCell ref="B580:J584"/>
    <mergeCell ref="B755:J759"/>
  </mergeCell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1038364"/>
  <sheetViews>
    <sheetView topLeftCell="A117" workbookViewId="0">
      <selection activeCell="B133" sqref="B133"/>
    </sheetView>
  </sheetViews>
  <sheetFormatPr defaultRowHeight="14.15"/>
  <cols>
    <col min="1" max="1" width="41.7109375" customWidth="1"/>
    <col min="2" max="2" width="223.7109375" customWidth="1"/>
  </cols>
  <sheetData>
    <row r="1" spans="1:2" ht="24.45">
      <c r="A1" s="488" t="s">
        <v>2379</v>
      </c>
      <c r="B1" s="488" t="s">
        <v>2380</v>
      </c>
    </row>
    <row r="2" spans="1:2" ht="24.45">
      <c r="A2" s="488" t="s">
        <v>2381</v>
      </c>
      <c r="B2" s="489" t="s">
        <v>2382</v>
      </c>
    </row>
    <row r="3" spans="1:2" ht="24.45">
      <c r="A3" s="490" t="s">
        <v>2383</v>
      </c>
      <c r="B3" s="491" t="s">
        <v>2384</v>
      </c>
    </row>
    <row r="4" spans="1:2" ht="24.45">
      <c r="A4" s="492" t="s">
        <v>239</v>
      </c>
      <c r="B4" s="491" t="s">
        <v>2385</v>
      </c>
    </row>
    <row r="5" spans="1:2" ht="24.45">
      <c r="A5" s="493" t="s">
        <v>2386</v>
      </c>
      <c r="B5" s="491" t="s">
        <v>2387</v>
      </c>
    </row>
    <row r="6" spans="1:2" ht="24.45">
      <c r="A6" s="494" t="s">
        <v>2388</v>
      </c>
      <c r="B6" s="491" t="s">
        <v>2389</v>
      </c>
    </row>
    <row r="7" spans="1:2" ht="24.45">
      <c r="A7" s="495" t="s">
        <v>2390</v>
      </c>
      <c r="B7" s="491" t="s">
        <v>2391</v>
      </c>
    </row>
    <row r="8" spans="1:2" ht="24.45">
      <c r="A8" s="496" t="s">
        <v>2392</v>
      </c>
      <c r="B8" s="491" t="s">
        <v>2393</v>
      </c>
    </row>
    <row r="9" spans="1:2" ht="19.75">
      <c r="B9" s="491"/>
    </row>
    <row r="10" spans="1:2" ht="24.45">
      <c r="A10" s="488" t="s">
        <v>2394</v>
      </c>
      <c r="B10" s="489" t="s">
        <v>2395</v>
      </c>
    </row>
    <row r="11" spans="1:2" ht="24.45">
      <c r="A11" s="490" t="s">
        <v>2383</v>
      </c>
      <c r="B11" s="491" t="s">
        <v>2396</v>
      </c>
    </row>
    <row r="12" spans="1:2" ht="24.45">
      <c r="A12" s="492" t="s">
        <v>239</v>
      </c>
      <c r="B12" s="491" t="s">
        <v>2397</v>
      </c>
    </row>
    <row r="13" spans="1:2" ht="24.45">
      <c r="A13" s="493" t="s">
        <v>2386</v>
      </c>
      <c r="B13" s="491" t="s">
        <v>2398</v>
      </c>
    </row>
    <row r="14" spans="1:2" ht="24.45">
      <c r="A14" s="494" t="s">
        <v>2388</v>
      </c>
      <c r="B14" s="491" t="s">
        <v>2399</v>
      </c>
    </row>
    <row r="15" spans="1:2" ht="24.45">
      <c r="A15" s="495" t="s">
        <v>2390</v>
      </c>
      <c r="B15" s="491" t="s">
        <v>2400</v>
      </c>
    </row>
    <row r="16" spans="1:2" ht="24.45">
      <c r="A16" s="496" t="s">
        <v>2392</v>
      </c>
      <c r="B16" s="491" t="s">
        <v>2401</v>
      </c>
    </row>
    <row r="17" spans="1:2" ht="19.75">
      <c r="B17" s="491"/>
    </row>
    <row r="18" spans="1:2" ht="24.45">
      <c r="A18" s="488" t="s">
        <v>2402</v>
      </c>
      <c r="B18" s="489" t="s">
        <v>2403</v>
      </c>
    </row>
    <row r="19" spans="1:2" ht="24.45">
      <c r="A19" s="490" t="s">
        <v>2383</v>
      </c>
      <c r="B19" s="491" t="s">
        <v>2404</v>
      </c>
    </row>
    <row r="20" spans="1:2" ht="24.45">
      <c r="A20" s="492" t="s">
        <v>239</v>
      </c>
      <c r="B20" s="491" t="s">
        <v>2405</v>
      </c>
    </row>
    <row r="21" spans="1:2" ht="24.45">
      <c r="A21" s="493" t="s">
        <v>2386</v>
      </c>
      <c r="B21" s="491" t="s">
        <v>2406</v>
      </c>
    </row>
    <row r="22" spans="1:2" ht="24.45">
      <c r="A22" s="494" t="s">
        <v>2388</v>
      </c>
      <c r="B22" s="491" t="s">
        <v>2407</v>
      </c>
    </row>
    <row r="23" spans="1:2" ht="24.45">
      <c r="A23" s="495" t="s">
        <v>2390</v>
      </c>
      <c r="B23" s="491" t="s">
        <v>2408</v>
      </c>
    </row>
    <row r="24" spans="1:2" ht="24.45">
      <c r="A24" s="496" t="s">
        <v>2392</v>
      </c>
      <c r="B24" s="491" t="s">
        <v>2409</v>
      </c>
    </row>
    <row r="25" spans="1:2" ht="19.75">
      <c r="A25" s="491"/>
      <c r="B25" s="491"/>
    </row>
    <row r="26" spans="1:2" ht="24.45">
      <c r="A26" s="488" t="s">
        <v>2410</v>
      </c>
      <c r="B26" s="489" t="s">
        <v>2411</v>
      </c>
    </row>
    <row r="27" spans="1:2" ht="24.45">
      <c r="A27" s="490" t="s">
        <v>2383</v>
      </c>
      <c r="B27" s="491" t="s">
        <v>2412</v>
      </c>
    </row>
    <row r="28" spans="1:2" ht="24.45">
      <c r="A28" s="492" t="s">
        <v>239</v>
      </c>
      <c r="B28" s="491" t="s">
        <v>2413</v>
      </c>
    </row>
    <row r="29" spans="1:2" ht="24.45">
      <c r="A29" s="493" t="s">
        <v>2386</v>
      </c>
      <c r="B29" s="491" t="s">
        <v>2414</v>
      </c>
    </row>
    <row r="30" spans="1:2" ht="24.45">
      <c r="A30" s="494" t="s">
        <v>2388</v>
      </c>
      <c r="B30" s="491" t="s">
        <v>2415</v>
      </c>
    </row>
    <row r="31" spans="1:2" ht="24.45">
      <c r="A31" s="495" t="s">
        <v>2390</v>
      </c>
      <c r="B31" s="491" t="s">
        <v>2416</v>
      </c>
    </row>
    <row r="32" spans="1:2" ht="24.45">
      <c r="A32" s="496" t="s">
        <v>2392</v>
      </c>
      <c r="B32" s="497" t="s">
        <v>2417</v>
      </c>
    </row>
    <row r="33" spans="1:2" ht="19.75">
      <c r="B33" s="491"/>
    </row>
    <row r="34" spans="1:2" ht="24.45">
      <c r="A34" s="488" t="s">
        <v>2418</v>
      </c>
      <c r="B34" s="489" t="s">
        <v>2419</v>
      </c>
    </row>
    <row r="35" spans="1:2" ht="24.45">
      <c r="A35" s="490" t="s">
        <v>2383</v>
      </c>
      <c r="B35" s="491" t="s">
        <v>2420</v>
      </c>
    </row>
    <row r="36" spans="1:2" ht="24.45">
      <c r="A36" s="492" t="s">
        <v>239</v>
      </c>
      <c r="B36" s="491" t="s">
        <v>2421</v>
      </c>
    </row>
    <row r="37" spans="1:2" ht="24.45">
      <c r="A37" s="493" t="s">
        <v>2386</v>
      </c>
      <c r="B37" s="491" t="s">
        <v>2422</v>
      </c>
    </row>
    <row r="38" spans="1:2" ht="24.45">
      <c r="A38" s="494" t="s">
        <v>2388</v>
      </c>
      <c r="B38" s="491" t="s">
        <v>2423</v>
      </c>
    </row>
    <row r="39" spans="1:2" ht="24.45">
      <c r="A39" s="495" t="s">
        <v>2390</v>
      </c>
      <c r="B39" s="491" t="s">
        <v>2424</v>
      </c>
    </row>
    <row r="40" spans="1:2" ht="24.45">
      <c r="A40" s="496" t="s">
        <v>2392</v>
      </c>
      <c r="B40" s="491" t="s">
        <v>2425</v>
      </c>
    </row>
    <row r="41" spans="1:2" ht="19.75">
      <c r="B41" s="491"/>
    </row>
    <row r="42" spans="1:2" ht="24.45">
      <c r="A42" s="488" t="s">
        <v>2426</v>
      </c>
      <c r="B42" s="489" t="s">
        <v>2427</v>
      </c>
    </row>
    <row r="43" spans="1:2" ht="24.45">
      <c r="A43" s="490" t="s">
        <v>2383</v>
      </c>
      <c r="B43" s="491" t="s">
        <v>2428</v>
      </c>
    </row>
    <row r="44" spans="1:2" ht="24.45">
      <c r="A44" s="492" t="s">
        <v>239</v>
      </c>
      <c r="B44" s="491" t="s">
        <v>2429</v>
      </c>
    </row>
    <row r="45" spans="1:2" ht="24.45">
      <c r="A45" s="493" t="s">
        <v>2386</v>
      </c>
      <c r="B45" s="491" t="s">
        <v>2430</v>
      </c>
    </row>
    <row r="46" spans="1:2" ht="24.45">
      <c r="A46" s="494" t="s">
        <v>2388</v>
      </c>
      <c r="B46" s="491" t="s">
        <v>2431</v>
      </c>
    </row>
    <row r="47" spans="1:2" ht="24.45">
      <c r="A47" s="495" t="s">
        <v>2390</v>
      </c>
      <c r="B47" s="491" t="s">
        <v>2432</v>
      </c>
    </row>
    <row r="48" spans="1:2" ht="24.45">
      <c r="A48" s="496" t="s">
        <v>2392</v>
      </c>
      <c r="B48" s="491" t="s">
        <v>2433</v>
      </c>
    </row>
    <row r="49" spans="1:2" ht="19.75">
      <c r="B49" s="491"/>
    </row>
    <row r="50" spans="1:2" ht="24.45">
      <c r="A50" s="488" t="s">
        <v>2434</v>
      </c>
      <c r="B50" s="489" t="s">
        <v>2435</v>
      </c>
    </row>
    <row r="51" spans="1:2" ht="24.45">
      <c r="A51" s="490" t="s">
        <v>2383</v>
      </c>
      <c r="B51" s="491" t="s">
        <v>2436</v>
      </c>
    </row>
    <row r="52" spans="1:2" ht="24.45">
      <c r="A52" s="492" t="s">
        <v>239</v>
      </c>
      <c r="B52" s="491" t="s">
        <v>2437</v>
      </c>
    </row>
    <row r="53" spans="1:2" ht="24.45">
      <c r="A53" s="493" t="s">
        <v>2386</v>
      </c>
      <c r="B53" s="491" t="s">
        <v>2438</v>
      </c>
    </row>
    <row r="54" spans="1:2" ht="24.45">
      <c r="A54" s="494" t="s">
        <v>2388</v>
      </c>
      <c r="B54" s="491" t="s">
        <v>2439</v>
      </c>
    </row>
    <row r="55" spans="1:2" ht="24.45">
      <c r="A55" s="495" t="s">
        <v>2390</v>
      </c>
      <c r="B55" s="491" t="s">
        <v>2440</v>
      </c>
    </row>
    <row r="56" spans="1:2" ht="24.45">
      <c r="A56" s="496" t="s">
        <v>2392</v>
      </c>
      <c r="B56" s="491" t="s">
        <v>2441</v>
      </c>
    </row>
    <row r="57" spans="1:2" ht="19.75">
      <c r="B57" s="491"/>
    </row>
    <row r="58" spans="1:2" ht="24.45">
      <c r="A58" s="488" t="s">
        <v>2442</v>
      </c>
      <c r="B58" s="489" t="s">
        <v>2443</v>
      </c>
    </row>
    <row r="59" spans="1:2" ht="24.45">
      <c r="A59" s="490" t="s">
        <v>2383</v>
      </c>
      <c r="B59" s="491" t="s">
        <v>2444</v>
      </c>
    </row>
    <row r="60" spans="1:2" ht="24.45">
      <c r="A60" s="492" t="s">
        <v>239</v>
      </c>
      <c r="B60" s="491" t="s">
        <v>2445</v>
      </c>
    </row>
    <row r="61" spans="1:2" ht="24.45">
      <c r="A61" s="493" t="s">
        <v>2386</v>
      </c>
      <c r="B61" s="491" t="s">
        <v>2446</v>
      </c>
    </row>
    <row r="62" spans="1:2" ht="24.45">
      <c r="A62" s="494" t="s">
        <v>2388</v>
      </c>
      <c r="B62" s="491" t="s">
        <v>2447</v>
      </c>
    </row>
    <row r="63" spans="1:2" ht="24.45">
      <c r="A63" s="495" t="s">
        <v>2390</v>
      </c>
      <c r="B63" s="491" t="s">
        <v>2448</v>
      </c>
    </row>
    <row r="64" spans="1:2" ht="24.45">
      <c r="A64" s="496" t="s">
        <v>2392</v>
      </c>
      <c r="B64" s="491" t="s">
        <v>2449</v>
      </c>
    </row>
    <row r="65" spans="1:2" ht="19.75">
      <c r="B65" s="491"/>
    </row>
    <row r="66" spans="1:2" ht="24.45">
      <c r="A66" s="488" t="s">
        <v>2450</v>
      </c>
      <c r="B66" s="489" t="s">
        <v>2451</v>
      </c>
    </row>
    <row r="67" spans="1:2" ht="24.45">
      <c r="A67" s="490" t="s">
        <v>2383</v>
      </c>
      <c r="B67" s="491" t="s">
        <v>2452</v>
      </c>
    </row>
    <row r="68" spans="1:2" ht="24.45">
      <c r="A68" s="492" t="s">
        <v>239</v>
      </c>
      <c r="B68" s="491" t="s">
        <v>2453</v>
      </c>
    </row>
    <row r="69" spans="1:2" ht="24.45">
      <c r="A69" s="493" t="s">
        <v>2386</v>
      </c>
      <c r="B69" s="491" t="s">
        <v>2454</v>
      </c>
    </row>
    <row r="70" spans="1:2" ht="24.45">
      <c r="A70" s="494" t="s">
        <v>2388</v>
      </c>
      <c r="B70" s="491" t="s">
        <v>2455</v>
      </c>
    </row>
    <row r="71" spans="1:2" ht="24.45">
      <c r="A71" s="495" t="s">
        <v>2390</v>
      </c>
      <c r="B71" s="491" t="s">
        <v>2456</v>
      </c>
    </row>
    <row r="72" spans="1:2" ht="24.45">
      <c r="A72" s="496" t="s">
        <v>2392</v>
      </c>
      <c r="B72" s="491" t="s">
        <v>2457</v>
      </c>
    </row>
    <row r="73" spans="1:2" ht="19.75">
      <c r="B73" s="491"/>
    </row>
    <row r="74" spans="1:2" ht="24.45">
      <c r="A74" s="488" t="s">
        <v>2458</v>
      </c>
      <c r="B74" s="489" t="s">
        <v>2459</v>
      </c>
    </row>
    <row r="75" spans="1:2" ht="24.45">
      <c r="A75" s="490" t="s">
        <v>2383</v>
      </c>
      <c r="B75" s="491" t="s">
        <v>2460</v>
      </c>
    </row>
    <row r="76" spans="1:2" ht="24.45">
      <c r="A76" s="492" t="s">
        <v>239</v>
      </c>
      <c r="B76" s="491" t="s">
        <v>5829</v>
      </c>
    </row>
    <row r="77" spans="1:2" ht="24.45">
      <c r="A77" s="493" t="s">
        <v>2386</v>
      </c>
      <c r="B77" s="497" t="s">
        <v>2461</v>
      </c>
    </row>
    <row r="78" spans="1:2" ht="24.45">
      <c r="A78" s="494" t="s">
        <v>2388</v>
      </c>
      <c r="B78" s="491" t="s">
        <v>2462</v>
      </c>
    </row>
    <row r="79" spans="1:2" ht="24.45">
      <c r="A79" s="495" t="s">
        <v>2390</v>
      </c>
      <c r="B79" s="491" t="s">
        <v>2463</v>
      </c>
    </row>
    <row r="80" spans="1:2" ht="24.45">
      <c r="A80" s="496" t="s">
        <v>2392</v>
      </c>
      <c r="B80" s="491" t="s">
        <v>2464</v>
      </c>
    </row>
    <row r="81" spans="1:2" ht="19.75">
      <c r="B81" s="491"/>
    </row>
    <row r="82" spans="1:2" ht="24.45">
      <c r="A82" s="488" t="s">
        <v>2465</v>
      </c>
      <c r="B82" s="489" t="s">
        <v>2466</v>
      </c>
    </row>
    <row r="83" spans="1:2" ht="24.45">
      <c r="A83" s="490" t="s">
        <v>2383</v>
      </c>
      <c r="B83" s="491" t="s">
        <v>2467</v>
      </c>
    </row>
    <row r="84" spans="1:2" ht="24.45">
      <c r="A84" s="492" t="s">
        <v>239</v>
      </c>
      <c r="B84" s="491" t="s">
        <v>2468</v>
      </c>
    </row>
    <row r="85" spans="1:2" ht="24.45">
      <c r="A85" s="493" t="s">
        <v>2386</v>
      </c>
      <c r="B85" s="491" t="s">
        <v>2469</v>
      </c>
    </row>
    <row r="86" spans="1:2" ht="24.45">
      <c r="A86" s="494" t="s">
        <v>2388</v>
      </c>
      <c r="B86" s="491" t="s">
        <v>2470</v>
      </c>
    </row>
    <row r="87" spans="1:2" ht="24.45">
      <c r="A87" s="495" t="s">
        <v>2390</v>
      </c>
      <c r="B87" s="491" t="s">
        <v>2471</v>
      </c>
    </row>
    <row r="88" spans="1:2" ht="24.45">
      <c r="A88" s="496" t="s">
        <v>2392</v>
      </c>
      <c r="B88" s="491" t="s">
        <v>2472</v>
      </c>
    </row>
    <row r="89" spans="1:2" ht="19.75">
      <c r="B89" s="491"/>
    </row>
    <row r="90" spans="1:2" ht="24.45">
      <c r="A90" s="488" t="s">
        <v>2473</v>
      </c>
      <c r="B90" s="489" t="s">
        <v>2474</v>
      </c>
    </row>
    <row r="91" spans="1:2" ht="24.45">
      <c r="A91" s="490" t="s">
        <v>2383</v>
      </c>
      <c r="B91" s="491" t="s">
        <v>2475</v>
      </c>
    </row>
    <row r="92" spans="1:2" ht="24.45">
      <c r="A92" s="492" t="s">
        <v>239</v>
      </c>
      <c r="B92" s="491" t="s">
        <v>2476</v>
      </c>
    </row>
    <row r="93" spans="1:2" ht="24.45">
      <c r="A93" s="493" t="s">
        <v>2386</v>
      </c>
      <c r="B93" s="491" t="s">
        <v>2477</v>
      </c>
    </row>
    <row r="94" spans="1:2" ht="24.45">
      <c r="A94" s="494" t="s">
        <v>2388</v>
      </c>
      <c r="B94" s="491" t="s">
        <v>2478</v>
      </c>
    </row>
    <row r="95" spans="1:2" ht="24.45">
      <c r="A95" s="495" t="s">
        <v>2390</v>
      </c>
      <c r="B95" s="491" t="s">
        <v>2479</v>
      </c>
    </row>
    <row r="96" spans="1:2" ht="24.45">
      <c r="A96" s="496" t="s">
        <v>2392</v>
      </c>
      <c r="B96" s="491" t="s">
        <v>2480</v>
      </c>
    </row>
    <row r="97" spans="1:2" ht="19.75">
      <c r="B97" s="491"/>
    </row>
    <row r="98" spans="1:2" ht="24.45">
      <c r="A98" s="488" t="s">
        <v>2481</v>
      </c>
      <c r="B98" s="489" t="s">
        <v>2482</v>
      </c>
    </row>
    <row r="99" spans="1:2" ht="24.45">
      <c r="A99" s="490" t="s">
        <v>2383</v>
      </c>
      <c r="B99" s="491" t="s">
        <v>2483</v>
      </c>
    </row>
    <row r="100" spans="1:2" ht="24.45">
      <c r="A100" s="492" t="s">
        <v>239</v>
      </c>
      <c r="B100" s="491" t="s">
        <v>2484</v>
      </c>
    </row>
    <row r="101" spans="1:2" ht="24.45">
      <c r="A101" s="493" t="s">
        <v>2386</v>
      </c>
      <c r="B101" s="491" t="s">
        <v>2485</v>
      </c>
    </row>
    <row r="102" spans="1:2" ht="24.45">
      <c r="A102" s="494" t="s">
        <v>2388</v>
      </c>
      <c r="B102" s="491" t="s">
        <v>2486</v>
      </c>
    </row>
    <row r="103" spans="1:2" ht="24.45">
      <c r="A103" s="495" t="s">
        <v>2390</v>
      </c>
      <c r="B103" s="491" t="s">
        <v>2487</v>
      </c>
    </row>
    <row r="104" spans="1:2" ht="24.45">
      <c r="A104" s="496" t="s">
        <v>2392</v>
      </c>
      <c r="B104" s="491" t="s">
        <v>2488</v>
      </c>
    </row>
    <row r="105" spans="1:2" ht="19.75">
      <c r="B105" s="491"/>
    </row>
    <row r="106" spans="1:2" ht="24.45">
      <c r="A106" s="488" t="s">
        <v>2489</v>
      </c>
      <c r="B106" s="489" t="s">
        <v>2490</v>
      </c>
    </row>
    <row r="107" spans="1:2" ht="24.45">
      <c r="A107" s="490" t="s">
        <v>2383</v>
      </c>
      <c r="B107" s="491" t="s">
        <v>2491</v>
      </c>
    </row>
    <row r="108" spans="1:2" ht="24.45">
      <c r="A108" s="492" t="s">
        <v>239</v>
      </c>
      <c r="B108" s="491" t="s">
        <v>2492</v>
      </c>
    </row>
    <row r="109" spans="1:2" ht="24.45">
      <c r="A109" s="493" t="s">
        <v>2386</v>
      </c>
      <c r="B109" s="491" t="s">
        <v>2493</v>
      </c>
    </row>
    <row r="110" spans="1:2" ht="24.45">
      <c r="A110" s="494" t="s">
        <v>2388</v>
      </c>
      <c r="B110" s="491" t="s">
        <v>2494</v>
      </c>
    </row>
    <row r="111" spans="1:2" ht="24.45">
      <c r="A111" s="495" t="s">
        <v>2390</v>
      </c>
      <c r="B111" s="491" t="s">
        <v>2495</v>
      </c>
    </row>
    <row r="112" spans="1:2" ht="24.45">
      <c r="A112" s="496" t="s">
        <v>2392</v>
      </c>
      <c r="B112" s="491" t="s">
        <v>2496</v>
      </c>
    </row>
    <row r="113" spans="1:2" ht="19.75">
      <c r="B113" s="491"/>
    </row>
    <row r="114" spans="1:2" ht="24.45">
      <c r="A114" s="488" t="s">
        <v>2497</v>
      </c>
      <c r="B114" s="489" t="s">
        <v>2498</v>
      </c>
    </row>
    <row r="115" spans="1:2" ht="24.45">
      <c r="A115" s="490" t="s">
        <v>2383</v>
      </c>
      <c r="B115" s="491" t="s">
        <v>2499</v>
      </c>
    </row>
    <row r="116" spans="1:2" ht="24.45">
      <c r="A116" s="492" t="s">
        <v>239</v>
      </c>
      <c r="B116" s="491" t="s">
        <v>2500</v>
      </c>
    </row>
    <row r="117" spans="1:2" ht="24.45">
      <c r="A117" s="493" t="s">
        <v>2386</v>
      </c>
      <c r="B117" s="491" t="s">
        <v>2501</v>
      </c>
    </row>
    <row r="118" spans="1:2" ht="24.45">
      <c r="A118" s="494" t="s">
        <v>2388</v>
      </c>
      <c r="B118" s="491" t="s">
        <v>2502</v>
      </c>
    </row>
    <row r="119" spans="1:2" ht="24.45">
      <c r="A119" s="495" t="s">
        <v>2390</v>
      </c>
      <c r="B119" s="491" t="s">
        <v>2503</v>
      </c>
    </row>
    <row r="120" spans="1:2" ht="24.45">
      <c r="A120" s="496" t="s">
        <v>2392</v>
      </c>
      <c r="B120" s="491" t="s">
        <v>2504</v>
      </c>
    </row>
    <row r="122" spans="1:2" ht="24.45">
      <c r="A122" s="488" t="s">
        <v>2505</v>
      </c>
      <c r="B122" s="489" t="s">
        <v>2506</v>
      </c>
    </row>
    <row r="123" spans="1:2" ht="24.45">
      <c r="A123" s="490" t="s">
        <v>2383</v>
      </c>
      <c r="B123" s="491" t="s">
        <v>2507</v>
      </c>
    </row>
    <row r="124" spans="1:2" ht="24.45">
      <c r="A124" s="492" t="s">
        <v>239</v>
      </c>
      <c r="B124" s="491" t="s">
        <v>2508</v>
      </c>
    </row>
    <row r="125" spans="1:2" ht="24.45">
      <c r="A125" s="493" t="s">
        <v>2386</v>
      </c>
      <c r="B125" s="491" t="s">
        <v>2509</v>
      </c>
    </row>
    <row r="126" spans="1:2" ht="24.45">
      <c r="A126" s="494" t="s">
        <v>2388</v>
      </c>
      <c r="B126" s="491" t="s">
        <v>2510</v>
      </c>
    </row>
    <row r="127" spans="1:2" ht="24.45">
      <c r="A127" s="495" t="s">
        <v>2390</v>
      </c>
      <c r="B127" s="491" t="s">
        <v>2511</v>
      </c>
    </row>
    <row r="128" spans="1:2" ht="24.45">
      <c r="A128" s="496" t="s">
        <v>2392</v>
      </c>
      <c r="B128" s="491" t="s">
        <v>2512</v>
      </c>
    </row>
    <row r="129" spans="1:2" ht="19.75">
      <c r="B129" s="491"/>
    </row>
    <row r="130" spans="1:2" ht="24.45">
      <c r="A130" s="488" t="s">
        <v>2513</v>
      </c>
      <c r="B130" s="489" t="s">
        <v>5827</v>
      </c>
    </row>
    <row r="131" spans="1:2" ht="24.45">
      <c r="A131" s="490" t="s">
        <v>2383</v>
      </c>
      <c r="B131" s="491" t="s">
        <v>2514</v>
      </c>
    </row>
    <row r="132" spans="1:2" ht="24.45">
      <c r="A132" s="492" t="s">
        <v>239</v>
      </c>
      <c r="B132" s="491" t="s">
        <v>2515</v>
      </c>
    </row>
    <row r="133" spans="1:2" ht="24.45">
      <c r="A133" s="493" t="s">
        <v>2386</v>
      </c>
      <c r="B133" s="491" t="s">
        <v>2516</v>
      </c>
    </row>
    <row r="134" spans="1:2" ht="24.45">
      <c r="A134" s="494" t="s">
        <v>2388</v>
      </c>
      <c r="B134" s="491" t="s">
        <v>2517</v>
      </c>
    </row>
    <row r="135" spans="1:2" ht="24.45">
      <c r="A135" s="495" t="s">
        <v>2390</v>
      </c>
      <c r="B135" s="491" t="s">
        <v>2518</v>
      </c>
    </row>
    <row r="136" spans="1:2" ht="24.45">
      <c r="A136" s="496" t="s">
        <v>2392</v>
      </c>
      <c r="B136" s="491" t="s">
        <v>5828</v>
      </c>
    </row>
    <row r="137" spans="1:2" ht="19.75">
      <c r="B137" s="491"/>
    </row>
    <row r="138" spans="1:2" ht="24.45">
      <c r="A138" s="488" t="s">
        <v>2519</v>
      </c>
      <c r="B138" s="489" t="s">
        <v>2520</v>
      </c>
    </row>
    <row r="139" spans="1:2" ht="24.45">
      <c r="A139" s="490" t="s">
        <v>2383</v>
      </c>
      <c r="B139" s="491" t="s">
        <v>2521</v>
      </c>
    </row>
    <row r="140" spans="1:2" ht="24.45">
      <c r="A140" s="492" t="s">
        <v>239</v>
      </c>
      <c r="B140" s="491" t="s">
        <v>2522</v>
      </c>
    </row>
    <row r="141" spans="1:2" ht="24.45">
      <c r="A141" s="493" t="s">
        <v>2386</v>
      </c>
      <c r="B141" s="491" t="s">
        <v>2523</v>
      </c>
    </row>
    <row r="142" spans="1:2" ht="24.45">
      <c r="A142" s="494" t="s">
        <v>2388</v>
      </c>
      <c r="B142" s="491" t="s">
        <v>2524</v>
      </c>
    </row>
    <row r="143" spans="1:2" ht="24.45">
      <c r="A143" s="495" t="s">
        <v>2390</v>
      </c>
      <c r="B143" s="491" t="s">
        <v>2525</v>
      </c>
    </row>
    <row r="144" spans="1:2" ht="24.45">
      <c r="A144" s="496" t="s">
        <v>2392</v>
      </c>
      <c r="B144" s="491" t="s">
        <v>2526</v>
      </c>
    </row>
    <row r="145" spans="1:2" ht="19.75">
      <c r="B145" s="491"/>
    </row>
    <row r="146" spans="1:2" ht="24.45">
      <c r="A146" s="488" t="s">
        <v>2527</v>
      </c>
      <c r="B146" s="489" t="s">
        <v>2528</v>
      </c>
    </row>
    <row r="147" spans="1:2" ht="24.45">
      <c r="A147" s="490" t="s">
        <v>2383</v>
      </c>
      <c r="B147" s="491" t="s">
        <v>2529</v>
      </c>
    </row>
    <row r="148" spans="1:2" ht="24.45">
      <c r="A148" s="492" t="s">
        <v>239</v>
      </c>
      <c r="B148" s="491" t="s">
        <v>2530</v>
      </c>
    </row>
    <row r="149" spans="1:2" ht="24.45">
      <c r="A149" s="493" t="s">
        <v>2386</v>
      </c>
      <c r="B149" s="491" t="s">
        <v>2531</v>
      </c>
    </row>
    <row r="150" spans="1:2" ht="24.45">
      <c r="A150" s="494" t="s">
        <v>2388</v>
      </c>
      <c r="B150" s="491" t="s">
        <v>2532</v>
      </c>
    </row>
    <row r="151" spans="1:2" ht="24.45">
      <c r="A151" s="495" t="s">
        <v>2390</v>
      </c>
      <c r="B151" s="491" t="s">
        <v>2533</v>
      </c>
    </row>
    <row r="152" spans="1:2" ht="24.45">
      <c r="A152" s="496" t="s">
        <v>2392</v>
      </c>
      <c r="B152" s="491" t="s">
        <v>2534</v>
      </c>
    </row>
    <row r="153" spans="1:2" ht="19.75">
      <c r="A153" s="491"/>
    </row>
    <row r="154" spans="1:2" ht="24.45">
      <c r="A154" s="488" t="s">
        <v>2535</v>
      </c>
      <c r="B154" s="489" t="s">
        <v>2536</v>
      </c>
    </row>
    <row r="155" spans="1:2" ht="24.45">
      <c r="A155" s="490" t="s">
        <v>2383</v>
      </c>
      <c r="B155" s="491" t="s">
        <v>2537</v>
      </c>
    </row>
    <row r="156" spans="1:2" ht="24.45">
      <c r="A156" s="492" t="s">
        <v>239</v>
      </c>
      <c r="B156" s="491" t="s">
        <v>2538</v>
      </c>
    </row>
    <row r="157" spans="1:2" ht="24.45">
      <c r="A157" s="493" t="s">
        <v>2386</v>
      </c>
      <c r="B157" s="491" t="s">
        <v>2539</v>
      </c>
    </row>
    <row r="158" spans="1:2" ht="24.45">
      <c r="A158" s="494" t="s">
        <v>2388</v>
      </c>
      <c r="B158" s="491" t="s">
        <v>2540</v>
      </c>
    </row>
    <row r="159" spans="1:2" ht="24.45">
      <c r="A159" s="495" t="s">
        <v>2390</v>
      </c>
      <c r="B159" s="491" t="s">
        <v>2541</v>
      </c>
    </row>
    <row r="160" spans="1:2" ht="24.45">
      <c r="A160" s="496" t="s">
        <v>2392</v>
      </c>
      <c r="B160" s="491" t="s">
        <v>2542</v>
      </c>
    </row>
    <row r="161" spans="1:2" ht="19.75">
      <c r="B161" s="491"/>
    </row>
    <row r="162" spans="1:2" ht="24.45">
      <c r="A162" s="488" t="s">
        <v>2543</v>
      </c>
      <c r="B162" s="489" t="s">
        <v>2544</v>
      </c>
    </row>
    <row r="163" spans="1:2" ht="24.45">
      <c r="A163" s="490" t="s">
        <v>2383</v>
      </c>
      <c r="B163" s="491" t="s">
        <v>2545</v>
      </c>
    </row>
    <row r="164" spans="1:2" ht="24.45">
      <c r="A164" s="492" t="s">
        <v>239</v>
      </c>
      <c r="B164" s="491" t="s">
        <v>2546</v>
      </c>
    </row>
    <row r="165" spans="1:2" ht="24.45">
      <c r="A165" s="493" t="s">
        <v>2386</v>
      </c>
      <c r="B165" s="491" t="s">
        <v>2547</v>
      </c>
    </row>
    <row r="166" spans="1:2" ht="24.45">
      <c r="A166" s="494" t="s">
        <v>2388</v>
      </c>
      <c r="B166" s="491" t="s">
        <v>2548</v>
      </c>
    </row>
    <row r="167" spans="1:2" ht="24.45">
      <c r="A167" s="495" t="s">
        <v>2390</v>
      </c>
      <c r="B167" s="491" t="s">
        <v>2549</v>
      </c>
    </row>
    <row r="168" spans="1:2" ht="24.45">
      <c r="A168" s="496" t="s">
        <v>2392</v>
      </c>
      <c r="B168" s="491" t="s">
        <v>2550</v>
      </c>
    </row>
    <row r="169" spans="1:2" ht="19.75">
      <c r="B169" s="491"/>
    </row>
    <row r="170" spans="1:2" ht="24.45">
      <c r="A170" s="488" t="s">
        <v>2551</v>
      </c>
      <c r="B170" s="489" t="s">
        <v>2552</v>
      </c>
    </row>
    <row r="171" spans="1:2" ht="24.45">
      <c r="A171" s="490" t="s">
        <v>2383</v>
      </c>
      <c r="B171" s="491" t="s">
        <v>2553</v>
      </c>
    </row>
    <row r="172" spans="1:2" ht="24.45">
      <c r="A172" s="492" t="s">
        <v>239</v>
      </c>
      <c r="B172" s="491" t="s">
        <v>2554</v>
      </c>
    </row>
    <row r="173" spans="1:2" ht="24.45">
      <c r="A173" s="493" t="s">
        <v>2386</v>
      </c>
      <c r="B173" s="491" t="s">
        <v>2555</v>
      </c>
    </row>
    <row r="174" spans="1:2" ht="24.45">
      <c r="A174" s="494" t="s">
        <v>2388</v>
      </c>
      <c r="B174" s="491" t="s">
        <v>2556</v>
      </c>
    </row>
    <row r="175" spans="1:2" ht="24.45">
      <c r="A175" s="495" t="s">
        <v>2390</v>
      </c>
      <c r="B175" s="491" t="s">
        <v>2557</v>
      </c>
    </row>
    <row r="176" spans="1:2" ht="24.45">
      <c r="A176" s="496" t="s">
        <v>2392</v>
      </c>
      <c r="B176" s="491" t="s">
        <v>2558</v>
      </c>
    </row>
    <row r="177" spans="1:2" ht="19.75">
      <c r="B177" s="491"/>
    </row>
    <row r="178" spans="1:2" ht="24.45">
      <c r="A178" s="488" t="s">
        <v>2559</v>
      </c>
      <c r="B178" s="489" t="s">
        <v>2560</v>
      </c>
    </row>
    <row r="179" spans="1:2" ht="24.45">
      <c r="A179" s="490" t="s">
        <v>2383</v>
      </c>
      <c r="B179" s="491" t="s">
        <v>2561</v>
      </c>
    </row>
    <row r="180" spans="1:2" ht="24.45">
      <c r="A180" s="492" t="s">
        <v>239</v>
      </c>
      <c r="B180" s="491" t="s">
        <v>2562</v>
      </c>
    </row>
    <row r="181" spans="1:2" ht="24.45">
      <c r="A181" s="493" t="s">
        <v>2386</v>
      </c>
      <c r="B181" s="491" t="s">
        <v>2563</v>
      </c>
    </row>
    <row r="182" spans="1:2" ht="24.45">
      <c r="A182" s="494" t="s">
        <v>2388</v>
      </c>
      <c r="B182" s="491" t="s">
        <v>2564</v>
      </c>
    </row>
    <row r="183" spans="1:2" ht="24.45">
      <c r="A183" s="495" t="s">
        <v>2390</v>
      </c>
      <c r="B183" s="491" t="s">
        <v>2565</v>
      </c>
    </row>
    <row r="184" spans="1:2" ht="24.45">
      <c r="A184" s="496" t="s">
        <v>2392</v>
      </c>
      <c r="B184" s="491" t="s">
        <v>2566</v>
      </c>
    </row>
    <row r="185" spans="1:2" ht="19.75">
      <c r="B185" s="491"/>
    </row>
    <row r="186" spans="1:2" ht="24.45">
      <c r="A186" s="488" t="s">
        <v>2567</v>
      </c>
      <c r="B186" s="489" t="s">
        <v>2568</v>
      </c>
    </row>
    <row r="187" spans="1:2" ht="24.45">
      <c r="A187" s="490" t="s">
        <v>2383</v>
      </c>
      <c r="B187" s="491" t="s">
        <v>2569</v>
      </c>
    </row>
    <row r="188" spans="1:2" ht="24.45">
      <c r="A188" s="492" t="s">
        <v>239</v>
      </c>
      <c r="B188" s="491" t="s">
        <v>2570</v>
      </c>
    </row>
    <row r="189" spans="1:2" ht="24.45">
      <c r="A189" s="493" t="s">
        <v>2386</v>
      </c>
      <c r="B189" s="491" t="s">
        <v>2571</v>
      </c>
    </row>
    <row r="190" spans="1:2" ht="24.45">
      <c r="A190" s="494" t="s">
        <v>2388</v>
      </c>
      <c r="B190" s="491" t="s">
        <v>2572</v>
      </c>
    </row>
    <row r="191" spans="1:2" ht="24.45">
      <c r="A191" s="495" t="s">
        <v>2390</v>
      </c>
      <c r="B191" s="491" t="s">
        <v>2573</v>
      </c>
    </row>
    <row r="192" spans="1:2" ht="24.45">
      <c r="A192" s="496" t="s">
        <v>2392</v>
      </c>
      <c r="B192" s="491" t="s">
        <v>2574</v>
      </c>
    </row>
    <row r="193" spans="1:2" ht="19.75">
      <c r="B193" s="491"/>
    </row>
    <row r="194" spans="1:2" ht="24.45">
      <c r="A194" s="488" t="s">
        <v>2575</v>
      </c>
      <c r="B194" s="489" t="s">
        <v>2576</v>
      </c>
    </row>
    <row r="195" spans="1:2" ht="24.45">
      <c r="A195" s="490" t="s">
        <v>2383</v>
      </c>
      <c r="B195" s="491" t="s">
        <v>2577</v>
      </c>
    </row>
    <row r="196" spans="1:2" ht="24.45">
      <c r="A196" s="492" t="s">
        <v>239</v>
      </c>
      <c r="B196" s="491" t="s">
        <v>2578</v>
      </c>
    </row>
    <row r="197" spans="1:2" ht="24.45">
      <c r="A197" s="493" t="s">
        <v>2386</v>
      </c>
      <c r="B197" s="491" t="s">
        <v>2579</v>
      </c>
    </row>
    <row r="198" spans="1:2" ht="24.45">
      <c r="A198" s="494" t="s">
        <v>2388</v>
      </c>
      <c r="B198" s="491" t="s">
        <v>2580</v>
      </c>
    </row>
    <row r="199" spans="1:2" ht="24.45">
      <c r="A199" s="495" t="s">
        <v>2390</v>
      </c>
      <c r="B199" s="491" t="s">
        <v>2581</v>
      </c>
    </row>
    <row r="200" spans="1:2" ht="24.45">
      <c r="A200" s="496" t="s">
        <v>2392</v>
      </c>
      <c r="B200" s="491" t="s">
        <v>2582</v>
      </c>
    </row>
    <row r="201" spans="1:2" ht="19.75">
      <c r="B201" s="491"/>
    </row>
    <row r="202" spans="1:2" ht="24.45">
      <c r="A202" s="488" t="s">
        <v>2583</v>
      </c>
      <c r="B202" s="489" t="s">
        <v>2584</v>
      </c>
    </row>
    <row r="203" spans="1:2" ht="24.45">
      <c r="A203" s="490" t="s">
        <v>2383</v>
      </c>
      <c r="B203" s="491" t="s">
        <v>2585</v>
      </c>
    </row>
    <row r="204" spans="1:2" ht="24.45">
      <c r="A204" s="492" t="s">
        <v>239</v>
      </c>
      <c r="B204" s="491" t="s">
        <v>2586</v>
      </c>
    </row>
    <row r="205" spans="1:2" ht="24.45">
      <c r="A205" s="493" t="s">
        <v>2386</v>
      </c>
      <c r="B205" s="491" t="s">
        <v>2587</v>
      </c>
    </row>
    <row r="206" spans="1:2" ht="24.45">
      <c r="A206" s="494" t="s">
        <v>2388</v>
      </c>
      <c r="B206" s="491" t="s">
        <v>2588</v>
      </c>
    </row>
    <row r="207" spans="1:2" ht="24.45">
      <c r="A207" s="495" t="s">
        <v>2390</v>
      </c>
      <c r="B207" s="491" t="s">
        <v>2589</v>
      </c>
    </row>
    <row r="208" spans="1:2" ht="24.45">
      <c r="A208" s="496" t="s">
        <v>2392</v>
      </c>
      <c r="B208" s="491" t="s">
        <v>2590</v>
      </c>
    </row>
    <row r="209" spans="1:2" ht="19.75">
      <c r="B209" s="491"/>
    </row>
    <row r="210" spans="1:2" ht="24.45">
      <c r="A210" s="488" t="s">
        <v>2591</v>
      </c>
      <c r="B210" s="489" t="s">
        <v>2592</v>
      </c>
    </row>
    <row r="211" spans="1:2" ht="24.45">
      <c r="A211" s="490" t="s">
        <v>2383</v>
      </c>
      <c r="B211" s="491" t="s">
        <v>2593</v>
      </c>
    </row>
    <row r="212" spans="1:2" ht="24.45">
      <c r="A212" s="492" t="s">
        <v>239</v>
      </c>
      <c r="B212" s="491" t="s">
        <v>2594</v>
      </c>
    </row>
    <row r="213" spans="1:2" ht="24.45">
      <c r="A213" s="493" t="s">
        <v>2386</v>
      </c>
      <c r="B213" s="491" t="s">
        <v>2595</v>
      </c>
    </row>
    <row r="214" spans="1:2" ht="24.45">
      <c r="A214" s="494" t="s">
        <v>2388</v>
      </c>
      <c r="B214" s="491" t="s">
        <v>2596</v>
      </c>
    </row>
    <row r="215" spans="1:2" ht="24.45">
      <c r="A215" s="495" t="s">
        <v>2390</v>
      </c>
      <c r="B215" s="491" t="s">
        <v>2597</v>
      </c>
    </row>
    <row r="216" spans="1:2" ht="24.45">
      <c r="A216" s="496" t="s">
        <v>2392</v>
      </c>
      <c r="B216" s="491" t="s">
        <v>2598</v>
      </c>
    </row>
    <row r="217" spans="1:2" ht="19.75">
      <c r="B217" s="491"/>
    </row>
    <row r="218" spans="1:2" ht="24.45">
      <c r="A218" s="488" t="s">
        <v>2599</v>
      </c>
      <c r="B218" s="489" t="s">
        <v>2600</v>
      </c>
    </row>
    <row r="219" spans="1:2" ht="24.45">
      <c r="A219" s="490" t="s">
        <v>2383</v>
      </c>
      <c r="B219" s="491" t="s">
        <v>2601</v>
      </c>
    </row>
    <row r="220" spans="1:2" ht="24.45">
      <c r="A220" s="492" t="s">
        <v>239</v>
      </c>
      <c r="B220" s="491" t="s">
        <v>2602</v>
      </c>
    </row>
    <row r="221" spans="1:2" ht="24.45">
      <c r="A221" s="493" t="s">
        <v>2386</v>
      </c>
      <c r="B221" s="491" t="s">
        <v>2603</v>
      </c>
    </row>
    <row r="222" spans="1:2" ht="24.45">
      <c r="A222" s="494" t="s">
        <v>2388</v>
      </c>
      <c r="B222" s="491" t="s">
        <v>2604</v>
      </c>
    </row>
    <row r="223" spans="1:2" ht="24.45">
      <c r="A223" s="495" t="s">
        <v>2390</v>
      </c>
      <c r="B223" s="491" t="s">
        <v>2605</v>
      </c>
    </row>
    <row r="224" spans="1:2" ht="24.45">
      <c r="A224" s="496" t="s">
        <v>2392</v>
      </c>
      <c r="B224" s="491" t="s">
        <v>2606</v>
      </c>
    </row>
    <row r="225" spans="1:2" ht="19.75">
      <c r="B225" s="491"/>
    </row>
    <row r="226" spans="1:2" ht="24.45">
      <c r="A226" s="488" t="s">
        <v>2607</v>
      </c>
      <c r="B226" s="489" t="s">
        <v>2608</v>
      </c>
    </row>
    <row r="227" spans="1:2" ht="24.45">
      <c r="A227" s="490" t="s">
        <v>2383</v>
      </c>
      <c r="B227" s="491" t="s">
        <v>2609</v>
      </c>
    </row>
    <row r="228" spans="1:2" ht="24.45">
      <c r="A228" s="492" t="s">
        <v>239</v>
      </c>
      <c r="B228" s="491" t="s">
        <v>2610</v>
      </c>
    </row>
    <row r="229" spans="1:2" ht="24.45">
      <c r="A229" s="493" t="s">
        <v>2386</v>
      </c>
      <c r="B229" s="491" t="s">
        <v>2611</v>
      </c>
    </row>
    <row r="230" spans="1:2" ht="24.45">
      <c r="A230" s="494" t="s">
        <v>2388</v>
      </c>
      <c r="B230" s="491" t="s">
        <v>2612</v>
      </c>
    </row>
    <row r="231" spans="1:2" ht="24.45">
      <c r="A231" s="495" t="s">
        <v>2390</v>
      </c>
      <c r="B231" s="491" t="s">
        <v>2613</v>
      </c>
    </row>
    <row r="232" spans="1:2" ht="24.45">
      <c r="A232" s="496" t="s">
        <v>2392</v>
      </c>
      <c r="B232" s="491" t="s">
        <v>2614</v>
      </c>
    </row>
    <row r="233" spans="1:2" ht="19.75">
      <c r="B233" s="491"/>
    </row>
    <row r="234" spans="1:2" ht="24.45">
      <c r="A234" s="488" t="s">
        <v>2615</v>
      </c>
      <c r="B234" s="489" t="s">
        <v>2616</v>
      </c>
    </row>
    <row r="235" spans="1:2" ht="24.45">
      <c r="A235" s="490" t="s">
        <v>2383</v>
      </c>
      <c r="B235" s="491" t="s">
        <v>2617</v>
      </c>
    </row>
    <row r="236" spans="1:2" ht="24.45">
      <c r="A236" s="492" t="s">
        <v>239</v>
      </c>
      <c r="B236" s="491" t="s">
        <v>2618</v>
      </c>
    </row>
    <row r="237" spans="1:2" ht="24.45">
      <c r="A237" s="493" t="s">
        <v>2386</v>
      </c>
      <c r="B237" s="491" t="s">
        <v>2619</v>
      </c>
    </row>
    <row r="238" spans="1:2" ht="24.45">
      <c r="A238" s="494" t="s">
        <v>2388</v>
      </c>
      <c r="B238" s="491" t="s">
        <v>2620</v>
      </c>
    </row>
    <row r="239" spans="1:2" ht="24.45">
      <c r="A239" s="495" t="s">
        <v>2390</v>
      </c>
      <c r="B239" s="491" t="s">
        <v>2621</v>
      </c>
    </row>
    <row r="240" spans="1:2" ht="24.45">
      <c r="A240" s="496" t="s">
        <v>2392</v>
      </c>
      <c r="B240" s="491" t="s">
        <v>2622</v>
      </c>
    </row>
    <row r="241" spans="1:2" ht="19.75">
      <c r="B241" s="491"/>
    </row>
    <row r="242" spans="1:2" ht="24.45">
      <c r="A242" s="488" t="s">
        <v>2623</v>
      </c>
      <c r="B242" s="489" t="s">
        <v>2624</v>
      </c>
    </row>
    <row r="243" spans="1:2" ht="24.45">
      <c r="A243" s="490" t="s">
        <v>2383</v>
      </c>
      <c r="B243" s="491" t="s">
        <v>2625</v>
      </c>
    </row>
    <row r="244" spans="1:2" ht="24.45">
      <c r="A244" s="492" t="s">
        <v>239</v>
      </c>
      <c r="B244" s="491" t="s">
        <v>2626</v>
      </c>
    </row>
    <row r="245" spans="1:2" ht="24.45">
      <c r="A245" s="493" t="s">
        <v>2386</v>
      </c>
      <c r="B245" s="491" t="s">
        <v>2627</v>
      </c>
    </row>
    <row r="246" spans="1:2" ht="24.45">
      <c r="A246" s="494" t="s">
        <v>2388</v>
      </c>
      <c r="B246" s="491" t="s">
        <v>2628</v>
      </c>
    </row>
    <row r="247" spans="1:2" ht="24.45">
      <c r="A247" s="495" t="s">
        <v>2390</v>
      </c>
      <c r="B247" s="491" t="s">
        <v>2629</v>
      </c>
    </row>
    <row r="248" spans="1:2" ht="24.45">
      <c r="A248" s="496" t="s">
        <v>2392</v>
      </c>
      <c r="B248" s="491" t="s">
        <v>2630</v>
      </c>
    </row>
    <row r="249" spans="1:2" ht="19.75">
      <c r="B249" s="491"/>
    </row>
    <row r="250" spans="1:2" ht="24.45">
      <c r="A250" s="488" t="s">
        <v>2631</v>
      </c>
      <c r="B250" s="489" t="s">
        <v>2632</v>
      </c>
    </row>
    <row r="251" spans="1:2" ht="24.45">
      <c r="A251" s="490" t="s">
        <v>2383</v>
      </c>
      <c r="B251" s="491" t="s">
        <v>2633</v>
      </c>
    </row>
    <row r="252" spans="1:2" ht="24.45">
      <c r="A252" s="492" t="s">
        <v>239</v>
      </c>
      <c r="B252" s="491" t="s">
        <v>2634</v>
      </c>
    </row>
    <row r="253" spans="1:2" ht="24.45">
      <c r="A253" s="493" t="s">
        <v>2386</v>
      </c>
      <c r="B253" s="491" t="s">
        <v>2635</v>
      </c>
    </row>
    <row r="254" spans="1:2" ht="24.45">
      <c r="A254" s="494" t="s">
        <v>2388</v>
      </c>
      <c r="B254" s="491" t="s">
        <v>2636</v>
      </c>
    </row>
    <row r="255" spans="1:2" ht="24.45">
      <c r="A255" s="495" t="s">
        <v>2390</v>
      </c>
      <c r="B255" s="491" t="s">
        <v>2637</v>
      </c>
    </row>
    <row r="256" spans="1:2" ht="24.45">
      <c r="A256" s="496" t="s">
        <v>2392</v>
      </c>
      <c r="B256" s="491" t="s">
        <v>2638</v>
      </c>
    </row>
    <row r="257" spans="1:2" ht="19.75">
      <c r="B257" s="491"/>
    </row>
    <row r="258" spans="1:2" ht="24.45">
      <c r="A258" s="488" t="s">
        <v>2639</v>
      </c>
      <c r="B258" s="489" t="s">
        <v>2640</v>
      </c>
    </row>
    <row r="259" spans="1:2" ht="24.45">
      <c r="A259" s="490" t="s">
        <v>2383</v>
      </c>
      <c r="B259" s="491" t="s">
        <v>2641</v>
      </c>
    </row>
    <row r="260" spans="1:2" ht="24.45">
      <c r="A260" s="492" t="s">
        <v>239</v>
      </c>
      <c r="B260" s="491" t="s">
        <v>2642</v>
      </c>
    </row>
    <row r="261" spans="1:2" ht="24.45">
      <c r="A261" s="493" t="s">
        <v>2386</v>
      </c>
      <c r="B261" s="491" t="s">
        <v>2643</v>
      </c>
    </row>
    <row r="262" spans="1:2" ht="24.45">
      <c r="A262" s="494" t="s">
        <v>2388</v>
      </c>
      <c r="B262" s="491" t="s">
        <v>2644</v>
      </c>
    </row>
    <row r="263" spans="1:2" ht="24.45">
      <c r="A263" s="495" t="s">
        <v>2390</v>
      </c>
      <c r="B263" s="491" t="s">
        <v>2645</v>
      </c>
    </row>
    <row r="264" spans="1:2" ht="24.45">
      <c r="A264" s="496" t="s">
        <v>2392</v>
      </c>
      <c r="B264" s="491" t="s">
        <v>2646</v>
      </c>
    </row>
    <row r="265" spans="1:2" ht="19.75">
      <c r="B265" s="491"/>
    </row>
    <row r="266" spans="1:2" ht="24.45">
      <c r="A266" s="488" t="s">
        <v>2647</v>
      </c>
      <c r="B266" s="489" t="s">
        <v>2648</v>
      </c>
    </row>
    <row r="267" spans="1:2" ht="24.45">
      <c r="A267" s="490" t="s">
        <v>2383</v>
      </c>
      <c r="B267" s="491" t="s">
        <v>2649</v>
      </c>
    </row>
    <row r="268" spans="1:2" ht="24.45">
      <c r="A268" s="492" t="s">
        <v>239</v>
      </c>
      <c r="B268" s="491" t="s">
        <v>2650</v>
      </c>
    </row>
    <row r="269" spans="1:2" ht="24.45">
      <c r="A269" s="493" t="s">
        <v>2386</v>
      </c>
      <c r="B269" s="491" t="s">
        <v>2651</v>
      </c>
    </row>
    <row r="270" spans="1:2" ht="24.45">
      <c r="A270" s="494" t="s">
        <v>2388</v>
      </c>
      <c r="B270" s="491" t="s">
        <v>2652</v>
      </c>
    </row>
    <row r="271" spans="1:2" ht="24.45">
      <c r="A271" s="495" t="s">
        <v>2390</v>
      </c>
      <c r="B271" s="491" t="s">
        <v>2653</v>
      </c>
    </row>
    <row r="272" spans="1:2" ht="24.45">
      <c r="A272" s="496" t="s">
        <v>2392</v>
      </c>
      <c r="B272" s="491" t="s">
        <v>2654</v>
      </c>
    </row>
    <row r="273" spans="1:2" ht="19.75">
      <c r="B273" s="491"/>
    </row>
    <row r="274" spans="1:2" ht="24.45">
      <c r="A274" s="488" t="s">
        <v>2655</v>
      </c>
      <c r="B274" s="498" t="s">
        <v>2656</v>
      </c>
    </row>
    <row r="275" spans="1:2" ht="24.45">
      <c r="A275" s="490" t="s">
        <v>2383</v>
      </c>
      <c r="B275" s="499" t="s">
        <v>2657</v>
      </c>
    </row>
    <row r="276" spans="1:2" ht="24.45">
      <c r="A276" s="492" t="s">
        <v>239</v>
      </c>
      <c r="B276" s="499" t="s">
        <v>2658</v>
      </c>
    </row>
    <row r="277" spans="1:2" ht="24.45">
      <c r="A277" s="493" t="s">
        <v>2386</v>
      </c>
      <c r="B277" s="499" t="s">
        <v>2659</v>
      </c>
    </row>
    <row r="278" spans="1:2" ht="24.45">
      <c r="A278" s="494" t="s">
        <v>2388</v>
      </c>
      <c r="B278" s="499" t="s">
        <v>2660</v>
      </c>
    </row>
    <row r="279" spans="1:2" ht="24.45">
      <c r="A279" s="495" t="s">
        <v>2390</v>
      </c>
      <c r="B279" s="499" t="s">
        <v>2661</v>
      </c>
    </row>
    <row r="280" spans="1:2" ht="24.45">
      <c r="A280" s="496" t="s">
        <v>2392</v>
      </c>
      <c r="B280" s="499" t="s">
        <v>2662</v>
      </c>
    </row>
    <row r="281" spans="1:2" ht="19.75">
      <c r="B281" s="491"/>
    </row>
    <row r="282" spans="1:2" ht="24.45">
      <c r="A282" s="488" t="s">
        <v>2663</v>
      </c>
      <c r="B282" s="489" t="s">
        <v>2664</v>
      </c>
    </row>
    <row r="283" spans="1:2" ht="24.45">
      <c r="A283" s="490" t="s">
        <v>2383</v>
      </c>
      <c r="B283" s="491" t="s">
        <v>2665</v>
      </c>
    </row>
    <row r="284" spans="1:2" ht="24.45">
      <c r="A284" s="492" t="s">
        <v>239</v>
      </c>
      <c r="B284" s="491" t="s">
        <v>2666</v>
      </c>
    </row>
    <row r="285" spans="1:2" ht="24.45">
      <c r="A285" s="493" t="s">
        <v>2386</v>
      </c>
      <c r="B285" s="491" t="s">
        <v>2667</v>
      </c>
    </row>
    <row r="286" spans="1:2" ht="24.45">
      <c r="A286" s="494" t="s">
        <v>2388</v>
      </c>
      <c r="B286" s="491" t="s">
        <v>2668</v>
      </c>
    </row>
    <row r="287" spans="1:2" ht="24.45">
      <c r="A287" s="495" t="s">
        <v>2390</v>
      </c>
      <c r="B287" s="491" t="s">
        <v>2669</v>
      </c>
    </row>
    <row r="288" spans="1:2" ht="24.45">
      <c r="A288" s="496" t="s">
        <v>2392</v>
      </c>
      <c r="B288" s="491" t="s">
        <v>2670</v>
      </c>
    </row>
    <row r="1038364" spans="2:2">
      <c r="B1038364" s="500"/>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39997558519241921"/>
  </sheetPr>
  <dimension ref="A1:P1876"/>
  <sheetViews>
    <sheetView topLeftCell="A980" workbookViewId="0">
      <pane xSplit="1" topLeftCell="B1" activePane="topRight" state="frozen"/>
      <selection activeCell="A112" sqref="A112"/>
      <selection pane="topRight" activeCell="B996" sqref="B996"/>
    </sheetView>
  </sheetViews>
  <sheetFormatPr defaultColWidth="12.640625" defaultRowHeight="15" customHeight="1"/>
  <cols>
    <col min="1" max="1" width="28.640625" style="501" customWidth="1"/>
    <col min="2" max="2" width="223.7109375" style="502" customWidth="1"/>
    <col min="3" max="3" width="12.640625" style="65" customWidth="1"/>
    <col min="4" max="4" width="36" style="65" bestFit="1" customWidth="1"/>
    <col min="5" max="5" width="32.5" style="65" customWidth="1"/>
    <col min="6" max="6" width="33" style="65" customWidth="1"/>
    <col min="7" max="7" width="35" style="65" customWidth="1"/>
    <col min="8" max="8" width="12.640625" style="65" hidden="1" customWidth="1"/>
    <col min="9" max="9" width="7.5" style="65" customWidth="1"/>
    <col min="10" max="10" width="43.140625" style="65" customWidth="1"/>
    <col min="11" max="11" width="12.640625" style="503"/>
    <col min="12" max="12" width="35" style="65" customWidth="1"/>
    <col min="13" max="13" width="28.5" style="65" customWidth="1"/>
    <col min="14" max="14" width="17" style="65" customWidth="1"/>
    <col min="15" max="15" width="12.640625" style="65"/>
    <col min="16" max="16" width="15.35546875" style="65" customWidth="1"/>
    <col min="17" max="17" width="44.2109375" style="65" customWidth="1"/>
    <col min="18" max="16384" width="12.640625" style="65"/>
  </cols>
  <sheetData>
    <row r="1" spans="1:16" ht="15.45">
      <c r="A1" s="728" t="s">
        <v>2671</v>
      </c>
      <c r="B1" s="729" t="s">
        <v>2672</v>
      </c>
      <c r="C1" s="504"/>
      <c r="D1" s="504"/>
      <c r="E1" s="504"/>
      <c r="F1" s="504"/>
      <c r="G1" s="504"/>
      <c r="H1" s="504"/>
      <c r="I1" s="504"/>
      <c r="J1" s="505"/>
      <c r="K1" s="506"/>
      <c r="L1" s="504"/>
      <c r="M1" s="504"/>
      <c r="N1" s="504"/>
      <c r="O1" s="504"/>
      <c r="P1" s="504"/>
    </row>
    <row r="2" spans="1:16" ht="15" customHeight="1">
      <c r="A2" s="730"/>
      <c r="B2" s="559"/>
      <c r="C2" s="504"/>
      <c r="D2" s="504"/>
      <c r="E2" s="504"/>
      <c r="F2" s="504"/>
      <c r="G2" s="504"/>
      <c r="H2" s="504"/>
      <c r="I2" s="504"/>
      <c r="J2" s="505"/>
      <c r="K2" s="506"/>
      <c r="L2" s="504"/>
      <c r="M2" s="504"/>
      <c r="N2" s="504"/>
      <c r="O2" s="504"/>
      <c r="P2" s="504"/>
    </row>
    <row r="3" spans="1:16" ht="15" customHeight="1">
      <c r="A3" s="729" t="s">
        <v>2673</v>
      </c>
      <c r="B3" s="731" t="s">
        <v>2674</v>
      </c>
      <c r="C3" s="55"/>
      <c r="D3" s="504"/>
      <c r="E3" s="504"/>
      <c r="F3" s="504"/>
      <c r="G3" s="504"/>
      <c r="H3" s="504"/>
      <c r="I3" s="504"/>
      <c r="J3" s="505"/>
      <c r="K3" s="506"/>
      <c r="L3" s="504"/>
      <c r="M3" s="504"/>
      <c r="N3" s="504"/>
      <c r="O3" s="504"/>
      <c r="P3" s="504"/>
    </row>
    <row r="4" spans="1:16">
      <c r="A4" s="732" t="s">
        <v>2675</v>
      </c>
      <c r="B4" s="731" t="s">
        <v>5722</v>
      </c>
      <c r="C4" s="55"/>
      <c r="D4" s="507"/>
      <c r="E4" s="504"/>
      <c r="F4" s="504"/>
      <c r="G4" s="504"/>
      <c r="H4" s="504"/>
      <c r="I4" s="504"/>
      <c r="J4" s="505"/>
      <c r="K4" s="506"/>
      <c r="L4" s="504"/>
      <c r="M4" s="504"/>
      <c r="N4" s="504"/>
      <c r="O4" s="504"/>
      <c r="P4" s="504"/>
    </row>
    <row r="5" spans="1:16" ht="15.75" customHeight="1">
      <c r="A5" s="732" t="s">
        <v>2675</v>
      </c>
      <c r="B5" s="731" t="s">
        <v>2676</v>
      </c>
      <c r="C5" s="55"/>
      <c r="D5" s="507"/>
      <c r="E5" s="504"/>
      <c r="F5" s="504"/>
      <c r="G5" s="504"/>
      <c r="H5" s="504"/>
      <c r="I5" s="504"/>
      <c r="J5" s="505"/>
      <c r="K5" s="506"/>
      <c r="L5" s="504"/>
      <c r="M5" s="504"/>
      <c r="N5" s="504"/>
      <c r="O5" s="504"/>
      <c r="P5" s="504"/>
    </row>
    <row r="6" spans="1:16" ht="15.75" customHeight="1">
      <c r="A6" s="733" t="s">
        <v>5723</v>
      </c>
      <c r="B6" s="731" t="s">
        <v>5724</v>
      </c>
      <c r="C6" s="55"/>
      <c r="D6" s="507"/>
      <c r="E6" s="504"/>
      <c r="F6" s="504"/>
      <c r="G6" s="504"/>
      <c r="H6" s="504"/>
      <c r="I6" s="504"/>
      <c r="J6" s="505"/>
      <c r="K6" s="506"/>
      <c r="L6" s="504"/>
      <c r="M6" s="504"/>
      <c r="N6" s="504"/>
      <c r="O6" s="504"/>
      <c r="P6" s="504"/>
    </row>
    <row r="7" spans="1:16">
      <c r="A7" s="733" t="s">
        <v>5723</v>
      </c>
      <c r="B7" s="731" t="s">
        <v>2680</v>
      </c>
      <c r="C7" s="55"/>
      <c r="D7" s="507"/>
      <c r="E7" s="504"/>
      <c r="F7" s="504"/>
      <c r="G7" s="504"/>
      <c r="H7" s="504"/>
      <c r="I7" s="504"/>
      <c r="J7" s="505"/>
      <c r="K7" s="506"/>
      <c r="L7" s="504"/>
      <c r="M7" s="504"/>
      <c r="N7" s="504"/>
      <c r="O7" s="504"/>
      <c r="P7" s="504"/>
    </row>
    <row r="8" spans="1:16" ht="15" customHeight="1">
      <c r="A8" s="734" t="s">
        <v>2677</v>
      </c>
      <c r="B8" s="731" t="s">
        <v>2678</v>
      </c>
      <c r="C8" s="55"/>
      <c r="D8" s="507"/>
      <c r="E8" s="504"/>
      <c r="F8" s="504"/>
      <c r="G8" s="504"/>
      <c r="H8" s="504"/>
      <c r="I8" s="504"/>
      <c r="J8" s="505"/>
      <c r="K8" s="506"/>
      <c r="L8" s="504"/>
      <c r="M8" s="504"/>
      <c r="N8" s="504"/>
      <c r="O8" s="504"/>
      <c r="P8" s="504"/>
    </row>
    <row r="9" spans="1:16">
      <c r="A9" s="734" t="s">
        <v>2677</v>
      </c>
      <c r="B9" s="731" t="s">
        <v>2679</v>
      </c>
      <c r="C9" s="55"/>
      <c r="D9" s="507"/>
      <c r="E9" s="504"/>
      <c r="F9" s="504"/>
      <c r="G9" s="504"/>
      <c r="H9" s="504"/>
      <c r="I9" s="504"/>
      <c r="J9" s="505"/>
      <c r="K9" s="506"/>
      <c r="L9" s="504"/>
      <c r="M9" s="504"/>
      <c r="N9" s="504"/>
      <c r="O9" s="504"/>
      <c r="P9" s="504"/>
    </row>
    <row r="10" spans="1:16">
      <c r="A10" s="734" t="s">
        <v>2677</v>
      </c>
      <c r="B10" s="731" t="s">
        <v>2680</v>
      </c>
      <c r="C10" s="55"/>
      <c r="D10" s="507"/>
      <c r="E10" s="504"/>
      <c r="F10" s="504"/>
      <c r="G10" s="504"/>
      <c r="H10" s="504"/>
      <c r="I10" s="504"/>
      <c r="J10" s="505"/>
      <c r="K10" s="506"/>
      <c r="L10" s="504"/>
      <c r="M10" s="504"/>
      <c r="N10" s="504"/>
      <c r="O10" s="504"/>
      <c r="P10" s="504"/>
    </row>
    <row r="11" spans="1:16" ht="15.75" customHeight="1">
      <c r="A11" s="735" t="s">
        <v>2681</v>
      </c>
      <c r="B11" s="731" t="s">
        <v>2682</v>
      </c>
      <c r="C11" s="55"/>
      <c r="D11" s="507"/>
      <c r="E11" s="504"/>
      <c r="F11" s="504"/>
      <c r="G11" s="504"/>
      <c r="H11" s="504"/>
      <c r="I11" s="504"/>
      <c r="J11" s="505"/>
      <c r="K11" s="506"/>
      <c r="L11" s="504"/>
      <c r="M11" s="504"/>
      <c r="N11" s="504"/>
      <c r="O11" s="504"/>
      <c r="P11" s="504"/>
    </row>
    <row r="12" spans="1:16" ht="39.75" customHeight="1">
      <c r="A12" s="735" t="s">
        <v>2681</v>
      </c>
      <c r="B12" s="731" t="s">
        <v>2683</v>
      </c>
      <c r="C12" s="55"/>
      <c r="D12" s="507"/>
      <c r="E12" s="504"/>
      <c r="F12" s="504"/>
      <c r="G12" s="504"/>
      <c r="H12" s="504"/>
      <c r="I12" s="504"/>
      <c r="J12" s="505"/>
      <c r="K12" s="506"/>
      <c r="L12" s="504"/>
      <c r="M12" s="504"/>
      <c r="N12" s="504"/>
      <c r="O12" s="504"/>
      <c r="P12" s="504"/>
    </row>
    <row r="13" spans="1:16" ht="15.75" customHeight="1">
      <c r="A13" s="735" t="s">
        <v>2681</v>
      </c>
      <c r="B13" s="731" t="s">
        <v>2684</v>
      </c>
      <c r="C13" s="55"/>
      <c r="D13" s="507"/>
      <c r="E13" s="504"/>
      <c r="F13" s="504"/>
      <c r="G13" s="504"/>
      <c r="H13" s="504"/>
      <c r="I13" s="504"/>
      <c r="J13" s="505"/>
      <c r="K13" s="506"/>
      <c r="L13" s="504"/>
      <c r="M13" s="504"/>
      <c r="N13" s="504"/>
      <c r="O13" s="504"/>
      <c r="P13" s="504"/>
    </row>
    <row r="14" spans="1:16" ht="15.75" customHeight="1">
      <c r="A14" s="735" t="s">
        <v>2681</v>
      </c>
      <c r="B14" s="736" t="s">
        <v>2685</v>
      </c>
      <c r="C14" s="55"/>
      <c r="D14" s="507"/>
      <c r="E14" s="504"/>
      <c r="F14" s="504"/>
      <c r="G14" s="504"/>
      <c r="H14" s="504"/>
      <c r="I14" s="504"/>
      <c r="J14" s="505"/>
      <c r="K14" s="506"/>
      <c r="L14" s="504"/>
      <c r="M14" s="504"/>
      <c r="N14" s="504"/>
      <c r="O14" s="504"/>
      <c r="P14" s="504"/>
    </row>
    <row r="15" spans="1:16" ht="15.75" customHeight="1">
      <c r="A15" s="737" t="s">
        <v>2686</v>
      </c>
      <c r="B15" s="731" t="s">
        <v>2687</v>
      </c>
      <c r="C15" s="55"/>
      <c r="D15" s="507"/>
      <c r="E15" s="504"/>
      <c r="F15" s="504"/>
      <c r="G15" s="504"/>
      <c r="H15" s="504"/>
      <c r="I15" s="504"/>
      <c r="J15" s="505"/>
      <c r="K15" s="506"/>
      <c r="L15" s="504"/>
      <c r="M15" s="504"/>
      <c r="N15" s="504"/>
      <c r="O15" s="504"/>
      <c r="P15" s="504"/>
    </row>
    <row r="16" spans="1:16" ht="15.75" customHeight="1">
      <c r="A16" s="737" t="s">
        <v>2686</v>
      </c>
      <c r="B16" s="731" t="s">
        <v>2688</v>
      </c>
      <c r="C16" s="55"/>
      <c r="D16" s="507"/>
      <c r="E16" s="504"/>
      <c r="F16" s="504"/>
      <c r="G16" s="504"/>
      <c r="H16" s="504"/>
      <c r="I16" s="504"/>
      <c r="J16" s="505"/>
      <c r="K16" s="506"/>
      <c r="L16" s="504"/>
      <c r="M16" s="504"/>
      <c r="N16" s="504"/>
      <c r="O16" s="504"/>
      <c r="P16" s="504"/>
    </row>
    <row r="17" spans="1:16" ht="15.75" customHeight="1">
      <c r="A17" s="737" t="s">
        <v>2686</v>
      </c>
      <c r="B17" s="731" t="s">
        <v>2689</v>
      </c>
      <c r="C17" s="55"/>
      <c r="D17" s="507"/>
      <c r="E17" s="504"/>
      <c r="F17" s="504"/>
      <c r="G17" s="504"/>
      <c r="H17" s="504"/>
      <c r="I17" s="504"/>
      <c r="J17" s="505"/>
      <c r="K17" s="506"/>
      <c r="L17" s="504"/>
      <c r="M17" s="504"/>
      <c r="N17" s="504"/>
      <c r="O17" s="504"/>
      <c r="P17" s="504"/>
    </row>
    <row r="18" spans="1:16">
      <c r="A18" s="737" t="s">
        <v>2686</v>
      </c>
      <c r="B18" s="731" t="s">
        <v>2690</v>
      </c>
      <c r="C18" s="55"/>
      <c r="D18" s="507"/>
      <c r="E18" s="504"/>
      <c r="F18" s="504"/>
      <c r="G18" s="504"/>
      <c r="H18" s="504"/>
      <c r="I18" s="504"/>
      <c r="J18" s="505"/>
      <c r="K18" s="506"/>
      <c r="L18" s="504"/>
      <c r="M18" s="504"/>
      <c r="N18" s="504"/>
      <c r="O18" s="504"/>
      <c r="P18" s="504"/>
    </row>
    <row r="19" spans="1:16">
      <c r="A19" s="737" t="s">
        <v>2686</v>
      </c>
      <c r="B19" s="731" t="s">
        <v>2680</v>
      </c>
      <c r="C19" s="55"/>
      <c r="D19" s="507"/>
      <c r="E19" s="504"/>
      <c r="F19" s="504"/>
      <c r="G19" s="504"/>
      <c r="H19" s="504"/>
      <c r="I19" s="504"/>
      <c r="J19" s="505"/>
      <c r="K19" s="506"/>
      <c r="L19" s="504"/>
      <c r="M19" s="504"/>
      <c r="N19" s="504"/>
      <c r="O19" s="504"/>
      <c r="P19" s="504"/>
    </row>
    <row r="20" spans="1:16">
      <c r="A20" s="738" t="s">
        <v>2691</v>
      </c>
      <c r="B20" s="731" t="s">
        <v>2692</v>
      </c>
      <c r="C20" s="55"/>
      <c r="D20" s="507"/>
      <c r="E20" s="504"/>
      <c r="F20" s="504"/>
      <c r="G20" s="504"/>
      <c r="H20" s="504"/>
      <c r="I20" s="504"/>
      <c r="J20" s="505"/>
      <c r="K20" s="506"/>
      <c r="L20" s="504"/>
      <c r="M20" s="504"/>
      <c r="N20" s="504"/>
      <c r="O20" s="504"/>
      <c r="P20" s="504"/>
    </row>
    <row r="21" spans="1:16">
      <c r="A21" s="738" t="s">
        <v>2691</v>
      </c>
      <c r="B21" s="731" t="s">
        <v>5725</v>
      </c>
      <c r="C21" s="55"/>
      <c r="D21" s="507"/>
      <c r="E21" s="504"/>
      <c r="F21" s="504"/>
      <c r="G21" s="504"/>
      <c r="H21" s="504"/>
      <c r="I21" s="504"/>
      <c r="J21" s="505"/>
      <c r="K21" s="506"/>
      <c r="L21" s="504"/>
      <c r="M21" s="504"/>
      <c r="N21" s="504"/>
      <c r="O21" s="504"/>
      <c r="P21" s="504"/>
    </row>
    <row r="22" spans="1:16">
      <c r="A22" s="739" t="s">
        <v>2693</v>
      </c>
      <c r="B22" s="731" t="s">
        <v>2680</v>
      </c>
      <c r="C22" s="55"/>
      <c r="D22" s="507"/>
      <c r="E22" s="504"/>
      <c r="F22" s="504"/>
      <c r="G22" s="504"/>
      <c r="H22" s="504"/>
      <c r="I22" s="504"/>
      <c r="J22" s="505"/>
      <c r="K22" s="506"/>
      <c r="L22" s="504"/>
      <c r="M22" s="504"/>
      <c r="N22" s="504"/>
      <c r="O22" s="504"/>
      <c r="P22" s="504"/>
    </row>
    <row r="23" spans="1:16" ht="15.75" customHeight="1">
      <c r="A23" s="740"/>
      <c r="B23" s="559"/>
      <c r="C23" s="55"/>
      <c r="D23" s="507"/>
      <c r="E23" s="504"/>
      <c r="F23" s="504"/>
      <c r="G23" s="504"/>
      <c r="H23" s="504"/>
      <c r="I23" s="504"/>
      <c r="J23" s="505"/>
      <c r="K23" s="506"/>
      <c r="L23" s="504"/>
      <c r="M23" s="504"/>
      <c r="N23" s="504"/>
      <c r="O23" s="504"/>
      <c r="P23" s="504"/>
    </row>
    <row r="24" spans="1:16" ht="15.45">
      <c r="A24" s="729" t="s">
        <v>2694</v>
      </c>
      <c r="B24" s="731" t="s">
        <v>2674</v>
      </c>
      <c r="C24" s="55"/>
      <c r="D24" s="507"/>
      <c r="E24" s="504"/>
      <c r="F24" s="504"/>
      <c r="G24" s="504"/>
      <c r="H24" s="504"/>
      <c r="I24" s="504"/>
      <c r="J24" s="505"/>
      <c r="K24" s="506"/>
      <c r="L24" s="504"/>
      <c r="M24" s="504"/>
      <c r="N24" s="504"/>
      <c r="O24" s="504"/>
      <c r="P24" s="504"/>
    </row>
    <row r="25" spans="1:16">
      <c r="A25" s="732" t="s">
        <v>2675</v>
      </c>
      <c r="B25" s="731" t="s">
        <v>2695</v>
      </c>
      <c r="C25" s="55"/>
      <c r="D25" s="507"/>
      <c r="E25" s="504"/>
      <c r="F25" s="504"/>
      <c r="G25" s="504"/>
      <c r="H25" s="504"/>
      <c r="I25" s="504"/>
      <c r="J25" s="505"/>
      <c r="K25" s="506"/>
      <c r="L25" s="504"/>
      <c r="M25" s="504"/>
      <c r="N25" s="504"/>
      <c r="O25" s="504"/>
      <c r="P25" s="504"/>
    </row>
    <row r="26" spans="1:16" ht="15.75" customHeight="1">
      <c r="A26" s="732" t="s">
        <v>2675</v>
      </c>
      <c r="B26" s="731" t="s">
        <v>2696</v>
      </c>
      <c r="C26" s="55"/>
      <c r="D26" s="507"/>
      <c r="E26" s="504"/>
      <c r="F26" s="504"/>
      <c r="G26" s="504"/>
      <c r="H26" s="504"/>
      <c r="I26" s="504"/>
      <c r="J26" s="505"/>
      <c r="K26" s="506"/>
      <c r="L26" s="504"/>
      <c r="M26" s="504"/>
      <c r="N26" s="504"/>
      <c r="O26" s="504"/>
      <c r="P26" s="504"/>
    </row>
    <row r="27" spans="1:16">
      <c r="A27" s="733" t="s">
        <v>5723</v>
      </c>
      <c r="B27" s="731" t="s">
        <v>5726</v>
      </c>
      <c r="C27" s="55"/>
      <c r="D27" s="507"/>
      <c r="E27" s="504"/>
      <c r="F27" s="504"/>
      <c r="G27" s="504"/>
      <c r="H27" s="504"/>
      <c r="I27" s="504"/>
      <c r="J27" s="505"/>
      <c r="K27" s="506"/>
      <c r="L27" s="504"/>
      <c r="M27" s="504"/>
      <c r="N27" s="504"/>
      <c r="O27" s="504"/>
      <c r="P27" s="504"/>
    </row>
    <row r="28" spans="1:16" ht="15.75" customHeight="1">
      <c r="A28" s="733" t="s">
        <v>5723</v>
      </c>
      <c r="B28" s="731" t="s">
        <v>5727</v>
      </c>
      <c r="C28" s="55"/>
      <c r="D28" s="507"/>
      <c r="E28" s="504"/>
      <c r="F28" s="504"/>
      <c r="G28" s="504"/>
      <c r="H28" s="504"/>
      <c r="I28" s="504"/>
      <c r="J28" s="505"/>
      <c r="K28" s="506"/>
      <c r="L28" s="504"/>
      <c r="M28" s="504"/>
      <c r="N28" s="504"/>
      <c r="O28" s="504"/>
      <c r="P28" s="504"/>
    </row>
    <row r="29" spans="1:16" ht="15.75" customHeight="1">
      <c r="A29" s="734" t="s">
        <v>2677</v>
      </c>
      <c r="B29" s="731" t="s">
        <v>2697</v>
      </c>
      <c r="C29" s="55"/>
      <c r="D29" s="507"/>
      <c r="E29" s="504"/>
      <c r="F29" s="504"/>
      <c r="G29" s="504"/>
      <c r="H29" s="504"/>
      <c r="I29" s="504"/>
      <c r="J29" s="505"/>
      <c r="K29" s="506"/>
      <c r="L29" s="504"/>
      <c r="M29" s="504"/>
      <c r="N29" s="504"/>
      <c r="O29" s="504"/>
      <c r="P29" s="508"/>
    </row>
    <row r="30" spans="1:16" ht="15.75" customHeight="1">
      <c r="A30" s="734" t="s">
        <v>2677</v>
      </c>
      <c r="B30" s="731" t="s">
        <v>2698</v>
      </c>
      <c r="C30" s="55"/>
      <c r="D30" s="507"/>
      <c r="E30" s="504"/>
      <c r="F30" s="504"/>
      <c r="G30" s="504"/>
      <c r="H30" s="504"/>
      <c r="I30" s="504"/>
      <c r="J30" s="505"/>
      <c r="K30" s="506"/>
      <c r="L30" s="504"/>
      <c r="M30" s="504"/>
      <c r="N30" s="504"/>
      <c r="O30" s="504"/>
      <c r="P30" s="504"/>
    </row>
    <row r="31" spans="1:16" ht="15.75" customHeight="1">
      <c r="A31" s="734" t="s">
        <v>2677</v>
      </c>
      <c r="B31" s="731" t="s">
        <v>2699</v>
      </c>
      <c r="C31" s="55"/>
      <c r="D31" s="507"/>
      <c r="E31" s="504"/>
      <c r="F31" s="504"/>
      <c r="G31" s="504"/>
      <c r="H31" s="504"/>
      <c r="I31" s="504"/>
      <c r="J31" s="505"/>
      <c r="K31" s="506"/>
      <c r="L31" s="504"/>
      <c r="M31" s="504"/>
      <c r="N31" s="504"/>
      <c r="O31" s="504"/>
      <c r="P31" s="504"/>
    </row>
    <row r="32" spans="1:16">
      <c r="A32" s="735" t="s">
        <v>2681</v>
      </c>
      <c r="B32" s="731" t="s">
        <v>2700</v>
      </c>
      <c r="C32" s="55"/>
      <c r="D32" s="507"/>
      <c r="E32" s="504"/>
      <c r="F32" s="504"/>
      <c r="G32" s="504"/>
      <c r="H32" s="504"/>
      <c r="I32" s="504"/>
      <c r="J32" s="505"/>
      <c r="K32" s="506"/>
      <c r="L32" s="504"/>
      <c r="M32" s="504"/>
      <c r="N32" s="504"/>
      <c r="O32" s="504"/>
      <c r="P32" s="504"/>
    </row>
    <row r="33" spans="1:16" ht="15.75" customHeight="1">
      <c r="A33" s="735" t="s">
        <v>2681</v>
      </c>
      <c r="B33" s="731" t="s">
        <v>2701</v>
      </c>
      <c r="C33" s="55"/>
      <c r="D33" s="507"/>
      <c r="E33" s="504"/>
      <c r="F33" s="504"/>
      <c r="G33" s="504"/>
      <c r="H33" s="504"/>
      <c r="I33" s="504"/>
      <c r="J33" s="505"/>
      <c r="K33" s="506"/>
      <c r="L33" s="504"/>
      <c r="M33" s="501"/>
      <c r="N33" s="509"/>
      <c r="O33" s="504"/>
      <c r="P33" s="504"/>
    </row>
    <row r="34" spans="1:16" ht="15.75" customHeight="1">
      <c r="A34" s="735" t="s">
        <v>2681</v>
      </c>
      <c r="B34" s="731" t="s">
        <v>2680</v>
      </c>
      <c r="C34" s="55"/>
      <c r="D34" s="507"/>
      <c r="E34" s="504"/>
      <c r="F34" s="504"/>
      <c r="G34" s="504"/>
      <c r="H34" s="504"/>
      <c r="I34" s="504"/>
      <c r="J34" s="505"/>
      <c r="K34" s="506"/>
      <c r="L34" s="504"/>
      <c r="M34" s="501"/>
      <c r="N34" s="509"/>
      <c r="O34" s="504"/>
      <c r="P34" s="504"/>
    </row>
    <row r="35" spans="1:16" ht="15.75" customHeight="1">
      <c r="A35" s="735" t="s">
        <v>2681</v>
      </c>
      <c r="B35" s="731" t="s">
        <v>2680</v>
      </c>
      <c r="C35" s="55"/>
      <c r="D35" s="507"/>
      <c r="E35" s="504"/>
      <c r="F35" s="504"/>
      <c r="G35" s="504"/>
      <c r="H35" s="504"/>
      <c r="I35" s="504"/>
      <c r="J35" s="505"/>
      <c r="K35" s="506"/>
      <c r="L35" s="504"/>
      <c r="M35" s="501"/>
      <c r="N35" s="509"/>
      <c r="O35" s="504"/>
      <c r="P35" s="504"/>
    </row>
    <row r="36" spans="1:16" ht="15.75" customHeight="1">
      <c r="A36" s="737" t="s">
        <v>2686</v>
      </c>
      <c r="B36" s="731" t="s">
        <v>2702</v>
      </c>
      <c r="C36" s="55"/>
      <c r="D36" s="507"/>
      <c r="E36" s="504"/>
      <c r="F36" s="504"/>
      <c r="G36" s="504"/>
      <c r="H36" s="504"/>
      <c r="I36" s="504"/>
      <c r="J36" s="505"/>
      <c r="K36" s="506"/>
      <c r="L36" s="504"/>
      <c r="M36" s="501"/>
      <c r="N36" s="509"/>
      <c r="O36" s="504"/>
      <c r="P36" s="504"/>
    </row>
    <row r="37" spans="1:16" ht="15.75" customHeight="1">
      <c r="A37" s="737" t="s">
        <v>2686</v>
      </c>
      <c r="B37" s="731" t="s">
        <v>2703</v>
      </c>
      <c r="C37" s="55"/>
      <c r="D37" s="507"/>
      <c r="E37" s="504"/>
      <c r="F37" s="504"/>
      <c r="G37" s="504"/>
      <c r="H37" s="504"/>
      <c r="I37" s="504"/>
      <c r="J37" s="505"/>
      <c r="K37" s="506"/>
      <c r="L37" s="504"/>
      <c r="M37" s="501"/>
      <c r="N37" s="510"/>
      <c r="O37" s="504"/>
      <c r="P37" s="504"/>
    </row>
    <row r="38" spans="1:16" ht="15.75" customHeight="1">
      <c r="A38" s="737" t="s">
        <v>2686</v>
      </c>
      <c r="B38" s="731" t="s">
        <v>2704</v>
      </c>
      <c r="C38" s="55"/>
      <c r="D38" s="507"/>
      <c r="E38" s="504"/>
      <c r="F38" s="504"/>
      <c r="G38" s="504"/>
      <c r="H38" s="504"/>
      <c r="I38" s="504"/>
      <c r="J38" s="505"/>
      <c r="K38" s="506"/>
      <c r="L38" s="504"/>
      <c r="M38" s="501"/>
      <c r="N38" s="510"/>
      <c r="O38" s="504"/>
      <c r="P38" s="504"/>
    </row>
    <row r="39" spans="1:16" ht="15.75" customHeight="1">
      <c r="A39" s="737" t="s">
        <v>2686</v>
      </c>
      <c r="B39" s="731" t="s">
        <v>2680</v>
      </c>
      <c r="C39" s="55"/>
      <c r="D39" s="507"/>
      <c r="E39" s="504"/>
      <c r="F39" s="504"/>
      <c r="G39" s="504"/>
      <c r="H39" s="504"/>
      <c r="I39" s="504"/>
      <c r="J39" s="505"/>
      <c r="K39" s="506"/>
      <c r="L39" s="504"/>
      <c r="M39" s="501"/>
      <c r="N39" s="510"/>
      <c r="O39" s="504"/>
      <c r="P39" s="504"/>
    </row>
    <row r="40" spans="1:16" ht="15.75" customHeight="1">
      <c r="A40" s="737" t="s">
        <v>2686</v>
      </c>
      <c r="B40" s="731" t="s">
        <v>2680</v>
      </c>
      <c r="C40" s="55"/>
      <c r="D40" s="507"/>
      <c r="E40" s="504"/>
      <c r="F40" s="504"/>
      <c r="G40" s="504"/>
      <c r="H40" s="504"/>
      <c r="I40" s="504"/>
      <c r="J40" s="505"/>
      <c r="K40" s="506"/>
      <c r="L40" s="504"/>
      <c r="M40" s="501"/>
      <c r="N40" s="510"/>
      <c r="O40" s="504"/>
      <c r="P40" s="504"/>
    </row>
    <row r="41" spans="1:16" ht="15.75" customHeight="1">
      <c r="A41" s="738" t="s">
        <v>2691</v>
      </c>
      <c r="B41" s="731" t="s">
        <v>2705</v>
      </c>
      <c r="C41" s="55"/>
      <c r="D41" s="507"/>
      <c r="E41" s="504"/>
      <c r="F41" s="504"/>
      <c r="G41" s="504"/>
      <c r="H41" s="504"/>
      <c r="I41" s="504"/>
      <c r="J41" s="505"/>
      <c r="K41" s="506"/>
      <c r="L41" s="504"/>
      <c r="M41" s="501"/>
      <c r="N41" s="510"/>
      <c r="O41" s="504"/>
      <c r="P41" s="504"/>
    </row>
    <row r="42" spans="1:16" ht="15.75" customHeight="1">
      <c r="A42" s="738" t="s">
        <v>2691</v>
      </c>
      <c r="B42" s="731" t="s">
        <v>2680</v>
      </c>
      <c r="C42" s="55"/>
      <c r="D42" s="507"/>
      <c r="E42" s="504"/>
      <c r="F42" s="504"/>
      <c r="G42" s="504"/>
      <c r="H42" s="504"/>
      <c r="I42" s="504"/>
      <c r="J42" s="505"/>
      <c r="K42" s="506"/>
      <c r="L42" s="504"/>
      <c r="M42" s="501"/>
      <c r="N42" s="510"/>
      <c r="O42" s="504"/>
      <c r="P42" s="504"/>
    </row>
    <row r="43" spans="1:16" ht="15.75" customHeight="1">
      <c r="A43" s="739" t="s">
        <v>2693</v>
      </c>
      <c r="B43" s="731" t="s">
        <v>2706</v>
      </c>
      <c r="C43" s="55"/>
      <c r="D43" s="507"/>
      <c r="E43" s="504"/>
      <c r="F43" s="504"/>
      <c r="G43" s="504"/>
      <c r="H43" s="504"/>
      <c r="I43" s="504"/>
      <c r="J43" s="505"/>
      <c r="K43" s="506"/>
      <c r="L43" s="504"/>
      <c r="M43" s="501"/>
      <c r="N43" s="510"/>
      <c r="O43" s="504"/>
      <c r="P43" s="504"/>
    </row>
    <row r="44" spans="1:16" ht="15.75" customHeight="1">
      <c r="A44" s="740"/>
      <c r="B44" s="559"/>
      <c r="C44" s="55"/>
      <c r="D44" s="507"/>
      <c r="E44" s="504"/>
      <c r="F44" s="504"/>
      <c r="G44" s="504"/>
      <c r="H44" s="504"/>
      <c r="I44" s="504"/>
      <c r="J44" s="505"/>
      <c r="K44" s="506"/>
      <c r="L44" s="504"/>
      <c r="M44" s="501"/>
      <c r="N44" s="510"/>
      <c r="O44" s="504"/>
      <c r="P44" s="504"/>
    </row>
    <row r="45" spans="1:16" ht="15.75" customHeight="1">
      <c r="A45" s="729" t="s">
        <v>2707</v>
      </c>
      <c r="B45" s="731" t="s">
        <v>2674</v>
      </c>
      <c r="C45" s="55"/>
      <c r="D45" s="507"/>
      <c r="E45" s="504"/>
      <c r="F45" s="504"/>
      <c r="G45" s="504"/>
      <c r="H45" s="504"/>
      <c r="I45" s="504"/>
      <c r="J45" s="505"/>
      <c r="K45" s="506"/>
      <c r="L45" s="504"/>
      <c r="M45" s="501"/>
      <c r="N45" s="510"/>
      <c r="O45" s="504"/>
      <c r="P45" s="504"/>
    </row>
    <row r="46" spans="1:16" ht="15.75" customHeight="1">
      <c r="A46" s="732" t="s">
        <v>2675</v>
      </c>
      <c r="B46" s="731" t="s">
        <v>2708</v>
      </c>
      <c r="C46" s="55"/>
      <c r="D46" s="507"/>
      <c r="E46" s="504"/>
      <c r="F46" s="504"/>
      <c r="G46" s="504"/>
      <c r="H46" s="504"/>
      <c r="I46" s="504"/>
      <c r="J46" s="505"/>
      <c r="K46" s="506"/>
      <c r="L46" s="504"/>
      <c r="M46" s="501"/>
      <c r="N46" s="510"/>
      <c r="O46" s="504"/>
      <c r="P46" s="504"/>
    </row>
    <row r="47" spans="1:16" ht="15.75" customHeight="1">
      <c r="A47" s="732" t="s">
        <v>2675</v>
      </c>
      <c r="B47" s="731" t="s">
        <v>2680</v>
      </c>
      <c r="C47" s="55"/>
      <c r="D47" s="507"/>
      <c r="E47" s="504"/>
      <c r="F47" s="504"/>
      <c r="G47" s="504"/>
      <c r="H47" s="504"/>
      <c r="I47" s="504"/>
      <c r="J47" s="505"/>
      <c r="K47" s="506"/>
      <c r="L47" s="504"/>
      <c r="M47" s="501"/>
      <c r="N47" s="510"/>
      <c r="O47" s="504"/>
      <c r="P47" s="504"/>
    </row>
    <row r="48" spans="1:16" ht="15.75" customHeight="1">
      <c r="A48" s="733" t="s">
        <v>5723</v>
      </c>
      <c r="B48" s="731" t="s">
        <v>5728</v>
      </c>
      <c r="C48" s="55"/>
      <c r="D48" s="507"/>
      <c r="E48" s="504"/>
      <c r="F48" s="504"/>
      <c r="G48" s="504"/>
      <c r="H48" s="504"/>
      <c r="I48" s="504"/>
      <c r="J48" s="505"/>
      <c r="K48" s="506"/>
      <c r="L48" s="504"/>
      <c r="M48" s="501"/>
      <c r="N48" s="510"/>
      <c r="O48" s="504"/>
      <c r="P48" s="504"/>
    </row>
    <row r="49" spans="1:16" ht="15.75" customHeight="1">
      <c r="A49" s="733" t="s">
        <v>5723</v>
      </c>
      <c r="B49" s="731" t="s">
        <v>2680</v>
      </c>
      <c r="C49" s="55"/>
      <c r="D49" s="507"/>
      <c r="E49" s="504"/>
      <c r="F49" s="504"/>
      <c r="G49" s="504"/>
      <c r="H49" s="504"/>
      <c r="I49" s="504"/>
      <c r="J49" s="505"/>
      <c r="K49" s="506"/>
      <c r="L49" s="504"/>
      <c r="M49" s="501"/>
      <c r="N49" s="510"/>
      <c r="O49" s="504"/>
      <c r="P49" s="504"/>
    </row>
    <row r="50" spans="1:16" ht="15.75" customHeight="1">
      <c r="A50" s="734" t="s">
        <v>2677</v>
      </c>
      <c r="B50" s="731" t="s">
        <v>2709</v>
      </c>
      <c r="C50" s="55"/>
      <c r="D50" s="507"/>
      <c r="E50" s="504"/>
      <c r="F50" s="504"/>
      <c r="G50" s="504"/>
      <c r="H50" s="504"/>
      <c r="I50" s="504"/>
      <c r="J50" s="505"/>
      <c r="K50" s="506"/>
      <c r="L50" s="504"/>
      <c r="M50" s="501"/>
      <c r="N50" s="510"/>
      <c r="O50" s="504"/>
      <c r="P50" s="504"/>
    </row>
    <row r="51" spans="1:16" ht="15.75" customHeight="1">
      <c r="A51" s="734" t="s">
        <v>2677</v>
      </c>
      <c r="B51" s="731" t="s">
        <v>2710</v>
      </c>
      <c r="C51" s="55"/>
      <c r="D51" s="507"/>
      <c r="E51" s="504"/>
      <c r="F51" s="504"/>
      <c r="G51" s="504"/>
      <c r="H51" s="504"/>
      <c r="I51" s="504"/>
      <c r="J51" s="505"/>
      <c r="K51" s="506"/>
      <c r="L51" s="504"/>
      <c r="M51" s="501"/>
      <c r="N51" s="510"/>
      <c r="O51" s="504"/>
      <c r="P51" s="504"/>
    </row>
    <row r="52" spans="1:16" ht="15.75" customHeight="1">
      <c r="A52" s="734" t="s">
        <v>2677</v>
      </c>
      <c r="B52" s="731" t="s">
        <v>2680</v>
      </c>
      <c r="C52" s="55"/>
      <c r="D52" s="507"/>
      <c r="E52" s="504"/>
      <c r="F52" s="504"/>
      <c r="G52" s="504"/>
      <c r="H52" s="504"/>
      <c r="I52" s="504"/>
      <c r="J52" s="505"/>
      <c r="K52" s="506"/>
      <c r="L52" s="504"/>
      <c r="M52" s="501"/>
      <c r="N52" s="510"/>
      <c r="O52" s="504"/>
      <c r="P52" s="504"/>
    </row>
    <row r="53" spans="1:16" ht="15.75" customHeight="1">
      <c r="A53" s="735" t="s">
        <v>2681</v>
      </c>
      <c r="B53" s="731" t="s">
        <v>2711</v>
      </c>
      <c r="C53" s="55"/>
      <c r="D53" s="507"/>
      <c r="E53" s="504"/>
      <c r="F53" s="504"/>
      <c r="G53" s="504"/>
      <c r="H53" s="504"/>
      <c r="I53" s="501"/>
      <c r="J53" s="511"/>
      <c r="K53" s="506"/>
      <c r="L53" s="504"/>
      <c r="M53" s="504"/>
      <c r="N53" s="504"/>
      <c r="O53" s="504"/>
      <c r="P53" s="504"/>
    </row>
    <row r="54" spans="1:16" ht="15.75" customHeight="1">
      <c r="A54" s="735" t="s">
        <v>2681</v>
      </c>
      <c r="B54" s="731" t="s">
        <v>2712</v>
      </c>
      <c r="C54" s="55"/>
      <c r="D54" s="507"/>
      <c r="E54" s="504"/>
      <c r="F54" s="504"/>
      <c r="G54" s="504"/>
      <c r="H54" s="504"/>
      <c r="I54" s="501"/>
      <c r="J54" s="511"/>
      <c r="K54" s="506"/>
      <c r="L54" s="504"/>
      <c r="M54" s="504"/>
      <c r="N54" s="504"/>
      <c r="O54" s="504"/>
      <c r="P54" s="504"/>
    </row>
    <row r="55" spans="1:16" ht="15.75" customHeight="1">
      <c r="A55" s="735" t="s">
        <v>2681</v>
      </c>
      <c r="B55" s="731" t="s">
        <v>2680</v>
      </c>
      <c r="C55" s="55"/>
      <c r="D55" s="507"/>
      <c r="E55" s="504"/>
      <c r="F55" s="504"/>
      <c r="G55" s="504"/>
      <c r="H55" s="504"/>
      <c r="I55" s="501"/>
      <c r="J55" s="511"/>
      <c r="K55" s="506"/>
      <c r="L55" s="504"/>
      <c r="M55" s="504"/>
      <c r="N55" s="504"/>
      <c r="O55" s="504"/>
      <c r="P55" s="504"/>
    </row>
    <row r="56" spans="1:16" ht="15.75" customHeight="1">
      <c r="A56" s="735" t="s">
        <v>2681</v>
      </c>
      <c r="B56" s="731" t="s">
        <v>2680</v>
      </c>
      <c r="C56" s="55"/>
      <c r="D56" s="507"/>
      <c r="E56" s="504"/>
      <c r="F56" s="504"/>
      <c r="G56" s="504"/>
      <c r="H56" s="504"/>
      <c r="I56" s="504"/>
      <c r="J56" s="505"/>
      <c r="K56" s="506"/>
      <c r="L56" s="504"/>
      <c r="M56" s="504"/>
      <c r="N56" s="504"/>
      <c r="O56" s="504"/>
      <c r="P56" s="504"/>
    </row>
    <row r="57" spans="1:16" ht="15.75" customHeight="1">
      <c r="A57" s="737" t="s">
        <v>2686</v>
      </c>
      <c r="B57" s="731" t="s">
        <v>2713</v>
      </c>
      <c r="C57" s="55"/>
      <c r="D57" s="507"/>
      <c r="E57" s="504"/>
      <c r="F57" s="504"/>
      <c r="G57" s="504"/>
      <c r="H57" s="504"/>
      <c r="I57" s="504"/>
      <c r="J57" s="505"/>
      <c r="K57" s="506"/>
      <c r="L57" s="504"/>
      <c r="M57" s="504"/>
      <c r="N57" s="504"/>
      <c r="O57" s="504"/>
      <c r="P57" s="504"/>
    </row>
    <row r="58" spans="1:16" ht="15.75" customHeight="1">
      <c r="A58" s="737" t="s">
        <v>2686</v>
      </c>
      <c r="B58" s="731" t="s">
        <v>2714</v>
      </c>
      <c r="C58" s="55"/>
      <c r="D58" s="507"/>
      <c r="E58" s="504"/>
      <c r="F58" s="504"/>
      <c r="G58" s="504"/>
      <c r="H58" s="504"/>
      <c r="I58" s="504"/>
      <c r="J58" s="505"/>
      <c r="K58" s="506"/>
      <c r="L58" s="504"/>
      <c r="M58" s="504"/>
      <c r="N58" s="504"/>
      <c r="O58" s="504"/>
      <c r="P58" s="504"/>
    </row>
    <row r="59" spans="1:16" ht="15.75" customHeight="1">
      <c r="A59" s="737" t="s">
        <v>2686</v>
      </c>
      <c r="B59" s="731" t="s">
        <v>2680</v>
      </c>
      <c r="C59" s="55"/>
      <c r="D59" s="507"/>
      <c r="E59" s="504"/>
      <c r="F59" s="504"/>
      <c r="G59" s="504"/>
      <c r="H59" s="504"/>
      <c r="I59" s="504"/>
      <c r="J59" s="505"/>
      <c r="K59" s="506"/>
      <c r="L59" s="504"/>
      <c r="M59" s="504"/>
      <c r="N59" s="504"/>
      <c r="O59" s="504"/>
      <c r="P59" s="504"/>
    </row>
    <row r="60" spans="1:16" ht="15.75" customHeight="1">
      <c r="A60" s="737" t="s">
        <v>2686</v>
      </c>
      <c r="B60" s="731" t="s">
        <v>2680</v>
      </c>
      <c r="C60" s="55"/>
      <c r="D60" s="507"/>
      <c r="E60" s="504"/>
      <c r="F60" s="504"/>
      <c r="G60" s="504"/>
      <c r="H60" s="504"/>
      <c r="I60" s="504"/>
      <c r="J60" s="505"/>
      <c r="K60" s="506"/>
      <c r="L60" s="504"/>
      <c r="M60" s="504"/>
      <c r="N60" s="504"/>
      <c r="O60" s="504"/>
      <c r="P60" s="504"/>
    </row>
    <row r="61" spans="1:16">
      <c r="A61" s="737" t="s">
        <v>2686</v>
      </c>
      <c r="B61" s="731" t="s">
        <v>2680</v>
      </c>
      <c r="C61" s="55"/>
      <c r="D61" s="507"/>
      <c r="E61" s="504"/>
      <c r="F61" s="504"/>
      <c r="G61" s="504"/>
      <c r="H61" s="504"/>
      <c r="I61" s="504"/>
      <c r="J61" s="505"/>
      <c r="K61" s="506"/>
      <c r="L61" s="504"/>
      <c r="M61" s="504"/>
      <c r="N61" s="504"/>
      <c r="O61" s="504"/>
      <c r="P61" s="504"/>
    </row>
    <row r="62" spans="1:16" ht="15.75" customHeight="1">
      <c r="A62" s="738" t="s">
        <v>2691</v>
      </c>
      <c r="B62" s="731" t="s">
        <v>2680</v>
      </c>
      <c r="C62" s="55"/>
      <c r="D62" s="507"/>
      <c r="E62" s="504"/>
      <c r="F62" s="504"/>
      <c r="G62" s="504"/>
      <c r="H62" s="504"/>
      <c r="I62" s="504"/>
      <c r="J62" s="505"/>
      <c r="K62" s="506"/>
      <c r="L62" s="504"/>
      <c r="M62" s="504"/>
      <c r="N62" s="504"/>
      <c r="O62" s="504"/>
      <c r="P62" s="504"/>
    </row>
    <row r="63" spans="1:16" ht="15.75" customHeight="1">
      <c r="A63" s="738" t="s">
        <v>2691</v>
      </c>
      <c r="B63" s="731" t="s">
        <v>2680</v>
      </c>
      <c r="C63" s="55"/>
      <c r="D63" s="507"/>
      <c r="E63" s="504"/>
      <c r="F63" s="504"/>
      <c r="G63" s="504"/>
      <c r="H63" s="504"/>
      <c r="I63" s="504"/>
      <c r="J63" s="505"/>
      <c r="K63" s="506"/>
      <c r="L63" s="504"/>
      <c r="M63" s="504"/>
      <c r="N63" s="504"/>
      <c r="O63" s="504"/>
      <c r="P63" s="504"/>
    </row>
    <row r="64" spans="1:16" ht="15.75" customHeight="1">
      <c r="A64" s="739" t="s">
        <v>2693</v>
      </c>
      <c r="B64" s="731" t="s">
        <v>2680</v>
      </c>
      <c r="C64" s="55"/>
      <c r="D64" s="507"/>
      <c r="E64" s="504"/>
      <c r="F64" s="504"/>
      <c r="G64" s="504"/>
      <c r="H64" s="504"/>
      <c r="I64" s="504"/>
      <c r="J64" s="505"/>
      <c r="K64" s="506"/>
      <c r="L64" s="504"/>
      <c r="M64" s="504"/>
      <c r="N64" s="504"/>
      <c r="O64" s="504"/>
      <c r="P64" s="504"/>
    </row>
    <row r="65" spans="1:16" ht="15.75" customHeight="1">
      <c r="A65" s="730"/>
      <c r="B65" s="730"/>
      <c r="C65" s="55"/>
      <c r="D65" s="507"/>
      <c r="E65" s="504"/>
      <c r="F65" s="504"/>
      <c r="G65" s="504"/>
      <c r="H65" s="504"/>
      <c r="I65" s="504"/>
      <c r="J65" s="505"/>
      <c r="K65" s="506"/>
      <c r="L65" s="504"/>
      <c r="M65" s="504"/>
      <c r="N65" s="504"/>
      <c r="O65" s="504"/>
      <c r="P65" s="504"/>
    </row>
    <row r="66" spans="1:16" ht="15.45">
      <c r="A66" s="729" t="s">
        <v>2715</v>
      </c>
      <c r="B66" s="731" t="s">
        <v>2674</v>
      </c>
      <c r="C66" s="55"/>
      <c r="D66" s="507"/>
      <c r="E66" s="504"/>
      <c r="F66" s="504"/>
      <c r="G66" s="504"/>
      <c r="H66" s="504"/>
      <c r="I66" s="504"/>
      <c r="J66" s="505"/>
      <c r="K66" s="506"/>
      <c r="L66" s="504"/>
      <c r="M66" s="504"/>
      <c r="N66" s="504"/>
      <c r="O66" s="504"/>
      <c r="P66" s="504"/>
    </row>
    <row r="67" spans="1:16" ht="15.75" customHeight="1">
      <c r="A67" s="732" t="s">
        <v>2675</v>
      </c>
      <c r="B67" s="731" t="s">
        <v>2680</v>
      </c>
      <c r="C67" s="55"/>
      <c r="D67" s="507"/>
      <c r="E67" s="504"/>
      <c r="F67" s="504"/>
      <c r="G67" s="504"/>
      <c r="H67" s="504"/>
      <c r="I67" s="504"/>
      <c r="J67" s="505"/>
      <c r="K67" s="506"/>
      <c r="L67" s="504"/>
      <c r="M67" s="504"/>
      <c r="N67" s="504"/>
      <c r="O67" s="504"/>
      <c r="P67" s="504"/>
    </row>
    <row r="68" spans="1:16" ht="15.75" customHeight="1">
      <c r="A68" s="732" t="s">
        <v>2675</v>
      </c>
      <c r="B68" s="731" t="s">
        <v>2716</v>
      </c>
      <c r="C68" s="55"/>
      <c r="D68" s="507"/>
      <c r="E68" s="504"/>
      <c r="F68" s="504"/>
      <c r="G68" s="504"/>
      <c r="H68" s="504"/>
      <c r="I68" s="504"/>
      <c r="J68" s="505"/>
      <c r="K68" s="506"/>
      <c r="L68" s="504"/>
      <c r="M68" s="504"/>
      <c r="N68" s="504"/>
      <c r="O68" s="504"/>
      <c r="P68" s="504"/>
    </row>
    <row r="69" spans="1:16" ht="15.75" customHeight="1">
      <c r="A69" s="733" t="s">
        <v>5723</v>
      </c>
      <c r="B69" s="731" t="s">
        <v>5729</v>
      </c>
      <c r="C69" s="55"/>
      <c r="D69" s="507"/>
      <c r="E69" s="504"/>
      <c r="F69" s="504"/>
      <c r="G69" s="504"/>
      <c r="H69" s="504"/>
      <c r="I69" s="504"/>
      <c r="J69" s="505"/>
      <c r="K69" s="506"/>
      <c r="L69" s="504"/>
      <c r="M69" s="504"/>
      <c r="N69" s="504"/>
      <c r="O69" s="504"/>
      <c r="P69" s="504"/>
    </row>
    <row r="70" spans="1:16" ht="15.75" customHeight="1">
      <c r="A70" s="733" t="s">
        <v>5723</v>
      </c>
      <c r="B70" s="731" t="s">
        <v>2680</v>
      </c>
      <c r="C70" s="55"/>
      <c r="D70" s="507"/>
      <c r="E70" s="504"/>
      <c r="F70" s="504"/>
      <c r="G70" s="504"/>
      <c r="H70" s="504"/>
      <c r="I70" s="504"/>
      <c r="J70" s="505"/>
      <c r="K70" s="506"/>
      <c r="L70" s="504"/>
      <c r="M70" s="504"/>
      <c r="N70" s="504"/>
      <c r="O70" s="504"/>
      <c r="P70" s="504"/>
    </row>
    <row r="71" spans="1:16" ht="15.75" customHeight="1">
      <c r="A71" s="734" t="s">
        <v>2677</v>
      </c>
      <c r="B71" s="731" t="s">
        <v>5730</v>
      </c>
      <c r="C71" s="55"/>
      <c r="D71" s="507"/>
      <c r="E71" s="504"/>
      <c r="F71" s="504"/>
      <c r="G71" s="504"/>
      <c r="H71" s="504"/>
      <c r="I71" s="504"/>
      <c r="J71" s="505"/>
      <c r="K71" s="506"/>
      <c r="L71" s="504"/>
      <c r="M71" s="504"/>
      <c r="N71" s="504"/>
      <c r="O71" s="504"/>
      <c r="P71" s="504"/>
    </row>
    <row r="72" spans="1:16" ht="15.75" customHeight="1">
      <c r="A72" s="734" t="s">
        <v>2677</v>
      </c>
      <c r="B72" s="731" t="s">
        <v>5731</v>
      </c>
      <c r="C72" s="55"/>
      <c r="D72" s="507"/>
      <c r="E72" s="504"/>
      <c r="F72" s="504"/>
      <c r="G72" s="504"/>
      <c r="H72" s="504"/>
      <c r="I72" s="504"/>
      <c r="J72" s="505"/>
      <c r="K72" s="506"/>
      <c r="L72" s="504"/>
      <c r="M72" s="504"/>
      <c r="N72" s="504"/>
      <c r="O72" s="504"/>
      <c r="P72" s="504"/>
    </row>
    <row r="73" spans="1:16" ht="15.75" customHeight="1">
      <c r="A73" s="734" t="s">
        <v>2677</v>
      </c>
      <c r="B73" s="731" t="s">
        <v>2680</v>
      </c>
      <c r="C73" s="55"/>
      <c r="D73" s="507"/>
      <c r="E73" s="504"/>
      <c r="F73" s="504"/>
      <c r="G73" s="504"/>
      <c r="H73" s="504"/>
      <c r="I73" s="504"/>
      <c r="J73" s="505"/>
      <c r="K73" s="506"/>
      <c r="L73" s="504"/>
      <c r="M73" s="504"/>
      <c r="N73" s="504"/>
      <c r="O73" s="504"/>
      <c r="P73" s="504"/>
    </row>
    <row r="74" spans="1:16" ht="15.75" customHeight="1">
      <c r="A74" s="735" t="s">
        <v>2681</v>
      </c>
      <c r="B74" s="731" t="s">
        <v>2717</v>
      </c>
      <c r="C74" s="55"/>
      <c r="D74" s="507"/>
      <c r="E74" s="504"/>
      <c r="F74" s="504"/>
      <c r="G74" s="504"/>
      <c r="H74" s="504"/>
      <c r="I74" s="504"/>
      <c r="J74" s="505"/>
      <c r="K74" s="506"/>
      <c r="L74" s="504"/>
      <c r="M74" s="504"/>
      <c r="N74" s="504"/>
      <c r="O74" s="504"/>
      <c r="P74" s="504"/>
    </row>
    <row r="75" spans="1:16" ht="15.75" customHeight="1">
      <c r="A75" s="735" t="s">
        <v>2681</v>
      </c>
      <c r="B75" s="731" t="s">
        <v>2680</v>
      </c>
      <c r="C75" s="55"/>
      <c r="D75" s="507"/>
      <c r="E75" s="504"/>
      <c r="F75" s="504"/>
      <c r="G75" s="504"/>
      <c r="H75" s="504"/>
      <c r="I75" s="504"/>
      <c r="J75" s="505"/>
      <c r="K75" s="506"/>
      <c r="L75" s="504"/>
      <c r="M75" s="504"/>
      <c r="N75" s="504"/>
      <c r="O75" s="504"/>
      <c r="P75" s="504"/>
    </row>
    <row r="76" spans="1:16" ht="15.75" customHeight="1">
      <c r="A76" s="735" t="s">
        <v>2681</v>
      </c>
      <c r="B76" s="731" t="s">
        <v>2680</v>
      </c>
      <c r="C76" s="55"/>
      <c r="D76" s="507"/>
      <c r="E76" s="504"/>
      <c r="F76" s="504"/>
      <c r="G76" s="504"/>
      <c r="H76" s="504"/>
      <c r="I76" s="504"/>
      <c r="J76" s="505"/>
      <c r="K76" s="506"/>
      <c r="L76" s="504"/>
      <c r="M76" s="504"/>
      <c r="N76" s="504"/>
      <c r="O76" s="504"/>
      <c r="P76" s="504"/>
    </row>
    <row r="77" spans="1:16" ht="15.75" customHeight="1">
      <c r="A77" s="735" t="s">
        <v>2681</v>
      </c>
      <c r="B77" s="731" t="s">
        <v>2680</v>
      </c>
      <c r="C77" s="55"/>
      <c r="D77" s="507"/>
      <c r="E77" s="504"/>
      <c r="F77" s="504"/>
      <c r="G77" s="504"/>
      <c r="H77" s="504"/>
      <c r="I77" s="504"/>
      <c r="J77" s="505"/>
      <c r="K77" s="506"/>
      <c r="L77" s="504"/>
      <c r="M77" s="504"/>
      <c r="N77" s="504"/>
      <c r="O77" s="504"/>
      <c r="P77" s="504"/>
    </row>
    <row r="78" spans="1:16" ht="15.75" customHeight="1">
      <c r="A78" s="737" t="s">
        <v>2686</v>
      </c>
      <c r="B78" s="731" t="s">
        <v>5732</v>
      </c>
      <c r="C78" s="55"/>
      <c r="D78" s="507"/>
      <c r="E78" s="504"/>
      <c r="F78" s="504"/>
      <c r="G78" s="504"/>
      <c r="H78" s="504"/>
      <c r="I78" s="504"/>
      <c r="J78" s="505"/>
      <c r="K78" s="506"/>
      <c r="L78" s="504"/>
      <c r="M78" s="504"/>
      <c r="N78" s="504"/>
      <c r="O78" s="504"/>
      <c r="P78" s="504"/>
    </row>
    <row r="79" spans="1:16" ht="15.75" customHeight="1">
      <c r="A79" s="737" t="s">
        <v>2686</v>
      </c>
      <c r="B79" s="731" t="s">
        <v>2680</v>
      </c>
      <c r="C79" s="55"/>
      <c r="D79" s="507"/>
      <c r="E79" s="504"/>
      <c r="F79" s="504"/>
      <c r="G79" s="504"/>
      <c r="H79" s="504"/>
      <c r="I79" s="504"/>
      <c r="J79" s="505"/>
      <c r="K79" s="506"/>
      <c r="L79" s="504"/>
      <c r="M79" s="504"/>
      <c r="N79" s="504"/>
      <c r="O79" s="504"/>
      <c r="P79" s="504"/>
    </row>
    <row r="80" spans="1:16">
      <c r="A80" s="737" t="s">
        <v>2686</v>
      </c>
      <c r="B80" s="731" t="s">
        <v>2718</v>
      </c>
      <c r="C80" s="55"/>
      <c r="D80" s="507"/>
      <c r="E80" s="504"/>
      <c r="F80" s="504"/>
      <c r="G80" s="504"/>
      <c r="H80" s="504"/>
      <c r="I80" s="504"/>
      <c r="J80" s="505"/>
      <c r="K80" s="506"/>
      <c r="L80" s="504"/>
      <c r="M80" s="504"/>
      <c r="N80" s="504"/>
      <c r="O80" s="504"/>
      <c r="P80" s="504"/>
    </row>
    <row r="81" spans="1:16" ht="15.75" customHeight="1">
      <c r="A81" s="737" t="s">
        <v>2686</v>
      </c>
      <c r="B81" s="731" t="s">
        <v>2680</v>
      </c>
      <c r="C81" s="55"/>
      <c r="D81" s="507"/>
      <c r="E81" s="504"/>
      <c r="F81" s="504"/>
      <c r="G81" s="504"/>
      <c r="H81" s="504"/>
      <c r="I81" s="504"/>
      <c r="J81" s="505"/>
      <c r="K81" s="506"/>
      <c r="L81" s="504"/>
      <c r="M81" s="504"/>
      <c r="N81" s="504"/>
      <c r="O81" s="504"/>
      <c r="P81" s="504"/>
    </row>
    <row r="82" spans="1:16" ht="15.75" customHeight="1">
      <c r="A82" s="737" t="s">
        <v>2686</v>
      </c>
      <c r="B82" s="731" t="s">
        <v>2680</v>
      </c>
      <c r="C82" s="55"/>
      <c r="D82" s="507"/>
      <c r="E82" s="504"/>
      <c r="F82" s="504"/>
      <c r="G82" s="504"/>
      <c r="H82" s="504"/>
      <c r="I82" s="504"/>
      <c r="J82" s="505"/>
      <c r="K82" s="506"/>
      <c r="L82" s="504"/>
      <c r="M82" s="504"/>
      <c r="N82" s="504"/>
      <c r="O82" s="504"/>
      <c r="P82" s="504"/>
    </row>
    <row r="83" spans="1:16" ht="15.75" customHeight="1">
      <c r="A83" s="738" t="s">
        <v>2691</v>
      </c>
      <c r="B83" s="731" t="s">
        <v>2719</v>
      </c>
      <c r="C83" s="55"/>
      <c r="D83" s="507"/>
      <c r="E83" s="504"/>
      <c r="F83" s="504"/>
      <c r="G83" s="504"/>
      <c r="H83" s="504"/>
      <c r="I83" s="504"/>
      <c r="J83" s="505"/>
      <c r="K83" s="506"/>
      <c r="L83" s="504"/>
      <c r="M83" s="504"/>
      <c r="N83" s="504"/>
      <c r="O83" s="504"/>
      <c r="P83" s="504"/>
    </row>
    <row r="84" spans="1:16" ht="15.75" customHeight="1">
      <c r="A84" s="738" t="s">
        <v>2691</v>
      </c>
      <c r="B84" s="731" t="s">
        <v>2720</v>
      </c>
      <c r="C84" s="55"/>
      <c r="D84" s="507"/>
      <c r="E84" s="504"/>
      <c r="F84" s="504"/>
      <c r="G84" s="504"/>
      <c r="H84" s="504"/>
      <c r="I84" s="504"/>
      <c r="J84" s="505"/>
      <c r="K84" s="506"/>
      <c r="L84" s="504"/>
      <c r="M84" s="504"/>
      <c r="N84" s="504"/>
      <c r="O84" s="504"/>
      <c r="P84" s="504"/>
    </row>
    <row r="85" spans="1:16">
      <c r="A85" s="739" t="s">
        <v>2693</v>
      </c>
      <c r="B85" s="731" t="s">
        <v>2721</v>
      </c>
      <c r="C85" s="55"/>
      <c r="D85" s="507"/>
      <c r="E85" s="504"/>
      <c r="F85" s="504"/>
      <c r="G85" s="504"/>
      <c r="H85" s="504"/>
      <c r="I85" s="504"/>
      <c r="J85" s="505"/>
      <c r="K85" s="506"/>
      <c r="L85" s="504"/>
      <c r="M85" s="504"/>
      <c r="N85" s="504"/>
      <c r="O85" s="504"/>
      <c r="P85" s="504"/>
    </row>
    <row r="86" spans="1:16" ht="15.75" customHeight="1">
      <c r="A86" s="730"/>
      <c r="B86" s="730"/>
      <c r="C86" s="55"/>
      <c r="D86" s="507"/>
      <c r="E86" s="504"/>
      <c r="F86" s="504"/>
      <c r="G86" s="504"/>
      <c r="H86" s="504"/>
      <c r="I86" s="504"/>
      <c r="J86" s="505"/>
      <c r="K86" s="506"/>
      <c r="L86" s="504"/>
      <c r="M86" s="504"/>
      <c r="N86" s="504"/>
      <c r="O86" s="504"/>
      <c r="P86" s="504"/>
    </row>
    <row r="87" spans="1:16" ht="15.75" customHeight="1">
      <c r="A87" s="729" t="s">
        <v>2722</v>
      </c>
      <c r="B87" s="731" t="s">
        <v>2674</v>
      </c>
      <c r="C87" s="55"/>
      <c r="D87" s="507"/>
      <c r="E87" s="504"/>
      <c r="F87" s="504"/>
      <c r="G87" s="504"/>
      <c r="H87" s="504"/>
      <c r="I87" s="504"/>
      <c r="J87" s="505"/>
      <c r="K87" s="506"/>
      <c r="L87" s="504"/>
      <c r="M87" s="504"/>
      <c r="N87" s="504"/>
      <c r="O87" s="504"/>
      <c r="P87" s="504"/>
    </row>
    <row r="88" spans="1:16" ht="15.75" customHeight="1">
      <c r="A88" s="732" t="s">
        <v>2675</v>
      </c>
      <c r="B88" s="731" t="s">
        <v>2723</v>
      </c>
      <c r="C88" s="55"/>
      <c r="D88" s="507"/>
      <c r="E88" s="504"/>
      <c r="F88" s="504"/>
      <c r="G88" s="504"/>
      <c r="H88" s="504"/>
      <c r="I88" s="504"/>
      <c r="J88" s="505"/>
      <c r="K88" s="506"/>
      <c r="L88" s="504"/>
      <c r="M88" s="504"/>
      <c r="N88" s="504"/>
      <c r="O88" s="504"/>
      <c r="P88" s="504"/>
    </row>
    <row r="89" spans="1:16" ht="15.75" customHeight="1">
      <c r="A89" s="732" t="s">
        <v>2675</v>
      </c>
      <c r="B89" s="731" t="s">
        <v>2724</v>
      </c>
      <c r="C89" s="55"/>
      <c r="D89" s="507"/>
      <c r="E89" s="504"/>
      <c r="F89" s="504"/>
      <c r="G89" s="504"/>
      <c r="H89" s="504"/>
      <c r="I89" s="504"/>
      <c r="J89" s="505"/>
      <c r="K89" s="506"/>
      <c r="L89" s="504"/>
      <c r="M89" s="504"/>
      <c r="N89" s="504"/>
      <c r="O89" s="504"/>
      <c r="P89" s="504"/>
    </row>
    <row r="90" spans="1:16" ht="15.75" customHeight="1">
      <c r="A90" s="733" t="s">
        <v>5723</v>
      </c>
      <c r="B90" s="731" t="s">
        <v>5733</v>
      </c>
      <c r="C90" s="55"/>
      <c r="D90" s="507"/>
      <c r="E90" s="504"/>
      <c r="F90" s="504"/>
      <c r="G90" s="504"/>
      <c r="H90" s="504"/>
      <c r="I90" s="504"/>
      <c r="J90" s="505"/>
      <c r="K90" s="506"/>
      <c r="L90" s="504"/>
      <c r="M90" s="504"/>
      <c r="N90" s="504"/>
      <c r="O90" s="504"/>
      <c r="P90" s="504"/>
    </row>
    <row r="91" spans="1:16" ht="15.75" customHeight="1">
      <c r="A91" s="733" t="s">
        <v>5723</v>
      </c>
      <c r="B91" s="731" t="s">
        <v>2680</v>
      </c>
      <c r="C91" s="55"/>
      <c r="D91" s="507"/>
      <c r="E91" s="504"/>
      <c r="F91" s="504"/>
      <c r="G91" s="504"/>
      <c r="H91" s="504"/>
      <c r="I91" s="504"/>
      <c r="J91" s="505"/>
      <c r="K91" s="506"/>
      <c r="L91" s="504"/>
      <c r="M91" s="504"/>
      <c r="N91" s="504"/>
      <c r="O91" s="504"/>
      <c r="P91" s="504"/>
    </row>
    <row r="92" spans="1:16" ht="15.75" customHeight="1">
      <c r="A92" s="734" t="s">
        <v>2677</v>
      </c>
      <c r="B92" s="731" t="s">
        <v>2725</v>
      </c>
      <c r="C92" s="55"/>
      <c r="D92" s="507"/>
      <c r="E92" s="504"/>
      <c r="F92" s="504"/>
      <c r="G92" s="504"/>
      <c r="H92" s="504"/>
      <c r="I92" s="504"/>
      <c r="J92" s="505"/>
      <c r="K92" s="506"/>
      <c r="L92" s="504"/>
      <c r="M92" s="504"/>
      <c r="N92" s="504"/>
      <c r="O92" s="504"/>
      <c r="P92" s="504"/>
    </row>
    <row r="93" spans="1:16" ht="15.75" customHeight="1">
      <c r="A93" s="734" t="s">
        <v>2677</v>
      </c>
      <c r="B93" s="731" t="s">
        <v>2726</v>
      </c>
      <c r="C93" s="55"/>
      <c r="D93" s="507"/>
      <c r="E93" s="504"/>
      <c r="F93" s="504"/>
      <c r="G93" s="504"/>
      <c r="H93" s="504"/>
      <c r="I93" s="504"/>
      <c r="J93" s="505"/>
      <c r="K93" s="506"/>
      <c r="L93" s="504"/>
      <c r="M93" s="504"/>
      <c r="N93" s="504"/>
      <c r="O93" s="504"/>
      <c r="P93" s="504"/>
    </row>
    <row r="94" spans="1:16" ht="15.75" customHeight="1">
      <c r="A94" s="734" t="s">
        <v>2677</v>
      </c>
      <c r="B94" s="731" t="s">
        <v>2680</v>
      </c>
      <c r="C94" s="55"/>
      <c r="D94" s="507"/>
      <c r="E94" s="504"/>
      <c r="F94" s="504"/>
      <c r="G94" s="504"/>
      <c r="H94" s="504"/>
      <c r="I94" s="504"/>
      <c r="J94" s="505"/>
      <c r="K94" s="506"/>
      <c r="L94" s="504"/>
      <c r="M94" s="504"/>
      <c r="N94" s="504"/>
      <c r="O94" s="504"/>
      <c r="P94" s="504"/>
    </row>
    <row r="95" spans="1:16" ht="15.75" customHeight="1">
      <c r="A95" s="735" t="s">
        <v>2681</v>
      </c>
      <c r="B95" s="731" t="s">
        <v>2727</v>
      </c>
      <c r="C95" s="55"/>
      <c r="D95" s="507"/>
      <c r="E95" s="504"/>
      <c r="F95" s="504"/>
      <c r="G95" s="504"/>
      <c r="H95" s="504"/>
      <c r="I95" s="504"/>
      <c r="J95" s="505"/>
      <c r="K95" s="506"/>
      <c r="L95" s="504"/>
      <c r="M95" s="504"/>
      <c r="N95" s="504"/>
      <c r="O95" s="504"/>
      <c r="P95" s="504"/>
    </row>
    <row r="96" spans="1:16" ht="15.75" customHeight="1">
      <c r="A96" s="735" t="s">
        <v>2681</v>
      </c>
      <c r="B96" s="731" t="s">
        <v>2728</v>
      </c>
      <c r="C96" s="55"/>
      <c r="D96" s="507"/>
      <c r="E96" s="504"/>
      <c r="F96" s="504"/>
      <c r="G96" s="504"/>
      <c r="H96" s="504"/>
      <c r="I96" s="504"/>
      <c r="J96" s="505"/>
      <c r="K96" s="506"/>
      <c r="L96" s="504"/>
      <c r="M96" s="504"/>
      <c r="N96" s="504"/>
      <c r="O96" s="504"/>
      <c r="P96" s="504"/>
    </row>
    <row r="97" spans="1:16" ht="15.75" customHeight="1">
      <c r="A97" s="735" t="s">
        <v>2681</v>
      </c>
      <c r="B97" s="731" t="s">
        <v>2680</v>
      </c>
      <c r="C97" s="55"/>
      <c r="D97" s="507"/>
      <c r="E97" s="504"/>
      <c r="F97" s="504"/>
      <c r="G97" s="504"/>
      <c r="H97" s="504"/>
      <c r="I97" s="504"/>
      <c r="J97" s="505"/>
      <c r="K97" s="506"/>
      <c r="L97" s="504"/>
      <c r="M97" s="504"/>
      <c r="N97" s="504"/>
      <c r="O97" s="504"/>
      <c r="P97" s="504"/>
    </row>
    <row r="98" spans="1:16" ht="15.75" customHeight="1">
      <c r="A98" s="735" t="s">
        <v>2681</v>
      </c>
      <c r="B98" s="731" t="s">
        <v>2680</v>
      </c>
      <c r="C98" s="55"/>
      <c r="D98" s="507"/>
      <c r="E98" s="504"/>
      <c r="F98" s="504"/>
      <c r="G98" s="504"/>
      <c r="H98" s="504"/>
      <c r="I98" s="504"/>
      <c r="J98" s="505"/>
      <c r="K98" s="506"/>
      <c r="L98" s="504"/>
      <c r="M98" s="504"/>
      <c r="N98" s="504"/>
      <c r="O98" s="504"/>
      <c r="P98" s="504"/>
    </row>
    <row r="99" spans="1:16">
      <c r="A99" s="737" t="s">
        <v>2686</v>
      </c>
      <c r="B99" s="731" t="s">
        <v>2729</v>
      </c>
      <c r="C99" s="55"/>
      <c r="D99" s="507"/>
      <c r="E99" s="504"/>
      <c r="F99" s="504"/>
      <c r="G99" s="504"/>
      <c r="H99" s="504"/>
      <c r="I99" s="504"/>
      <c r="J99" s="505"/>
      <c r="K99" s="506"/>
      <c r="L99" s="504"/>
      <c r="M99" s="504"/>
      <c r="N99" s="504"/>
      <c r="O99" s="504"/>
      <c r="P99" s="504"/>
    </row>
    <row r="100" spans="1:16" ht="15.75" customHeight="1">
      <c r="A100" s="737" t="s">
        <v>2686</v>
      </c>
      <c r="B100" s="731" t="s">
        <v>2730</v>
      </c>
      <c r="C100" s="55"/>
      <c r="D100" s="507"/>
      <c r="E100" s="504"/>
      <c r="F100" s="504"/>
      <c r="G100" s="504"/>
      <c r="H100" s="504"/>
      <c r="I100" s="504"/>
      <c r="J100" s="505"/>
      <c r="K100" s="506"/>
      <c r="L100" s="504"/>
      <c r="M100" s="504"/>
      <c r="N100" s="504"/>
      <c r="O100" s="504"/>
      <c r="P100" s="504"/>
    </row>
    <row r="101" spans="1:16" ht="15.75" customHeight="1">
      <c r="A101" s="737" t="s">
        <v>2686</v>
      </c>
      <c r="B101" s="731" t="s">
        <v>2680</v>
      </c>
      <c r="C101" s="55"/>
      <c r="D101" s="507"/>
      <c r="E101" s="504"/>
      <c r="F101" s="504"/>
      <c r="G101" s="504"/>
      <c r="H101" s="504"/>
      <c r="I101" s="504"/>
      <c r="J101" s="505"/>
      <c r="K101" s="506"/>
      <c r="L101" s="504"/>
      <c r="M101" s="504"/>
      <c r="N101" s="504"/>
      <c r="O101" s="504"/>
      <c r="P101" s="504"/>
    </row>
    <row r="102" spans="1:16" ht="15.75" customHeight="1">
      <c r="A102" s="737" t="s">
        <v>2686</v>
      </c>
      <c r="B102" s="731" t="s">
        <v>2680</v>
      </c>
      <c r="C102" s="55"/>
      <c r="D102" s="507"/>
      <c r="E102" s="504"/>
      <c r="F102" s="504"/>
      <c r="G102" s="504"/>
      <c r="H102" s="504"/>
      <c r="I102" s="504"/>
      <c r="J102" s="505"/>
      <c r="K102" s="506"/>
      <c r="L102" s="504"/>
      <c r="M102" s="504"/>
      <c r="N102" s="504"/>
      <c r="O102" s="504"/>
      <c r="P102" s="504"/>
    </row>
    <row r="103" spans="1:16" ht="15.75" customHeight="1">
      <c r="A103" s="737" t="s">
        <v>2686</v>
      </c>
      <c r="B103" s="731" t="s">
        <v>2680</v>
      </c>
      <c r="C103" s="55"/>
      <c r="D103" s="507"/>
      <c r="E103" s="504"/>
      <c r="F103" s="504"/>
      <c r="G103" s="504"/>
      <c r="H103" s="504"/>
      <c r="I103" s="504"/>
      <c r="J103" s="505"/>
      <c r="K103" s="506"/>
      <c r="L103" s="504"/>
      <c r="M103" s="504"/>
      <c r="N103" s="504"/>
      <c r="O103" s="504"/>
      <c r="P103" s="504"/>
    </row>
    <row r="104" spans="1:16">
      <c r="A104" s="738" t="s">
        <v>2691</v>
      </c>
      <c r="B104" s="731" t="s">
        <v>2731</v>
      </c>
      <c r="C104" s="55"/>
      <c r="D104" s="507"/>
      <c r="E104" s="504"/>
      <c r="F104" s="504"/>
      <c r="G104" s="504"/>
      <c r="H104" s="504"/>
      <c r="I104" s="504"/>
      <c r="J104" s="505"/>
      <c r="K104" s="506"/>
      <c r="L104" s="504"/>
      <c r="M104" s="504"/>
      <c r="N104" s="504"/>
      <c r="O104" s="504"/>
      <c r="P104" s="504"/>
    </row>
    <row r="105" spans="1:16" ht="15.75" customHeight="1">
      <c r="A105" s="738" t="s">
        <v>2691</v>
      </c>
      <c r="B105" s="731" t="s">
        <v>2680</v>
      </c>
      <c r="C105" s="55"/>
      <c r="D105" s="507"/>
      <c r="E105" s="504"/>
      <c r="F105" s="504"/>
      <c r="G105" s="504"/>
      <c r="H105" s="504"/>
      <c r="I105" s="501"/>
      <c r="J105" s="512"/>
      <c r="K105" s="506"/>
      <c r="L105" s="504"/>
      <c r="M105" s="504"/>
      <c r="N105" s="504"/>
      <c r="O105" s="504"/>
      <c r="P105" s="504"/>
    </row>
    <row r="106" spans="1:16" ht="15.75" customHeight="1">
      <c r="A106" s="739" t="s">
        <v>2693</v>
      </c>
      <c r="B106" s="731" t="s">
        <v>2680</v>
      </c>
      <c r="C106" s="55"/>
      <c r="D106" s="507"/>
      <c r="E106" s="504"/>
      <c r="F106" s="504"/>
      <c r="G106" s="504"/>
      <c r="H106" s="504"/>
      <c r="I106" s="501"/>
      <c r="J106" s="512"/>
      <c r="K106" s="506"/>
      <c r="L106" s="504"/>
      <c r="M106" s="504"/>
      <c r="N106" s="504"/>
      <c r="O106" s="504"/>
      <c r="P106" s="504"/>
    </row>
    <row r="107" spans="1:16" ht="15.75" customHeight="1">
      <c r="A107" s="730"/>
      <c r="B107" s="559"/>
      <c r="C107" s="55"/>
      <c r="D107" s="507"/>
      <c r="E107" s="504"/>
      <c r="F107" s="504"/>
      <c r="G107" s="504"/>
      <c r="H107" s="504"/>
      <c r="I107" s="501"/>
      <c r="J107" s="513"/>
      <c r="K107" s="506"/>
      <c r="L107" s="504"/>
      <c r="M107" s="504"/>
      <c r="N107" s="504"/>
      <c r="O107" s="504"/>
      <c r="P107" s="504"/>
    </row>
    <row r="108" spans="1:16" ht="15.75" customHeight="1">
      <c r="A108" s="729" t="s">
        <v>2732</v>
      </c>
      <c r="B108" s="731" t="s">
        <v>2674</v>
      </c>
      <c r="C108" s="55"/>
      <c r="D108" s="507"/>
      <c r="E108" s="504"/>
      <c r="F108" s="504"/>
      <c r="G108" s="504"/>
      <c r="H108" s="504"/>
      <c r="I108" s="501"/>
      <c r="J108" s="513"/>
      <c r="K108" s="506"/>
      <c r="L108" s="504"/>
      <c r="M108" s="504"/>
      <c r="N108" s="504"/>
      <c r="O108" s="504"/>
      <c r="P108" s="504"/>
    </row>
    <row r="109" spans="1:16" ht="15.75" customHeight="1">
      <c r="A109" s="732" t="s">
        <v>2675</v>
      </c>
      <c r="B109" s="731" t="s">
        <v>2733</v>
      </c>
      <c r="C109" s="55"/>
      <c r="D109" s="507"/>
      <c r="E109" s="504"/>
      <c r="F109" s="504"/>
      <c r="G109" s="504"/>
      <c r="H109" s="504"/>
      <c r="I109" s="501"/>
      <c r="J109" s="513"/>
      <c r="K109" s="506"/>
      <c r="L109" s="504"/>
      <c r="M109" s="504"/>
      <c r="N109" s="504"/>
      <c r="O109" s="504"/>
      <c r="P109" s="504"/>
    </row>
    <row r="110" spans="1:16" ht="15.75" customHeight="1">
      <c r="A110" s="732" t="s">
        <v>2675</v>
      </c>
      <c r="B110" s="731" t="s">
        <v>2680</v>
      </c>
      <c r="C110" s="55"/>
      <c r="D110" s="507"/>
      <c r="E110" s="504"/>
      <c r="F110" s="504"/>
      <c r="G110" s="504"/>
      <c r="H110" s="504"/>
      <c r="I110" s="501"/>
      <c r="J110" s="514"/>
      <c r="K110" s="506"/>
      <c r="L110" s="504"/>
      <c r="M110" s="504"/>
      <c r="N110" s="504"/>
      <c r="O110" s="504"/>
      <c r="P110" s="504"/>
    </row>
    <row r="111" spans="1:16" ht="15.75" customHeight="1">
      <c r="A111" s="733" t="s">
        <v>5723</v>
      </c>
      <c r="B111" s="731" t="s">
        <v>5734</v>
      </c>
      <c r="C111" s="55"/>
      <c r="D111" s="507"/>
      <c r="E111" s="504"/>
      <c r="F111" s="504"/>
      <c r="G111" s="504"/>
      <c r="H111" s="504"/>
      <c r="I111" s="501"/>
      <c r="J111" s="514"/>
      <c r="K111" s="506"/>
      <c r="L111" s="504"/>
      <c r="M111" s="504"/>
      <c r="N111" s="504"/>
      <c r="O111" s="504"/>
      <c r="P111" s="504"/>
    </row>
    <row r="112" spans="1:16" ht="15.75" customHeight="1">
      <c r="A112" s="733" t="s">
        <v>5723</v>
      </c>
      <c r="B112" s="731" t="s">
        <v>2680</v>
      </c>
      <c r="C112" s="55"/>
      <c r="D112" s="507"/>
      <c r="E112" s="504"/>
      <c r="F112" s="504"/>
      <c r="G112" s="504"/>
      <c r="H112" s="504"/>
      <c r="I112" s="501"/>
      <c r="J112" s="514"/>
      <c r="K112" s="506"/>
      <c r="L112" s="504"/>
      <c r="M112" s="504"/>
      <c r="N112" s="504"/>
      <c r="O112" s="504"/>
      <c r="P112" s="504"/>
    </row>
    <row r="113" spans="1:16" ht="15.75" customHeight="1">
      <c r="A113" s="734" t="s">
        <v>2677</v>
      </c>
      <c r="B113" s="731" t="s">
        <v>2734</v>
      </c>
      <c r="C113" s="55"/>
      <c r="D113" s="507"/>
      <c r="E113" s="504"/>
      <c r="F113" s="504"/>
      <c r="G113" s="504"/>
      <c r="H113" s="504"/>
      <c r="I113" s="501"/>
      <c r="J113" s="514"/>
      <c r="K113" s="506"/>
      <c r="L113" s="504"/>
      <c r="M113" s="504"/>
      <c r="N113" s="504"/>
      <c r="O113" s="504"/>
      <c r="P113" s="504"/>
    </row>
    <row r="114" spans="1:16" ht="15.75" customHeight="1">
      <c r="A114" s="734" t="s">
        <v>2677</v>
      </c>
      <c r="B114" s="731" t="s">
        <v>2735</v>
      </c>
      <c r="C114" s="55"/>
      <c r="D114" s="507"/>
      <c r="E114" s="504"/>
      <c r="F114" s="504"/>
      <c r="G114" s="504"/>
      <c r="H114" s="504"/>
      <c r="I114" s="501"/>
      <c r="J114" s="511"/>
      <c r="K114" s="506"/>
      <c r="L114" s="504"/>
      <c r="M114" s="504"/>
      <c r="N114" s="504"/>
      <c r="O114" s="504"/>
      <c r="P114" s="504"/>
    </row>
    <row r="115" spans="1:16" ht="15.75" customHeight="1">
      <c r="A115" s="734" t="s">
        <v>2677</v>
      </c>
      <c r="B115" s="731" t="s">
        <v>2680</v>
      </c>
      <c r="C115" s="55"/>
      <c r="D115" s="507"/>
      <c r="E115" s="504"/>
      <c r="F115" s="504"/>
      <c r="G115" s="504"/>
      <c r="H115" s="504"/>
      <c r="I115" s="501"/>
      <c r="J115" s="511"/>
      <c r="K115" s="506"/>
      <c r="L115" s="504"/>
      <c r="M115" s="504"/>
      <c r="N115" s="504"/>
      <c r="O115" s="504"/>
      <c r="P115" s="504"/>
    </row>
    <row r="116" spans="1:16" ht="15.75" customHeight="1">
      <c r="A116" s="735" t="s">
        <v>2681</v>
      </c>
      <c r="B116" s="731" t="s">
        <v>2736</v>
      </c>
      <c r="C116" s="55"/>
      <c r="D116" s="507"/>
      <c r="E116" s="504"/>
      <c r="F116" s="504"/>
      <c r="G116" s="504"/>
      <c r="H116" s="504"/>
      <c r="I116" s="501"/>
      <c r="J116" s="511"/>
      <c r="K116" s="506"/>
      <c r="L116" s="504"/>
      <c r="M116" s="504"/>
      <c r="N116" s="504"/>
      <c r="O116" s="504"/>
      <c r="P116" s="504"/>
    </row>
    <row r="117" spans="1:16" ht="15.75" customHeight="1">
      <c r="A117" s="735" t="s">
        <v>2681</v>
      </c>
      <c r="B117" s="731" t="s">
        <v>2737</v>
      </c>
      <c r="C117" s="55"/>
      <c r="D117" s="507"/>
      <c r="E117" s="504"/>
      <c r="F117" s="504"/>
      <c r="G117" s="504"/>
      <c r="H117" s="504"/>
      <c r="I117" s="501"/>
      <c r="J117" s="511"/>
      <c r="K117" s="506"/>
      <c r="L117" s="504"/>
      <c r="M117" s="504"/>
      <c r="N117" s="504"/>
      <c r="O117" s="504"/>
      <c r="P117" s="504"/>
    </row>
    <row r="118" spans="1:16">
      <c r="A118" s="735" t="s">
        <v>2681</v>
      </c>
      <c r="B118" s="731" t="s">
        <v>2680</v>
      </c>
      <c r="C118" s="55"/>
      <c r="D118" s="507"/>
      <c r="E118" s="504"/>
      <c r="F118" s="504"/>
      <c r="G118" s="504"/>
      <c r="H118" s="504"/>
      <c r="I118" s="501"/>
      <c r="J118" s="511"/>
      <c r="K118" s="506"/>
      <c r="L118" s="504"/>
      <c r="M118" s="504"/>
      <c r="N118" s="504"/>
      <c r="O118" s="504"/>
      <c r="P118" s="504"/>
    </row>
    <row r="119" spans="1:16" ht="15.75" customHeight="1">
      <c r="A119" s="735" t="s">
        <v>2681</v>
      </c>
      <c r="B119" s="731" t="s">
        <v>2680</v>
      </c>
      <c r="C119" s="55"/>
      <c r="D119" s="507"/>
      <c r="E119" s="504"/>
      <c r="F119" s="504"/>
      <c r="G119" s="504"/>
      <c r="H119" s="504"/>
      <c r="I119" s="501"/>
      <c r="J119" s="515"/>
      <c r="K119" s="506"/>
      <c r="L119" s="504"/>
      <c r="M119" s="504"/>
      <c r="N119" s="504"/>
      <c r="O119" s="504"/>
      <c r="P119" s="504"/>
    </row>
    <row r="120" spans="1:16" ht="15.75" customHeight="1">
      <c r="A120" s="737" t="s">
        <v>2686</v>
      </c>
      <c r="B120" s="731" t="s">
        <v>2738</v>
      </c>
      <c r="C120" s="55"/>
      <c r="D120" s="507"/>
      <c r="E120" s="504"/>
      <c r="F120" s="504"/>
      <c r="G120" s="504"/>
      <c r="H120" s="504"/>
      <c r="I120" s="501"/>
      <c r="J120" s="515"/>
      <c r="K120" s="506"/>
      <c r="L120" s="504"/>
      <c r="M120" s="504"/>
      <c r="N120" s="504"/>
      <c r="O120" s="504"/>
      <c r="P120" s="504"/>
    </row>
    <row r="121" spans="1:16" ht="15.75" customHeight="1">
      <c r="A121" s="737" t="s">
        <v>2686</v>
      </c>
      <c r="B121" s="731" t="s">
        <v>2739</v>
      </c>
      <c r="C121" s="55"/>
      <c r="D121" s="507"/>
      <c r="E121" s="504"/>
      <c r="F121" s="504"/>
      <c r="G121" s="504"/>
      <c r="H121" s="504"/>
      <c r="I121" s="501"/>
      <c r="J121" s="516"/>
      <c r="K121" s="506"/>
      <c r="L121" s="504"/>
      <c r="M121" s="504"/>
      <c r="N121" s="504"/>
      <c r="O121" s="504"/>
      <c r="P121" s="504"/>
    </row>
    <row r="122" spans="1:16" ht="15.75" customHeight="1">
      <c r="A122" s="737" t="s">
        <v>2686</v>
      </c>
      <c r="B122" s="731" t="s">
        <v>2680</v>
      </c>
      <c r="C122" s="55"/>
      <c r="D122" s="507"/>
      <c r="E122" s="504"/>
      <c r="F122" s="504"/>
      <c r="G122" s="504"/>
      <c r="H122" s="504"/>
      <c r="I122" s="501"/>
      <c r="J122" s="505"/>
      <c r="K122" s="506"/>
      <c r="L122" s="504"/>
      <c r="M122" s="504"/>
      <c r="N122" s="504"/>
      <c r="O122" s="504"/>
      <c r="P122" s="504"/>
    </row>
    <row r="123" spans="1:16" ht="15.45">
      <c r="A123" s="737" t="s">
        <v>2686</v>
      </c>
      <c r="B123" s="731" t="s">
        <v>2680</v>
      </c>
      <c r="C123" s="55"/>
      <c r="D123" s="507"/>
      <c r="E123" s="504"/>
      <c r="F123" s="504"/>
      <c r="G123" s="504"/>
      <c r="H123" s="504"/>
      <c r="I123" s="501"/>
      <c r="J123" s="517"/>
      <c r="K123" s="506"/>
      <c r="L123" s="504"/>
      <c r="M123" s="504"/>
      <c r="N123" s="504"/>
      <c r="O123" s="504"/>
      <c r="P123" s="504"/>
    </row>
    <row r="124" spans="1:16" ht="15.75" customHeight="1">
      <c r="A124" s="737" t="s">
        <v>2686</v>
      </c>
      <c r="B124" s="731" t="s">
        <v>2680</v>
      </c>
      <c r="C124" s="55"/>
      <c r="D124" s="507"/>
      <c r="E124" s="504"/>
      <c r="F124" s="504"/>
      <c r="G124" s="504"/>
      <c r="H124" s="504"/>
      <c r="I124" s="501"/>
      <c r="J124" s="512"/>
      <c r="K124" s="506"/>
      <c r="L124" s="504"/>
      <c r="M124" s="504"/>
      <c r="N124" s="504"/>
      <c r="O124" s="504"/>
      <c r="P124" s="504"/>
    </row>
    <row r="125" spans="1:16" ht="15.75" customHeight="1">
      <c r="A125" s="738" t="s">
        <v>2691</v>
      </c>
      <c r="B125" s="731" t="s">
        <v>2740</v>
      </c>
      <c r="C125" s="55"/>
      <c r="D125" s="507"/>
      <c r="E125" s="504"/>
      <c r="F125" s="504"/>
      <c r="G125" s="504"/>
      <c r="H125" s="504"/>
      <c r="I125" s="501"/>
      <c r="J125" s="512"/>
      <c r="K125" s="506"/>
      <c r="L125" s="504"/>
      <c r="M125" s="504"/>
      <c r="N125" s="504"/>
      <c r="O125" s="504"/>
      <c r="P125" s="504"/>
    </row>
    <row r="126" spans="1:16" ht="15.75" customHeight="1">
      <c r="A126" s="738" t="s">
        <v>2691</v>
      </c>
      <c r="B126" s="731" t="s">
        <v>2680</v>
      </c>
      <c r="C126" s="55"/>
      <c r="D126" s="507"/>
      <c r="E126" s="504"/>
      <c r="F126" s="504"/>
      <c r="G126" s="504"/>
      <c r="H126" s="504"/>
      <c r="I126" s="501"/>
      <c r="J126" s="513"/>
      <c r="K126" s="506"/>
      <c r="L126" s="504"/>
      <c r="M126" s="504"/>
      <c r="N126" s="504"/>
      <c r="O126" s="504"/>
      <c r="P126" s="504"/>
    </row>
    <row r="127" spans="1:16" ht="15.75" customHeight="1">
      <c r="A127" s="739" t="s">
        <v>2693</v>
      </c>
      <c r="B127" s="731" t="s">
        <v>2741</v>
      </c>
      <c r="C127" s="55"/>
      <c r="D127" s="507"/>
      <c r="E127" s="504"/>
      <c r="F127" s="504"/>
      <c r="G127" s="504"/>
      <c r="H127" s="504"/>
      <c r="I127" s="501"/>
      <c r="J127" s="513"/>
      <c r="K127" s="506"/>
      <c r="L127" s="504"/>
      <c r="M127" s="504"/>
      <c r="N127" s="504"/>
      <c r="O127" s="504"/>
      <c r="P127" s="504"/>
    </row>
    <row r="128" spans="1:16" ht="15.75" customHeight="1">
      <c r="A128" s="730"/>
      <c r="B128" s="730"/>
      <c r="C128" s="55"/>
      <c r="D128" s="507"/>
      <c r="E128" s="504"/>
      <c r="F128" s="504"/>
      <c r="G128" s="504"/>
      <c r="H128" s="504"/>
      <c r="I128" s="501"/>
      <c r="J128" s="513"/>
      <c r="K128" s="506"/>
      <c r="L128" s="504"/>
      <c r="M128" s="504"/>
      <c r="N128" s="504"/>
      <c r="O128" s="504"/>
      <c r="P128" s="504"/>
    </row>
    <row r="129" spans="1:16" ht="15.75" customHeight="1">
      <c r="A129" s="729" t="s">
        <v>2742</v>
      </c>
      <c r="B129" s="731" t="s">
        <v>2674</v>
      </c>
      <c r="C129" s="55"/>
      <c r="D129" s="507"/>
      <c r="E129" s="504"/>
      <c r="F129" s="504"/>
      <c r="G129" s="504"/>
      <c r="H129" s="504"/>
      <c r="I129" s="501"/>
      <c r="J129" s="514"/>
      <c r="K129" s="506"/>
      <c r="L129" s="504"/>
      <c r="M129" s="504"/>
      <c r="N129" s="504"/>
      <c r="O129" s="504"/>
      <c r="P129" s="504"/>
    </row>
    <row r="130" spans="1:16" ht="15.75" customHeight="1">
      <c r="A130" s="732" t="s">
        <v>2675</v>
      </c>
      <c r="B130" s="731" t="s">
        <v>2743</v>
      </c>
      <c r="C130" s="55"/>
      <c r="D130" s="507"/>
      <c r="E130" s="504"/>
      <c r="F130" s="504"/>
      <c r="G130" s="504"/>
      <c r="H130" s="504"/>
      <c r="I130" s="501"/>
      <c r="J130" s="514"/>
      <c r="K130" s="506"/>
      <c r="L130" s="504"/>
      <c r="M130" s="504"/>
      <c r="N130" s="504"/>
      <c r="O130" s="504"/>
      <c r="P130" s="504"/>
    </row>
    <row r="131" spans="1:16" ht="15.75" customHeight="1">
      <c r="A131" s="732" t="s">
        <v>2675</v>
      </c>
      <c r="B131" s="731" t="s">
        <v>2680</v>
      </c>
      <c r="C131" s="55"/>
      <c r="D131" s="507"/>
      <c r="E131" s="504"/>
      <c r="F131" s="504"/>
      <c r="G131" s="504"/>
      <c r="H131" s="504"/>
      <c r="I131" s="501"/>
      <c r="J131" s="514"/>
      <c r="K131" s="506"/>
      <c r="L131" s="504"/>
      <c r="M131" s="504"/>
      <c r="N131" s="504"/>
      <c r="O131" s="504"/>
      <c r="P131" s="504"/>
    </row>
    <row r="132" spans="1:16" ht="15.75" customHeight="1">
      <c r="A132" s="733" t="s">
        <v>5723</v>
      </c>
      <c r="B132" s="731" t="s">
        <v>5735</v>
      </c>
      <c r="C132" s="55"/>
      <c r="D132" s="507"/>
      <c r="E132" s="504"/>
      <c r="F132" s="504"/>
      <c r="G132" s="504"/>
      <c r="H132" s="504"/>
      <c r="I132" s="501"/>
      <c r="J132" s="514"/>
      <c r="K132" s="506"/>
      <c r="L132" s="504"/>
      <c r="M132" s="504"/>
      <c r="N132" s="504"/>
      <c r="O132" s="504"/>
      <c r="P132" s="504"/>
    </row>
    <row r="133" spans="1:16" ht="15.75" customHeight="1">
      <c r="A133" s="733" t="s">
        <v>5723</v>
      </c>
      <c r="B133" s="731" t="s">
        <v>2680</v>
      </c>
      <c r="C133" s="55"/>
      <c r="D133" s="507"/>
      <c r="E133" s="504"/>
      <c r="F133" s="504"/>
      <c r="G133" s="504"/>
      <c r="H133" s="504"/>
      <c r="I133" s="501"/>
      <c r="J133" s="511"/>
      <c r="K133" s="506"/>
      <c r="L133" s="504"/>
      <c r="M133" s="504"/>
      <c r="N133" s="504"/>
      <c r="O133" s="504"/>
      <c r="P133" s="504"/>
    </row>
    <row r="134" spans="1:16" ht="15.75" customHeight="1">
      <c r="A134" s="734" t="s">
        <v>2677</v>
      </c>
      <c r="B134" s="731" t="s">
        <v>2680</v>
      </c>
      <c r="C134" s="55"/>
      <c r="D134" s="507"/>
      <c r="E134" s="504"/>
      <c r="F134" s="504"/>
      <c r="G134" s="504"/>
      <c r="H134" s="504"/>
      <c r="I134" s="501"/>
      <c r="J134" s="511"/>
      <c r="K134" s="506"/>
      <c r="L134" s="504"/>
      <c r="M134" s="504"/>
      <c r="N134" s="504"/>
      <c r="O134" s="504"/>
      <c r="P134" s="504"/>
    </row>
    <row r="135" spans="1:16" ht="15.75" customHeight="1">
      <c r="A135" s="734" t="s">
        <v>2677</v>
      </c>
      <c r="B135" s="731" t="s">
        <v>2744</v>
      </c>
      <c r="C135" s="55"/>
      <c r="D135" s="507"/>
      <c r="E135" s="504"/>
      <c r="F135" s="504"/>
      <c r="G135" s="504"/>
      <c r="H135" s="504"/>
      <c r="I135" s="501"/>
      <c r="J135" s="511"/>
      <c r="K135" s="506"/>
      <c r="L135" s="504"/>
      <c r="M135" s="504"/>
      <c r="N135" s="504"/>
      <c r="O135" s="504"/>
      <c r="P135" s="504"/>
    </row>
    <row r="136" spans="1:16" ht="15.75" customHeight="1">
      <c r="A136" s="734" t="s">
        <v>2677</v>
      </c>
      <c r="B136" s="731" t="s">
        <v>2680</v>
      </c>
      <c r="C136" s="55"/>
      <c r="D136" s="507"/>
      <c r="E136" s="504"/>
      <c r="F136" s="504"/>
      <c r="G136" s="504"/>
      <c r="H136" s="504"/>
      <c r="I136" s="501"/>
      <c r="J136" s="511"/>
      <c r="K136" s="506"/>
      <c r="L136" s="504"/>
      <c r="M136" s="504"/>
      <c r="N136" s="504"/>
      <c r="O136" s="504"/>
      <c r="P136" s="504"/>
    </row>
    <row r="137" spans="1:16">
      <c r="A137" s="735" t="s">
        <v>2681</v>
      </c>
      <c r="B137" s="731" t="s">
        <v>2745</v>
      </c>
      <c r="C137" s="55"/>
      <c r="D137" s="507"/>
      <c r="E137" s="504"/>
      <c r="F137" s="504"/>
      <c r="G137" s="504"/>
      <c r="H137" s="504"/>
      <c r="I137" s="501"/>
      <c r="J137" s="511"/>
      <c r="K137" s="506"/>
      <c r="L137" s="504"/>
      <c r="M137" s="504"/>
      <c r="N137" s="504"/>
      <c r="O137" s="504"/>
      <c r="P137" s="504"/>
    </row>
    <row r="138" spans="1:16" ht="15.75" customHeight="1">
      <c r="A138" s="735" t="s">
        <v>2681</v>
      </c>
      <c r="B138" s="731" t="s">
        <v>2680</v>
      </c>
      <c r="C138" s="55"/>
      <c r="D138" s="507"/>
      <c r="E138" s="504"/>
      <c r="F138" s="504"/>
      <c r="G138" s="504"/>
      <c r="H138" s="504"/>
      <c r="I138" s="501"/>
      <c r="J138" s="515"/>
      <c r="K138" s="506"/>
      <c r="L138" s="504"/>
      <c r="M138" s="504"/>
      <c r="N138" s="504"/>
      <c r="O138" s="504"/>
      <c r="P138" s="504"/>
    </row>
    <row r="139" spans="1:16" ht="15.75" customHeight="1">
      <c r="A139" s="735" t="s">
        <v>2681</v>
      </c>
      <c r="B139" s="731" t="s">
        <v>2680</v>
      </c>
      <c r="C139" s="55"/>
      <c r="D139" s="507"/>
      <c r="E139" s="504"/>
      <c r="F139" s="504"/>
      <c r="G139" s="504"/>
      <c r="H139" s="504"/>
      <c r="I139" s="501"/>
      <c r="J139" s="515"/>
      <c r="K139" s="506"/>
      <c r="L139" s="504"/>
      <c r="M139" s="504"/>
      <c r="N139" s="504"/>
      <c r="O139" s="504"/>
      <c r="P139" s="504"/>
    </row>
    <row r="140" spans="1:16" ht="15.75" customHeight="1">
      <c r="A140" s="735" t="s">
        <v>2681</v>
      </c>
      <c r="B140" s="731" t="s">
        <v>2680</v>
      </c>
      <c r="C140" s="55"/>
      <c r="D140" s="507"/>
      <c r="E140" s="504"/>
      <c r="F140" s="504"/>
      <c r="G140" s="504"/>
      <c r="H140" s="504"/>
      <c r="I140" s="501"/>
      <c r="J140" s="516"/>
      <c r="K140" s="506"/>
      <c r="L140" s="504"/>
      <c r="M140" s="504"/>
      <c r="N140" s="504"/>
      <c r="O140" s="504"/>
      <c r="P140" s="504"/>
    </row>
    <row r="141" spans="1:16" ht="15.75" customHeight="1">
      <c r="A141" s="737" t="s">
        <v>2686</v>
      </c>
      <c r="B141" s="731" t="s">
        <v>2746</v>
      </c>
      <c r="C141" s="55"/>
      <c r="D141" s="507"/>
      <c r="E141" s="504"/>
      <c r="F141" s="504"/>
      <c r="G141" s="504"/>
      <c r="H141" s="504"/>
      <c r="I141" s="501"/>
      <c r="J141" s="505"/>
      <c r="K141" s="506"/>
      <c r="L141" s="504"/>
      <c r="M141" s="504"/>
      <c r="N141" s="504"/>
      <c r="O141" s="504"/>
      <c r="P141" s="504"/>
    </row>
    <row r="142" spans="1:16" ht="15.45">
      <c r="A142" s="737" t="s">
        <v>2686</v>
      </c>
      <c r="B142" s="731" t="s">
        <v>2680</v>
      </c>
      <c r="C142" s="55"/>
      <c r="D142" s="507"/>
      <c r="E142" s="504"/>
      <c r="F142" s="504"/>
      <c r="G142" s="504"/>
      <c r="H142" s="504"/>
      <c r="I142" s="501"/>
      <c r="J142" s="517"/>
      <c r="K142" s="506"/>
      <c r="L142" s="504"/>
      <c r="M142" s="504"/>
      <c r="N142" s="504"/>
      <c r="O142" s="504"/>
      <c r="P142" s="504"/>
    </row>
    <row r="143" spans="1:16" ht="15.75" customHeight="1">
      <c r="A143" s="737" t="s">
        <v>2686</v>
      </c>
      <c r="B143" s="731" t="s">
        <v>2680</v>
      </c>
      <c r="C143" s="55"/>
      <c r="D143" s="507"/>
      <c r="E143" s="504"/>
      <c r="F143" s="504"/>
      <c r="G143" s="504"/>
      <c r="H143" s="504"/>
      <c r="I143" s="501"/>
      <c r="J143" s="512"/>
      <c r="K143" s="506"/>
      <c r="L143" s="504"/>
      <c r="M143" s="504"/>
      <c r="N143" s="504"/>
      <c r="O143" s="504"/>
      <c r="P143" s="504"/>
    </row>
    <row r="144" spans="1:16" ht="15.75" customHeight="1">
      <c r="A144" s="737" t="s">
        <v>2686</v>
      </c>
      <c r="B144" s="731" t="s">
        <v>2680</v>
      </c>
      <c r="C144" s="55"/>
      <c r="D144" s="507"/>
      <c r="E144" s="504"/>
      <c r="F144" s="504"/>
      <c r="G144" s="504"/>
      <c r="H144" s="504"/>
      <c r="I144" s="501"/>
      <c r="J144" s="512"/>
      <c r="K144" s="506"/>
      <c r="L144" s="504"/>
      <c r="M144" s="504"/>
      <c r="N144" s="504"/>
      <c r="O144" s="504"/>
      <c r="P144" s="504"/>
    </row>
    <row r="145" spans="1:16" ht="15.75" customHeight="1">
      <c r="A145" s="737" t="s">
        <v>2686</v>
      </c>
      <c r="B145" s="731" t="s">
        <v>2680</v>
      </c>
      <c r="C145" s="55"/>
      <c r="D145" s="507"/>
      <c r="E145" s="504"/>
      <c r="F145" s="504"/>
      <c r="G145" s="504"/>
      <c r="H145" s="504"/>
      <c r="I145" s="501"/>
      <c r="J145" s="513"/>
      <c r="K145" s="506"/>
      <c r="L145" s="504"/>
      <c r="M145" s="504"/>
      <c r="N145" s="504"/>
      <c r="O145" s="504"/>
      <c r="P145" s="504"/>
    </row>
    <row r="146" spans="1:16" ht="15.75" customHeight="1">
      <c r="A146" s="738" t="s">
        <v>2691</v>
      </c>
      <c r="B146" s="731" t="s">
        <v>2680</v>
      </c>
      <c r="C146" s="55"/>
      <c r="D146" s="507"/>
      <c r="E146" s="504"/>
      <c r="F146" s="504"/>
      <c r="G146" s="504"/>
      <c r="H146" s="504"/>
      <c r="I146" s="501"/>
      <c r="J146" s="513"/>
      <c r="K146" s="506"/>
      <c r="L146" s="504"/>
      <c r="M146" s="504"/>
      <c r="N146" s="504"/>
      <c r="O146" s="504"/>
      <c r="P146" s="504"/>
    </row>
    <row r="147" spans="1:16" ht="15.75" customHeight="1">
      <c r="A147" s="738" t="s">
        <v>2691</v>
      </c>
      <c r="B147" s="731" t="s">
        <v>2680</v>
      </c>
      <c r="C147" s="55"/>
      <c r="D147" s="507"/>
      <c r="E147" s="504"/>
      <c r="F147" s="504"/>
      <c r="G147" s="504"/>
      <c r="H147" s="504"/>
      <c r="I147" s="501"/>
      <c r="J147" s="513"/>
      <c r="K147" s="506"/>
      <c r="L147" s="504"/>
      <c r="M147" s="504"/>
      <c r="N147" s="504"/>
      <c r="O147" s="504"/>
      <c r="P147" s="504"/>
    </row>
    <row r="148" spans="1:16" ht="15.75" customHeight="1">
      <c r="A148" s="739" t="s">
        <v>2693</v>
      </c>
      <c r="B148" s="731" t="s">
        <v>2680</v>
      </c>
      <c r="C148" s="55"/>
      <c r="D148" s="507"/>
      <c r="E148" s="504"/>
      <c r="F148" s="504"/>
      <c r="G148" s="504"/>
      <c r="H148" s="504"/>
      <c r="I148" s="501"/>
      <c r="J148" s="514"/>
      <c r="K148" s="506"/>
      <c r="L148" s="504"/>
      <c r="M148" s="504"/>
      <c r="N148" s="504"/>
      <c r="O148" s="504"/>
      <c r="P148" s="504"/>
    </row>
    <row r="149" spans="1:16" ht="15.75" customHeight="1">
      <c r="A149" s="740"/>
      <c r="B149" s="559"/>
      <c r="C149" s="55"/>
      <c r="D149" s="507"/>
      <c r="E149" s="504"/>
      <c r="F149" s="504"/>
      <c r="G149" s="504"/>
      <c r="H149" s="504"/>
      <c r="I149" s="501"/>
      <c r="J149" s="514"/>
      <c r="K149" s="506"/>
      <c r="L149" s="504"/>
      <c r="M149" s="504"/>
      <c r="N149" s="504"/>
      <c r="O149" s="504"/>
      <c r="P149" s="504"/>
    </row>
    <row r="150" spans="1:16" ht="15.75" customHeight="1">
      <c r="A150" s="729" t="s">
        <v>2747</v>
      </c>
      <c r="B150" s="731" t="s">
        <v>2674</v>
      </c>
      <c r="C150" s="55"/>
      <c r="D150" s="507"/>
      <c r="E150" s="504"/>
      <c r="F150" s="504"/>
      <c r="G150" s="504"/>
      <c r="H150" s="504"/>
      <c r="I150" s="501"/>
      <c r="J150" s="514"/>
      <c r="K150" s="506"/>
      <c r="L150" s="504"/>
      <c r="M150" s="504"/>
      <c r="N150" s="504"/>
      <c r="O150" s="504"/>
      <c r="P150" s="504"/>
    </row>
    <row r="151" spans="1:16" ht="15.75" customHeight="1">
      <c r="A151" s="732" t="s">
        <v>2675</v>
      </c>
      <c r="B151" s="731" t="s">
        <v>2680</v>
      </c>
      <c r="C151" s="55"/>
      <c r="D151" s="507"/>
      <c r="E151" s="504"/>
      <c r="F151" s="504"/>
      <c r="G151" s="504"/>
      <c r="H151" s="504"/>
      <c r="I151" s="501"/>
      <c r="J151" s="514"/>
      <c r="K151" s="506"/>
      <c r="L151" s="504"/>
      <c r="M151" s="504"/>
      <c r="N151" s="504"/>
      <c r="O151" s="504"/>
      <c r="P151" s="504"/>
    </row>
    <row r="152" spans="1:16" ht="15.75" customHeight="1">
      <c r="A152" s="732" t="s">
        <v>2675</v>
      </c>
      <c r="B152" s="731" t="s">
        <v>2748</v>
      </c>
      <c r="C152" s="55"/>
      <c r="D152" s="507"/>
      <c r="E152" s="504"/>
      <c r="F152" s="504"/>
      <c r="G152" s="504"/>
      <c r="H152" s="504"/>
      <c r="I152" s="501"/>
      <c r="J152" s="511"/>
      <c r="K152" s="506"/>
      <c r="L152" s="504"/>
      <c r="M152" s="504"/>
      <c r="N152" s="504"/>
      <c r="O152" s="504"/>
      <c r="P152" s="504"/>
    </row>
    <row r="153" spans="1:16" ht="15.75" customHeight="1">
      <c r="A153" s="733" t="s">
        <v>5723</v>
      </c>
      <c r="B153" s="731" t="s">
        <v>5736</v>
      </c>
      <c r="C153" s="55"/>
      <c r="D153" s="507"/>
      <c r="E153" s="504"/>
      <c r="F153" s="504"/>
      <c r="G153" s="504"/>
      <c r="H153" s="504"/>
      <c r="I153" s="501"/>
      <c r="J153" s="511"/>
      <c r="K153" s="506"/>
      <c r="L153" s="504"/>
      <c r="M153" s="504"/>
      <c r="N153" s="504"/>
      <c r="O153" s="504"/>
      <c r="P153" s="504"/>
    </row>
    <row r="154" spans="1:16" ht="15.75" customHeight="1">
      <c r="A154" s="733" t="s">
        <v>5723</v>
      </c>
      <c r="B154" s="731" t="s">
        <v>2680</v>
      </c>
      <c r="C154" s="55"/>
      <c r="D154" s="507"/>
      <c r="E154" s="504"/>
      <c r="F154" s="504"/>
      <c r="G154" s="504"/>
      <c r="H154" s="504"/>
      <c r="I154" s="501"/>
      <c r="J154" s="511"/>
      <c r="K154" s="506"/>
      <c r="L154" s="504"/>
      <c r="M154" s="504"/>
      <c r="N154" s="504"/>
      <c r="O154" s="504"/>
      <c r="P154" s="504"/>
    </row>
    <row r="155" spans="1:16" ht="15.75" customHeight="1">
      <c r="A155" s="734" t="s">
        <v>2677</v>
      </c>
      <c r="B155" s="731" t="s">
        <v>2680</v>
      </c>
      <c r="C155" s="55"/>
      <c r="D155" s="507"/>
      <c r="E155" s="504"/>
      <c r="F155" s="504"/>
      <c r="G155" s="504"/>
      <c r="H155" s="504"/>
      <c r="I155" s="501"/>
      <c r="J155" s="511"/>
      <c r="K155" s="506"/>
      <c r="L155" s="504"/>
      <c r="M155" s="504"/>
      <c r="N155" s="504"/>
      <c r="O155" s="504"/>
      <c r="P155" s="504"/>
    </row>
    <row r="156" spans="1:16" ht="15.75" customHeight="1">
      <c r="A156" s="734" t="s">
        <v>2677</v>
      </c>
      <c r="B156" s="731" t="s">
        <v>2680</v>
      </c>
      <c r="C156" s="55"/>
      <c r="D156" s="507"/>
      <c r="E156" s="504"/>
      <c r="F156" s="504"/>
      <c r="G156" s="504"/>
      <c r="H156" s="504"/>
      <c r="I156" s="501"/>
      <c r="J156" s="511"/>
      <c r="K156" s="506"/>
      <c r="L156" s="504"/>
      <c r="M156" s="504"/>
      <c r="N156" s="504"/>
      <c r="O156" s="504"/>
      <c r="P156" s="504"/>
    </row>
    <row r="157" spans="1:16" ht="15.75" customHeight="1">
      <c r="A157" s="734" t="s">
        <v>2677</v>
      </c>
      <c r="B157" s="731" t="s">
        <v>5737</v>
      </c>
      <c r="C157" s="55"/>
      <c r="D157" s="507"/>
      <c r="E157" s="504"/>
      <c r="F157" s="504"/>
      <c r="G157" s="504"/>
      <c r="H157" s="504"/>
      <c r="I157" s="501"/>
      <c r="J157" s="511"/>
      <c r="K157" s="506"/>
      <c r="L157" s="504"/>
      <c r="M157" s="504"/>
      <c r="N157" s="504"/>
      <c r="O157" s="504"/>
      <c r="P157" s="504"/>
    </row>
    <row r="158" spans="1:16" ht="15.75" customHeight="1">
      <c r="A158" s="735" t="s">
        <v>2681</v>
      </c>
      <c r="B158" s="731" t="s">
        <v>2680</v>
      </c>
      <c r="C158" s="55"/>
      <c r="D158" s="507"/>
      <c r="E158" s="504"/>
      <c r="F158" s="504"/>
      <c r="G158" s="504"/>
      <c r="H158" s="504"/>
      <c r="I158" s="501"/>
      <c r="J158" s="511"/>
      <c r="K158" s="506"/>
      <c r="L158" s="504"/>
      <c r="M158" s="504"/>
      <c r="N158" s="504"/>
      <c r="O158" s="504"/>
      <c r="P158" s="504"/>
    </row>
    <row r="159" spans="1:16" ht="15.75" customHeight="1">
      <c r="A159" s="735" t="s">
        <v>2681</v>
      </c>
      <c r="B159" s="731" t="s">
        <v>2749</v>
      </c>
      <c r="C159" s="55"/>
      <c r="D159" s="507"/>
      <c r="E159" s="504"/>
      <c r="F159" s="504"/>
      <c r="G159" s="504"/>
      <c r="H159" s="504"/>
      <c r="I159" s="501"/>
      <c r="J159" s="511"/>
      <c r="K159" s="506"/>
      <c r="L159" s="504"/>
      <c r="M159" s="504"/>
      <c r="N159" s="504"/>
      <c r="O159" s="504"/>
      <c r="P159" s="504"/>
    </row>
    <row r="160" spans="1:16" ht="15.75" customHeight="1">
      <c r="A160" s="735" t="s">
        <v>2681</v>
      </c>
      <c r="B160" s="731" t="s">
        <v>2680</v>
      </c>
      <c r="C160" s="55"/>
      <c r="D160" s="507"/>
      <c r="E160" s="504"/>
      <c r="F160" s="504"/>
      <c r="G160" s="504"/>
      <c r="H160" s="504"/>
      <c r="I160" s="501"/>
      <c r="J160" s="511"/>
      <c r="K160" s="506"/>
      <c r="L160" s="504"/>
      <c r="M160" s="504"/>
      <c r="N160" s="504"/>
      <c r="O160" s="504"/>
      <c r="P160" s="504"/>
    </row>
    <row r="161" spans="1:16" ht="15.75" customHeight="1">
      <c r="A161" s="735" t="s">
        <v>2681</v>
      </c>
      <c r="B161" s="731" t="s">
        <v>2680</v>
      </c>
      <c r="C161" s="55"/>
      <c r="D161" s="507"/>
      <c r="E161" s="504"/>
      <c r="F161" s="504"/>
      <c r="G161" s="504"/>
      <c r="H161" s="504"/>
      <c r="I161" s="501"/>
      <c r="J161" s="511"/>
      <c r="K161" s="506"/>
      <c r="L161" s="504"/>
      <c r="M161" s="504"/>
      <c r="N161" s="504"/>
      <c r="O161" s="504"/>
      <c r="P161" s="504"/>
    </row>
    <row r="162" spans="1:16" ht="15.75" customHeight="1">
      <c r="A162" s="737" t="s">
        <v>2686</v>
      </c>
      <c r="B162" s="731" t="s">
        <v>2680</v>
      </c>
      <c r="C162" s="55"/>
      <c r="D162" s="507"/>
      <c r="E162" s="504"/>
      <c r="F162" s="504"/>
      <c r="G162" s="504"/>
      <c r="H162" s="504"/>
      <c r="I162" s="501"/>
      <c r="J162" s="511"/>
      <c r="K162" s="506"/>
      <c r="L162" s="504"/>
      <c r="M162" s="504"/>
      <c r="N162" s="504"/>
      <c r="O162" s="504"/>
      <c r="P162" s="504"/>
    </row>
    <row r="163" spans="1:16" ht="15.75" customHeight="1">
      <c r="A163" s="737" t="s">
        <v>2686</v>
      </c>
      <c r="B163" s="731" t="s">
        <v>2750</v>
      </c>
      <c r="C163" s="55"/>
      <c r="D163" s="507"/>
      <c r="E163" s="504"/>
      <c r="F163" s="504"/>
      <c r="G163" s="504"/>
      <c r="H163" s="504"/>
      <c r="I163" s="501"/>
      <c r="J163" s="511"/>
      <c r="K163" s="506"/>
      <c r="L163" s="504"/>
      <c r="M163" s="504"/>
      <c r="N163" s="504"/>
      <c r="O163" s="504"/>
      <c r="P163" s="504"/>
    </row>
    <row r="164" spans="1:16" ht="15.75" customHeight="1">
      <c r="A164" s="737" t="s">
        <v>2686</v>
      </c>
      <c r="B164" s="731" t="s">
        <v>2751</v>
      </c>
      <c r="C164" s="55"/>
      <c r="D164" s="507"/>
      <c r="E164" s="504"/>
      <c r="F164" s="504"/>
      <c r="G164" s="504"/>
      <c r="H164" s="504"/>
      <c r="I164" s="501"/>
      <c r="J164" s="511"/>
      <c r="K164" s="506"/>
      <c r="L164" s="504"/>
      <c r="M164" s="504"/>
      <c r="N164" s="504"/>
      <c r="O164" s="504"/>
      <c r="P164" s="504"/>
    </row>
    <row r="165" spans="1:16" ht="15.75" customHeight="1">
      <c r="A165" s="737" t="s">
        <v>2686</v>
      </c>
      <c r="B165" s="731" t="s">
        <v>2680</v>
      </c>
      <c r="C165" s="55"/>
      <c r="D165" s="507"/>
      <c r="E165" s="504"/>
      <c r="F165" s="504"/>
      <c r="G165" s="504"/>
      <c r="H165" s="504"/>
      <c r="I165" s="501"/>
      <c r="J165" s="511"/>
      <c r="K165" s="506"/>
      <c r="L165" s="504"/>
      <c r="M165" s="504"/>
      <c r="N165" s="504"/>
      <c r="O165" s="504"/>
      <c r="P165" s="504"/>
    </row>
    <row r="166" spans="1:16" ht="15.75" customHeight="1">
      <c r="A166" s="737" t="s">
        <v>2686</v>
      </c>
      <c r="B166" s="731" t="s">
        <v>2680</v>
      </c>
      <c r="C166" s="55"/>
      <c r="D166" s="507"/>
      <c r="E166" s="504"/>
      <c r="F166" s="504"/>
      <c r="G166" s="504"/>
      <c r="H166" s="504"/>
      <c r="I166" s="501"/>
      <c r="J166" s="511"/>
      <c r="K166" s="506"/>
      <c r="L166" s="504"/>
      <c r="M166" s="504"/>
      <c r="N166" s="504"/>
      <c r="O166" s="504"/>
      <c r="P166" s="504"/>
    </row>
    <row r="167" spans="1:16" ht="15.75" customHeight="1">
      <c r="A167" s="738" t="s">
        <v>2691</v>
      </c>
      <c r="B167" s="731" t="s">
        <v>2680</v>
      </c>
      <c r="C167" s="55"/>
      <c r="D167" s="507"/>
      <c r="E167" s="504"/>
      <c r="F167" s="504"/>
      <c r="G167" s="504"/>
      <c r="H167" s="504"/>
      <c r="I167" s="501"/>
      <c r="J167" s="511"/>
      <c r="K167" s="506"/>
      <c r="L167" s="504"/>
      <c r="M167" s="504"/>
      <c r="N167" s="504"/>
      <c r="O167" s="504"/>
      <c r="P167" s="504"/>
    </row>
    <row r="168" spans="1:16" ht="15.75" customHeight="1">
      <c r="A168" s="738" t="s">
        <v>2691</v>
      </c>
      <c r="B168" s="731" t="s">
        <v>2752</v>
      </c>
      <c r="C168" s="55"/>
      <c r="D168" s="507"/>
      <c r="E168" s="504"/>
      <c r="F168" s="504"/>
      <c r="G168" s="504"/>
      <c r="H168" s="504"/>
      <c r="I168" s="501"/>
      <c r="J168" s="511"/>
      <c r="K168" s="506"/>
      <c r="L168" s="504"/>
      <c r="M168" s="504"/>
      <c r="N168" s="504"/>
      <c r="O168" s="504"/>
      <c r="P168" s="504"/>
    </row>
    <row r="169" spans="1:16" ht="15.75" customHeight="1">
      <c r="A169" s="739" t="s">
        <v>2693</v>
      </c>
      <c r="B169" s="731" t="s">
        <v>2680</v>
      </c>
      <c r="C169" s="55"/>
      <c r="D169" s="507"/>
      <c r="E169" s="504"/>
      <c r="F169" s="504"/>
      <c r="G169" s="504"/>
      <c r="H169" s="504"/>
      <c r="I169" s="501"/>
      <c r="J169" s="511"/>
      <c r="K169" s="506"/>
      <c r="L169" s="504"/>
      <c r="M169" s="504"/>
      <c r="N169" s="504"/>
      <c r="O169" s="504"/>
      <c r="P169" s="504"/>
    </row>
    <row r="170" spans="1:16" ht="15.75" customHeight="1">
      <c r="A170" s="740"/>
      <c r="B170" s="559"/>
      <c r="C170" s="55"/>
      <c r="D170" s="507"/>
      <c r="E170" s="504"/>
      <c r="F170" s="504"/>
      <c r="G170" s="504"/>
      <c r="H170" s="504"/>
      <c r="I170" s="501"/>
      <c r="J170" s="511"/>
      <c r="K170" s="506"/>
      <c r="L170" s="504"/>
      <c r="M170" s="504"/>
      <c r="N170" s="504"/>
      <c r="O170" s="504"/>
      <c r="P170" s="504"/>
    </row>
    <row r="171" spans="1:16" ht="15.75" customHeight="1">
      <c r="A171" s="729" t="s">
        <v>2753</v>
      </c>
      <c r="B171" s="731" t="s">
        <v>2674</v>
      </c>
      <c r="C171" s="55"/>
      <c r="D171" s="507"/>
      <c r="E171" s="504"/>
      <c r="F171" s="504"/>
      <c r="G171" s="504"/>
      <c r="H171" s="504"/>
      <c r="I171" s="501"/>
      <c r="J171" s="511"/>
      <c r="K171" s="506"/>
      <c r="L171" s="504"/>
      <c r="M171" s="504"/>
      <c r="N171" s="504"/>
      <c r="O171" s="504"/>
      <c r="P171" s="504"/>
    </row>
    <row r="172" spans="1:16" ht="15.75" customHeight="1">
      <c r="A172" s="732" t="s">
        <v>2675</v>
      </c>
      <c r="B172" s="731" t="s">
        <v>2754</v>
      </c>
      <c r="C172" s="55"/>
      <c r="D172" s="507"/>
      <c r="E172" s="504"/>
      <c r="F172" s="504"/>
      <c r="G172" s="504"/>
      <c r="H172" s="504"/>
      <c r="I172" s="501"/>
      <c r="J172" s="511"/>
      <c r="K172" s="506"/>
      <c r="L172" s="504"/>
      <c r="M172" s="504"/>
      <c r="N172" s="504"/>
      <c r="O172" s="504"/>
      <c r="P172" s="504"/>
    </row>
    <row r="173" spans="1:16" ht="15.75" customHeight="1">
      <c r="A173" s="732" t="s">
        <v>2675</v>
      </c>
      <c r="B173" s="731" t="s">
        <v>2680</v>
      </c>
      <c r="C173" s="55"/>
      <c r="D173" s="507"/>
      <c r="E173" s="504"/>
      <c r="F173" s="504"/>
      <c r="G173" s="504"/>
      <c r="H173" s="504"/>
      <c r="I173" s="501"/>
      <c r="J173" s="511"/>
      <c r="K173" s="506"/>
      <c r="L173" s="504"/>
      <c r="M173" s="504"/>
      <c r="N173" s="504"/>
      <c r="O173" s="504"/>
      <c r="P173" s="504"/>
    </row>
    <row r="174" spans="1:16">
      <c r="A174" s="733" t="s">
        <v>5723</v>
      </c>
      <c r="B174" s="731" t="s">
        <v>5738</v>
      </c>
      <c r="C174" s="55"/>
      <c r="D174" s="507"/>
      <c r="E174" s="504"/>
      <c r="F174" s="504"/>
      <c r="G174" s="504"/>
      <c r="H174" s="504"/>
      <c r="I174" s="501"/>
      <c r="J174" s="511"/>
      <c r="K174" s="506"/>
      <c r="L174" s="504"/>
      <c r="M174" s="504"/>
      <c r="N174" s="504"/>
      <c r="O174" s="504"/>
      <c r="P174" s="504"/>
    </row>
    <row r="175" spans="1:16" ht="15.75" customHeight="1">
      <c r="A175" s="733" t="s">
        <v>5723</v>
      </c>
      <c r="B175" s="731" t="s">
        <v>2680</v>
      </c>
      <c r="C175" s="55"/>
      <c r="D175" s="507"/>
      <c r="E175" s="504"/>
      <c r="F175" s="504"/>
      <c r="G175" s="504"/>
      <c r="H175" s="504"/>
      <c r="I175" s="501"/>
      <c r="J175" s="515"/>
      <c r="K175" s="506"/>
      <c r="L175" s="504"/>
      <c r="M175" s="504"/>
      <c r="N175" s="504"/>
      <c r="O175" s="504"/>
      <c r="P175" s="504"/>
    </row>
    <row r="176" spans="1:16" ht="15.75" customHeight="1">
      <c r="A176" s="734" t="s">
        <v>2677</v>
      </c>
      <c r="B176" s="731" t="s">
        <v>2680</v>
      </c>
      <c r="C176" s="55"/>
      <c r="D176" s="507"/>
      <c r="E176" s="504"/>
      <c r="F176" s="504"/>
      <c r="G176" s="504"/>
      <c r="H176" s="504"/>
      <c r="I176" s="501"/>
      <c r="J176" s="515"/>
      <c r="K176" s="506"/>
      <c r="L176" s="504"/>
      <c r="M176" s="504"/>
      <c r="N176" s="504"/>
      <c r="O176" s="504"/>
      <c r="P176" s="504"/>
    </row>
    <row r="177" spans="1:16" ht="15.75" customHeight="1">
      <c r="A177" s="734" t="s">
        <v>2677</v>
      </c>
      <c r="B177" s="731" t="s">
        <v>2755</v>
      </c>
      <c r="C177" s="55"/>
      <c r="D177" s="507"/>
      <c r="E177" s="504"/>
      <c r="F177" s="504"/>
      <c r="G177" s="504"/>
      <c r="H177" s="504"/>
      <c r="I177" s="501"/>
      <c r="J177" s="516"/>
      <c r="K177" s="506"/>
      <c r="L177" s="504"/>
      <c r="M177" s="504"/>
      <c r="N177" s="504"/>
      <c r="O177" s="504"/>
      <c r="P177" s="504"/>
    </row>
    <row r="178" spans="1:16" ht="15.75" customHeight="1">
      <c r="A178" s="734" t="s">
        <v>2677</v>
      </c>
      <c r="B178" s="731" t="s">
        <v>2680</v>
      </c>
      <c r="C178" s="55"/>
      <c r="D178" s="507"/>
      <c r="E178" s="504"/>
      <c r="F178" s="504"/>
      <c r="G178" s="504"/>
      <c r="H178" s="504"/>
      <c r="I178" s="501"/>
      <c r="J178" s="505"/>
      <c r="K178" s="506"/>
      <c r="L178" s="504"/>
      <c r="M178" s="504"/>
      <c r="N178" s="504"/>
      <c r="O178" s="504"/>
      <c r="P178" s="504"/>
    </row>
    <row r="179" spans="1:16" ht="15.45">
      <c r="A179" s="735" t="s">
        <v>2681</v>
      </c>
      <c r="B179" s="731" t="s">
        <v>2680</v>
      </c>
      <c r="C179" s="55"/>
      <c r="D179" s="507"/>
      <c r="E179" s="504"/>
      <c r="F179" s="504"/>
      <c r="G179" s="504"/>
      <c r="H179" s="504"/>
      <c r="I179" s="501"/>
      <c r="J179" s="517"/>
      <c r="K179" s="506"/>
      <c r="L179" s="504"/>
      <c r="M179" s="504"/>
      <c r="N179" s="504"/>
      <c r="O179" s="504"/>
      <c r="P179" s="504"/>
    </row>
    <row r="180" spans="1:16" ht="15.75" customHeight="1">
      <c r="A180" s="735" t="s">
        <v>2681</v>
      </c>
      <c r="B180" s="731" t="s">
        <v>2756</v>
      </c>
      <c r="C180" s="55"/>
      <c r="D180" s="507"/>
      <c r="E180" s="504"/>
      <c r="F180" s="504"/>
      <c r="G180" s="504"/>
      <c r="H180" s="504"/>
      <c r="I180" s="501"/>
      <c r="J180" s="512"/>
      <c r="K180" s="506"/>
      <c r="L180" s="504"/>
      <c r="M180" s="504"/>
      <c r="N180" s="504"/>
      <c r="O180" s="504"/>
      <c r="P180" s="504"/>
    </row>
    <row r="181" spans="1:16" ht="15.75" customHeight="1">
      <c r="A181" s="735" t="s">
        <v>2681</v>
      </c>
      <c r="B181" s="731" t="s">
        <v>2680</v>
      </c>
      <c r="C181" s="55"/>
      <c r="D181" s="507"/>
      <c r="E181" s="504"/>
      <c r="F181" s="504"/>
      <c r="G181" s="504"/>
      <c r="H181" s="504"/>
      <c r="I181" s="501"/>
      <c r="J181" s="512"/>
      <c r="K181" s="506"/>
      <c r="L181" s="504"/>
      <c r="M181" s="504"/>
      <c r="N181" s="504"/>
      <c r="O181" s="504"/>
      <c r="P181" s="504"/>
    </row>
    <row r="182" spans="1:16" ht="15.75" customHeight="1">
      <c r="A182" s="735" t="s">
        <v>2681</v>
      </c>
      <c r="B182" s="731" t="s">
        <v>2757</v>
      </c>
      <c r="C182" s="55"/>
      <c r="D182" s="507"/>
      <c r="E182" s="504"/>
      <c r="F182" s="504"/>
      <c r="G182" s="504"/>
      <c r="H182" s="504"/>
      <c r="I182" s="501"/>
      <c r="J182" s="513"/>
      <c r="K182" s="506"/>
      <c r="L182" s="504"/>
      <c r="M182" s="504"/>
      <c r="N182" s="504"/>
      <c r="O182" s="504"/>
      <c r="P182" s="504"/>
    </row>
    <row r="183" spans="1:16" ht="15.75" customHeight="1">
      <c r="A183" s="737" t="s">
        <v>2686</v>
      </c>
      <c r="B183" s="731" t="s">
        <v>2680</v>
      </c>
      <c r="C183" s="55"/>
      <c r="D183" s="507"/>
      <c r="E183" s="504"/>
      <c r="F183" s="504"/>
      <c r="G183" s="504"/>
      <c r="H183" s="504"/>
      <c r="I183" s="501"/>
      <c r="J183" s="513"/>
      <c r="K183" s="506"/>
      <c r="L183" s="504"/>
      <c r="M183" s="504"/>
      <c r="N183" s="504"/>
      <c r="O183" s="504"/>
      <c r="P183" s="504"/>
    </row>
    <row r="184" spans="1:16" ht="15.75" customHeight="1">
      <c r="A184" s="737" t="s">
        <v>2686</v>
      </c>
      <c r="B184" s="731" t="s">
        <v>2680</v>
      </c>
      <c r="C184" s="55"/>
      <c r="D184" s="507"/>
      <c r="E184" s="504"/>
      <c r="F184" s="504"/>
      <c r="G184" s="504"/>
      <c r="H184" s="504"/>
      <c r="I184" s="501"/>
      <c r="J184" s="513"/>
      <c r="K184" s="506"/>
      <c r="L184" s="504"/>
      <c r="M184" s="504"/>
      <c r="N184" s="504"/>
      <c r="O184" s="504"/>
      <c r="P184" s="504"/>
    </row>
    <row r="185" spans="1:16" ht="15.75" customHeight="1">
      <c r="A185" s="737" t="s">
        <v>2686</v>
      </c>
      <c r="B185" s="731" t="s">
        <v>2680</v>
      </c>
      <c r="C185" s="55"/>
      <c r="D185" s="507"/>
      <c r="E185" s="504"/>
      <c r="F185" s="504"/>
      <c r="G185" s="504"/>
      <c r="H185" s="504"/>
      <c r="I185" s="501"/>
      <c r="J185" s="514"/>
      <c r="K185" s="506"/>
      <c r="L185" s="504"/>
      <c r="M185" s="504"/>
      <c r="N185" s="504"/>
      <c r="O185" s="504"/>
      <c r="P185" s="504"/>
    </row>
    <row r="186" spans="1:16" ht="15.75" customHeight="1">
      <c r="A186" s="737" t="s">
        <v>2686</v>
      </c>
      <c r="B186" s="731" t="s">
        <v>2680</v>
      </c>
      <c r="C186" s="55"/>
      <c r="D186" s="507"/>
      <c r="E186" s="504"/>
      <c r="F186" s="504"/>
      <c r="G186" s="504"/>
      <c r="H186" s="504"/>
      <c r="I186" s="501"/>
      <c r="J186" s="514"/>
      <c r="K186" s="506"/>
      <c r="L186" s="504"/>
      <c r="M186" s="504"/>
      <c r="N186" s="504"/>
      <c r="O186" s="504"/>
      <c r="P186" s="504"/>
    </row>
    <row r="187" spans="1:16" ht="15.75" customHeight="1">
      <c r="A187" s="737" t="s">
        <v>2686</v>
      </c>
      <c r="B187" s="731" t="s">
        <v>2758</v>
      </c>
      <c r="C187" s="55"/>
      <c r="D187" s="507"/>
      <c r="E187" s="504"/>
      <c r="F187" s="504"/>
      <c r="G187" s="504"/>
      <c r="H187" s="504"/>
      <c r="I187" s="501"/>
      <c r="J187" s="514"/>
      <c r="K187" s="506"/>
      <c r="L187" s="504"/>
      <c r="M187" s="504"/>
      <c r="N187" s="504"/>
      <c r="O187" s="504"/>
      <c r="P187" s="504"/>
    </row>
    <row r="188" spans="1:16" ht="15.75" customHeight="1">
      <c r="A188" s="738" t="s">
        <v>2691</v>
      </c>
      <c r="B188" s="731" t="s">
        <v>2680</v>
      </c>
      <c r="C188" s="55"/>
      <c r="D188" s="507"/>
      <c r="E188" s="504"/>
      <c r="F188" s="504"/>
      <c r="G188" s="504"/>
      <c r="H188" s="504"/>
      <c r="I188" s="501"/>
      <c r="J188" s="514"/>
      <c r="K188" s="506"/>
      <c r="L188" s="504"/>
      <c r="M188" s="504"/>
      <c r="N188" s="504"/>
      <c r="O188" s="504"/>
      <c r="P188" s="504"/>
    </row>
    <row r="189" spans="1:16" ht="15.75" customHeight="1">
      <c r="A189" s="738" t="s">
        <v>2691</v>
      </c>
      <c r="B189" s="731" t="s">
        <v>2680</v>
      </c>
      <c r="C189" s="55"/>
      <c r="D189" s="507"/>
      <c r="E189" s="504"/>
      <c r="F189" s="504"/>
      <c r="G189" s="504"/>
      <c r="H189" s="504"/>
      <c r="I189" s="501"/>
      <c r="J189" s="511"/>
      <c r="K189" s="506"/>
      <c r="L189" s="504"/>
      <c r="M189" s="504"/>
      <c r="N189" s="504"/>
      <c r="O189" s="504"/>
      <c r="P189" s="504"/>
    </row>
    <row r="190" spans="1:16" ht="15.75" customHeight="1">
      <c r="A190" s="739" t="s">
        <v>2693</v>
      </c>
      <c r="B190" s="731" t="s">
        <v>2680</v>
      </c>
      <c r="C190" s="55"/>
      <c r="D190" s="507"/>
      <c r="E190" s="504"/>
      <c r="F190" s="504"/>
      <c r="G190" s="504"/>
      <c r="H190" s="504"/>
      <c r="I190" s="501"/>
      <c r="J190" s="511"/>
      <c r="K190" s="506"/>
      <c r="L190" s="504"/>
      <c r="M190" s="504"/>
      <c r="N190" s="504"/>
      <c r="O190" s="504"/>
      <c r="P190" s="504"/>
    </row>
    <row r="191" spans="1:16" ht="15.75" customHeight="1">
      <c r="A191" s="730"/>
      <c r="B191" s="559"/>
      <c r="C191" s="55"/>
      <c r="D191" s="507"/>
      <c r="E191" s="504"/>
      <c r="F191" s="504"/>
      <c r="G191" s="504"/>
      <c r="H191" s="504"/>
      <c r="I191" s="501"/>
      <c r="J191" s="511"/>
      <c r="K191" s="506"/>
      <c r="L191" s="504"/>
      <c r="M191" s="504"/>
      <c r="N191" s="504"/>
      <c r="O191" s="504"/>
      <c r="P191" s="504"/>
    </row>
    <row r="192" spans="1:16" ht="15.75" customHeight="1">
      <c r="A192" s="729" t="s">
        <v>2759</v>
      </c>
      <c r="B192" s="731" t="s">
        <v>2674</v>
      </c>
      <c r="C192" s="55"/>
      <c r="D192" s="507"/>
      <c r="E192" s="504"/>
      <c r="F192" s="504"/>
      <c r="G192" s="504"/>
      <c r="H192" s="504"/>
      <c r="I192" s="501"/>
      <c r="J192" s="511"/>
      <c r="K192" s="506"/>
      <c r="L192" s="504"/>
      <c r="M192" s="504"/>
      <c r="N192" s="504"/>
      <c r="O192" s="504"/>
      <c r="P192" s="504"/>
    </row>
    <row r="193" spans="1:16" ht="15.75" customHeight="1">
      <c r="A193" s="732" t="s">
        <v>2675</v>
      </c>
      <c r="B193" s="731" t="s">
        <v>2760</v>
      </c>
      <c r="C193" s="55"/>
      <c r="D193" s="507"/>
      <c r="E193" s="504"/>
      <c r="F193" s="504"/>
      <c r="G193" s="504"/>
      <c r="H193" s="504"/>
      <c r="I193" s="501"/>
      <c r="J193" s="511"/>
      <c r="K193" s="506"/>
      <c r="L193" s="504"/>
      <c r="M193" s="504"/>
      <c r="N193" s="504"/>
      <c r="O193" s="504"/>
      <c r="P193" s="504"/>
    </row>
    <row r="194" spans="1:16" ht="15.75" customHeight="1">
      <c r="A194" s="732" t="s">
        <v>2675</v>
      </c>
      <c r="B194" s="731" t="s">
        <v>2680</v>
      </c>
      <c r="C194" s="55"/>
      <c r="D194" s="507"/>
      <c r="E194" s="504"/>
      <c r="F194" s="504"/>
      <c r="G194" s="504"/>
      <c r="H194" s="504"/>
      <c r="I194" s="501"/>
      <c r="J194" s="511"/>
      <c r="K194" s="506"/>
      <c r="L194" s="504"/>
      <c r="M194" s="504"/>
      <c r="N194" s="504"/>
      <c r="O194" s="504"/>
      <c r="P194" s="504"/>
    </row>
    <row r="195" spans="1:16" ht="15.75" customHeight="1">
      <c r="A195" s="733" t="s">
        <v>5723</v>
      </c>
      <c r="B195" s="731" t="s">
        <v>5739</v>
      </c>
      <c r="C195" s="55"/>
      <c r="D195" s="507"/>
      <c r="E195" s="504"/>
      <c r="F195" s="504"/>
      <c r="G195" s="504"/>
      <c r="H195" s="504"/>
      <c r="I195" s="501"/>
      <c r="J195" s="511"/>
      <c r="K195" s="506"/>
      <c r="L195" s="504"/>
      <c r="M195" s="504"/>
      <c r="N195" s="504"/>
      <c r="O195" s="504"/>
      <c r="P195" s="504"/>
    </row>
    <row r="196" spans="1:16" ht="15.75" customHeight="1">
      <c r="A196" s="733" t="s">
        <v>5723</v>
      </c>
      <c r="B196" s="731" t="s">
        <v>2680</v>
      </c>
      <c r="C196" s="55"/>
      <c r="D196" s="507"/>
      <c r="E196" s="504"/>
      <c r="F196" s="504"/>
      <c r="G196" s="504"/>
      <c r="H196" s="504"/>
      <c r="I196" s="501"/>
      <c r="J196" s="511"/>
      <c r="K196" s="506"/>
      <c r="L196" s="504"/>
      <c r="M196" s="504"/>
      <c r="N196" s="504"/>
      <c r="O196" s="504"/>
      <c r="P196" s="504"/>
    </row>
    <row r="197" spans="1:16" ht="15.75" customHeight="1">
      <c r="A197" s="734" t="s">
        <v>2677</v>
      </c>
      <c r="B197" s="731" t="s">
        <v>2761</v>
      </c>
      <c r="C197" s="55"/>
      <c r="D197" s="507"/>
      <c r="E197" s="504"/>
      <c r="F197" s="504"/>
      <c r="G197" s="504"/>
      <c r="H197" s="504"/>
      <c r="I197" s="501"/>
      <c r="J197" s="511"/>
      <c r="K197" s="506"/>
      <c r="L197" s="504"/>
      <c r="M197" s="504"/>
      <c r="N197" s="504"/>
      <c r="O197" s="504"/>
      <c r="P197" s="504"/>
    </row>
    <row r="198" spans="1:16" ht="15.75" customHeight="1">
      <c r="A198" s="734" t="s">
        <v>2677</v>
      </c>
      <c r="B198" s="731" t="s">
        <v>2762</v>
      </c>
      <c r="C198" s="55"/>
      <c r="D198" s="507"/>
      <c r="E198" s="504"/>
      <c r="F198" s="504"/>
      <c r="G198" s="504"/>
      <c r="H198" s="504"/>
      <c r="I198" s="501"/>
      <c r="J198" s="511"/>
      <c r="K198" s="506"/>
      <c r="L198" s="504"/>
      <c r="M198" s="504"/>
      <c r="N198" s="504"/>
      <c r="O198" s="504"/>
      <c r="P198" s="504"/>
    </row>
    <row r="199" spans="1:16" ht="15.75" customHeight="1">
      <c r="A199" s="734" t="s">
        <v>2677</v>
      </c>
      <c r="B199" s="731" t="s">
        <v>2680</v>
      </c>
      <c r="C199" s="55"/>
      <c r="D199" s="507"/>
      <c r="E199" s="504"/>
      <c r="F199" s="504"/>
      <c r="G199" s="504"/>
      <c r="H199" s="504"/>
      <c r="I199" s="501"/>
      <c r="J199" s="511"/>
      <c r="K199" s="506"/>
      <c r="L199" s="504"/>
      <c r="M199" s="504"/>
      <c r="N199" s="504"/>
      <c r="O199" s="504"/>
      <c r="P199" s="504"/>
    </row>
    <row r="200" spans="1:16" ht="15.75" customHeight="1">
      <c r="A200" s="735" t="s">
        <v>2681</v>
      </c>
      <c r="B200" s="731" t="s">
        <v>2763</v>
      </c>
      <c r="C200" s="55"/>
      <c r="D200" s="507"/>
      <c r="E200" s="504"/>
      <c r="F200" s="504"/>
      <c r="G200" s="504"/>
      <c r="H200" s="504"/>
      <c r="I200" s="501"/>
      <c r="J200" s="511"/>
      <c r="K200" s="506"/>
      <c r="L200" s="504"/>
      <c r="M200" s="504"/>
      <c r="N200" s="504"/>
      <c r="O200" s="504"/>
      <c r="P200" s="504"/>
    </row>
    <row r="201" spans="1:16" ht="15.75" customHeight="1">
      <c r="A201" s="735" t="s">
        <v>2681</v>
      </c>
      <c r="B201" s="731" t="s">
        <v>2680</v>
      </c>
      <c r="C201" s="55"/>
      <c r="D201" s="507"/>
      <c r="E201" s="504"/>
      <c r="F201" s="504"/>
      <c r="G201" s="504"/>
      <c r="H201" s="504"/>
      <c r="I201" s="501"/>
      <c r="J201" s="511"/>
      <c r="K201" s="506"/>
      <c r="L201" s="504"/>
      <c r="M201" s="504"/>
      <c r="N201" s="504"/>
      <c r="O201" s="504"/>
      <c r="P201" s="504"/>
    </row>
    <row r="202" spans="1:16" ht="15.75" customHeight="1">
      <c r="A202" s="735" t="s">
        <v>2681</v>
      </c>
      <c r="B202" s="731" t="s">
        <v>2680</v>
      </c>
      <c r="C202" s="55"/>
      <c r="D202" s="507"/>
      <c r="E202" s="504"/>
      <c r="F202" s="504"/>
      <c r="G202" s="504"/>
      <c r="H202" s="504"/>
      <c r="I202" s="501"/>
      <c r="J202" s="511"/>
      <c r="K202" s="506"/>
      <c r="L202" s="504"/>
      <c r="M202" s="504"/>
      <c r="N202" s="504"/>
      <c r="O202" s="504"/>
      <c r="P202" s="504"/>
    </row>
    <row r="203" spans="1:16" ht="15.75" customHeight="1">
      <c r="A203" s="735" t="s">
        <v>2681</v>
      </c>
      <c r="B203" s="731" t="s">
        <v>2680</v>
      </c>
      <c r="C203" s="55"/>
      <c r="D203" s="507"/>
      <c r="E203" s="504"/>
      <c r="F203" s="504"/>
      <c r="G203" s="504"/>
      <c r="H203" s="504"/>
      <c r="I203" s="501"/>
      <c r="J203" s="511"/>
      <c r="K203" s="506"/>
      <c r="L203" s="504"/>
      <c r="M203" s="504"/>
      <c r="N203" s="504"/>
      <c r="O203" s="504"/>
      <c r="P203" s="504"/>
    </row>
    <row r="204" spans="1:16" ht="15.75" customHeight="1">
      <c r="A204" s="737" t="s">
        <v>2686</v>
      </c>
      <c r="B204" s="731" t="s">
        <v>2764</v>
      </c>
      <c r="C204" s="55"/>
      <c r="D204" s="507"/>
      <c r="E204" s="504"/>
      <c r="F204" s="504"/>
      <c r="G204" s="504"/>
      <c r="H204" s="504"/>
      <c r="I204" s="501"/>
      <c r="J204" s="511"/>
      <c r="K204" s="506"/>
      <c r="L204" s="504"/>
      <c r="M204" s="504"/>
      <c r="N204" s="504"/>
      <c r="O204" s="504"/>
      <c r="P204" s="504"/>
    </row>
    <row r="205" spans="1:16" ht="15.75" customHeight="1">
      <c r="A205" s="737" t="s">
        <v>2686</v>
      </c>
      <c r="B205" s="731" t="s">
        <v>2765</v>
      </c>
      <c r="C205" s="55"/>
      <c r="D205" s="507"/>
      <c r="E205" s="504"/>
      <c r="F205" s="504"/>
      <c r="G205" s="504"/>
      <c r="H205" s="504"/>
      <c r="I205" s="501"/>
      <c r="J205" s="511"/>
      <c r="K205" s="506"/>
      <c r="L205" s="504"/>
      <c r="M205" s="504"/>
      <c r="N205" s="504"/>
      <c r="O205" s="504"/>
      <c r="P205" s="504"/>
    </row>
    <row r="206" spans="1:16" ht="15.75" customHeight="1">
      <c r="A206" s="737" t="s">
        <v>2686</v>
      </c>
      <c r="B206" s="731" t="s">
        <v>2766</v>
      </c>
      <c r="C206" s="55"/>
      <c r="D206" s="507"/>
      <c r="E206" s="504"/>
      <c r="F206" s="504"/>
      <c r="G206" s="504"/>
      <c r="H206" s="504"/>
      <c r="I206" s="501"/>
      <c r="J206" s="511"/>
      <c r="K206" s="506"/>
      <c r="L206" s="504"/>
      <c r="M206" s="504"/>
      <c r="N206" s="504"/>
      <c r="O206" s="504"/>
      <c r="P206" s="504"/>
    </row>
    <row r="207" spans="1:16" ht="15.75" customHeight="1">
      <c r="A207" s="737" t="s">
        <v>2686</v>
      </c>
      <c r="B207" s="731" t="s">
        <v>2767</v>
      </c>
      <c r="C207" s="55"/>
      <c r="D207" s="507"/>
      <c r="E207" s="504"/>
      <c r="F207" s="504"/>
      <c r="G207" s="504"/>
      <c r="H207" s="504"/>
      <c r="I207" s="501"/>
      <c r="J207" s="511"/>
      <c r="K207" s="506"/>
      <c r="L207" s="504"/>
      <c r="M207" s="504"/>
      <c r="N207" s="504"/>
      <c r="O207" s="504"/>
      <c r="P207" s="504"/>
    </row>
    <row r="208" spans="1:16" ht="15.75" customHeight="1">
      <c r="A208" s="737" t="s">
        <v>2686</v>
      </c>
      <c r="B208" s="731" t="s">
        <v>2680</v>
      </c>
      <c r="C208" s="55"/>
      <c r="D208" s="507"/>
      <c r="E208" s="504"/>
      <c r="F208" s="504"/>
      <c r="G208" s="504"/>
      <c r="H208" s="504"/>
      <c r="I208" s="501"/>
      <c r="J208" s="511"/>
      <c r="K208" s="506"/>
      <c r="L208" s="504"/>
      <c r="M208" s="504"/>
      <c r="N208" s="504"/>
      <c r="O208" s="504"/>
      <c r="P208" s="504"/>
    </row>
    <row r="209" spans="1:16" ht="15.75" customHeight="1">
      <c r="A209" s="738" t="s">
        <v>2691</v>
      </c>
      <c r="B209" s="731" t="s">
        <v>5740</v>
      </c>
      <c r="C209" s="55"/>
      <c r="D209" s="507"/>
      <c r="E209" s="504"/>
      <c r="F209" s="504"/>
      <c r="G209" s="504"/>
      <c r="H209" s="504"/>
      <c r="I209" s="501"/>
      <c r="J209" s="511"/>
      <c r="K209" s="506"/>
      <c r="L209" s="504"/>
      <c r="M209" s="504"/>
      <c r="N209" s="504"/>
      <c r="O209" s="504"/>
      <c r="P209" s="504"/>
    </row>
    <row r="210" spans="1:16" ht="15.75" customHeight="1">
      <c r="A210" s="738" t="s">
        <v>2691</v>
      </c>
      <c r="B210" s="731" t="s">
        <v>2680</v>
      </c>
      <c r="C210" s="55"/>
      <c r="D210" s="507"/>
      <c r="E210" s="504"/>
      <c r="F210" s="504"/>
      <c r="G210" s="504"/>
      <c r="H210" s="504"/>
      <c r="I210" s="501"/>
      <c r="J210" s="511"/>
      <c r="K210" s="506"/>
      <c r="L210" s="504"/>
      <c r="M210" s="504"/>
      <c r="N210" s="504"/>
      <c r="O210" s="504"/>
      <c r="P210" s="504"/>
    </row>
    <row r="211" spans="1:16" ht="15.75" customHeight="1">
      <c r="A211" s="739" t="s">
        <v>2693</v>
      </c>
      <c r="B211" s="731" t="s">
        <v>2680</v>
      </c>
      <c r="C211" s="55"/>
      <c r="D211" s="507"/>
      <c r="E211" s="504"/>
      <c r="F211" s="504"/>
      <c r="G211" s="504"/>
      <c r="H211" s="504"/>
      <c r="I211" s="501"/>
      <c r="J211" s="511"/>
      <c r="K211" s="506"/>
      <c r="L211" s="504"/>
      <c r="M211" s="504"/>
      <c r="N211" s="504"/>
      <c r="O211" s="504"/>
      <c r="P211" s="504"/>
    </row>
    <row r="212" spans="1:16" ht="15.75" customHeight="1">
      <c r="A212" s="740"/>
      <c r="B212" s="559"/>
      <c r="C212" s="55"/>
      <c r="D212" s="507"/>
      <c r="E212" s="504"/>
      <c r="F212" s="504"/>
      <c r="G212" s="504"/>
      <c r="H212" s="504"/>
      <c r="I212" s="501"/>
      <c r="J212" s="511"/>
      <c r="K212" s="506"/>
      <c r="L212" s="504"/>
      <c r="M212" s="504"/>
      <c r="N212" s="504"/>
      <c r="O212" s="504"/>
      <c r="P212" s="504"/>
    </row>
    <row r="213" spans="1:16" ht="15.75" customHeight="1">
      <c r="A213" s="729" t="s">
        <v>2768</v>
      </c>
      <c r="B213" s="731" t="s">
        <v>2674</v>
      </c>
      <c r="C213" s="55"/>
      <c r="D213" s="507"/>
      <c r="E213" s="504"/>
      <c r="F213" s="504"/>
      <c r="G213" s="504"/>
      <c r="H213" s="504"/>
      <c r="I213" s="501"/>
      <c r="J213" s="511"/>
      <c r="K213" s="506"/>
      <c r="L213" s="504"/>
      <c r="M213" s="504"/>
      <c r="N213" s="504"/>
      <c r="O213" s="504"/>
      <c r="P213" s="504"/>
    </row>
    <row r="214" spans="1:16" ht="15.75" customHeight="1">
      <c r="A214" s="732" t="s">
        <v>2675</v>
      </c>
      <c r="B214" s="731" t="s">
        <v>2769</v>
      </c>
      <c r="C214" s="55"/>
      <c r="D214" s="507"/>
      <c r="E214" s="504"/>
      <c r="F214" s="504"/>
      <c r="G214" s="504"/>
      <c r="H214" s="504"/>
      <c r="I214" s="501"/>
      <c r="J214" s="511"/>
      <c r="K214" s="506"/>
      <c r="L214" s="504"/>
      <c r="M214" s="504"/>
      <c r="N214" s="504"/>
      <c r="O214" s="504"/>
      <c r="P214" s="504"/>
    </row>
    <row r="215" spans="1:16" ht="15.75" customHeight="1">
      <c r="A215" s="732" t="s">
        <v>2675</v>
      </c>
      <c r="B215" s="731" t="s">
        <v>2680</v>
      </c>
      <c r="C215" s="55"/>
      <c r="D215" s="507"/>
      <c r="E215" s="504"/>
      <c r="F215" s="504"/>
      <c r="G215" s="504"/>
      <c r="H215" s="504"/>
      <c r="I215" s="501"/>
      <c r="J215" s="511"/>
      <c r="K215" s="506"/>
      <c r="L215" s="504"/>
      <c r="M215" s="504"/>
      <c r="N215" s="504"/>
      <c r="O215" s="504"/>
      <c r="P215" s="504"/>
    </row>
    <row r="216" spans="1:16" ht="15.75" customHeight="1">
      <c r="A216" s="733" t="s">
        <v>5723</v>
      </c>
      <c r="B216" s="731" t="s">
        <v>2680</v>
      </c>
      <c r="C216" s="55"/>
      <c r="D216" s="507"/>
      <c r="E216" s="504"/>
      <c r="F216" s="504"/>
      <c r="G216" s="504"/>
      <c r="H216" s="504"/>
      <c r="I216" s="501"/>
      <c r="J216" s="511"/>
      <c r="K216" s="506"/>
      <c r="L216" s="504"/>
      <c r="M216" s="504"/>
      <c r="N216" s="504"/>
      <c r="O216" s="504"/>
      <c r="P216" s="504"/>
    </row>
    <row r="217" spans="1:16" ht="15.75" customHeight="1">
      <c r="A217" s="733" t="s">
        <v>5723</v>
      </c>
      <c r="B217" s="731" t="s">
        <v>2680</v>
      </c>
      <c r="C217" s="55"/>
      <c r="D217" s="507"/>
      <c r="E217" s="504"/>
      <c r="F217" s="504"/>
      <c r="G217" s="504"/>
      <c r="H217" s="504"/>
      <c r="I217" s="501"/>
      <c r="J217" s="511"/>
      <c r="K217" s="506"/>
      <c r="L217" s="504"/>
      <c r="M217" s="504"/>
      <c r="N217" s="504"/>
      <c r="O217" s="504"/>
      <c r="P217" s="504"/>
    </row>
    <row r="218" spans="1:16" ht="15.75" customHeight="1">
      <c r="A218" s="734" t="s">
        <v>2677</v>
      </c>
      <c r="B218" s="731" t="s">
        <v>2770</v>
      </c>
      <c r="C218" s="55"/>
      <c r="D218" s="507"/>
      <c r="E218" s="504"/>
      <c r="F218" s="504"/>
      <c r="G218" s="504"/>
      <c r="H218" s="504"/>
      <c r="I218" s="501"/>
      <c r="J218" s="511"/>
      <c r="K218" s="506"/>
      <c r="L218" s="504"/>
      <c r="M218" s="504"/>
      <c r="N218" s="504"/>
      <c r="O218" s="504"/>
      <c r="P218" s="504"/>
    </row>
    <row r="219" spans="1:16" ht="15.75" customHeight="1">
      <c r="A219" s="734" t="s">
        <v>2677</v>
      </c>
      <c r="B219" s="731" t="s">
        <v>2680</v>
      </c>
      <c r="C219" s="55"/>
      <c r="D219" s="507"/>
      <c r="E219" s="504"/>
      <c r="F219" s="504"/>
      <c r="G219" s="504"/>
      <c r="H219" s="504"/>
      <c r="I219" s="501"/>
      <c r="J219" s="511"/>
      <c r="K219" s="506"/>
      <c r="L219" s="504"/>
      <c r="M219" s="504"/>
      <c r="N219" s="504"/>
      <c r="O219" s="504"/>
      <c r="P219" s="504"/>
    </row>
    <row r="220" spans="1:16" ht="15.75" customHeight="1">
      <c r="A220" s="734" t="s">
        <v>2677</v>
      </c>
      <c r="B220" s="731" t="s">
        <v>2680</v>
      </c>
      <c r="C220" s="55"/>
      <c r="D220" s="507"/>
      <c r="E220" s="504"/>
      <c r="F220" s="504"/>
      <c r="G220" s="504"/>
      <c r="H220" s="504"/>
      <c r="I220" s="501"/>
      <c r="J220" s="511"/>
      <c r="K220" s="506"/>
      <c r="L220" s="504"/>
      <c r="M220" s="504"/>
      <c r="N220" s="504"/>
      <c r="O220" s="504"/>
      <c r="P220" s="504"/>
    </row>
    <row r="221" spans="1:16" ht="15.75" customHeight="1">
      <c r="A221" s="735" t="s">
        <v>2681</v>
      </c>
      <c r="B221" s="731" t="s">
        <v>2771</v>
      </c>
      <c r="C221" s="55"/>
      <c r="D221" s="507"/>
      <c r="E221" s="504"/>
      <c r="F221" s="504"/>
      <c r="G221" s="504"/>
      <c r="H221" s="504"/>
      <c r="I221" s="501"/>
      <c r="J221" s="511"/>
      <c r="K221" s="506"/>
      <c r="L221" s="504"/>
      <c r="M221" s="504"/>
      <c r="N221" s="504"/>
      <c r="O221" s="504"/>
      <c r="P221" s="504"/>
    </row>
    <row r="222" spans="1:16" ht="15.75" customHeight="1">
      <c r="A222" s="735" t="s">
        <v>2681</v>
      </c>
      <c r="B222" s="731" t="s">
        <v>2680</v>
      </c>
      <c r="C222" s="55"/>
      <c r="D222" s="507"/>
      <c r="E222" s="504"/>
      <c r="F222" s="504"/>
      <c r="G222" s="504"/>
      <c r="H222" s="504"/>
      <c r="I222" s="501"/>
      <c r="J222" s="511"/>
      <c r="K222" s="506"/>
      <c r="L222" s="504"/>
      <c r="M222" s="504"/>
      <c r="N222" s="504"/>
      <c r="O222" s="504"/>
      <c r="P222" s="504"/>
    </row>
    <row r="223" spans="1:16" ht="15.75" customHeight="1">
      <c r="A223" s="735" t="s">
        <v>2681</v>
      </c>
      <c r="B223" s="731" t="s">
        <v>2680</v>
      </c>
      <c r="C223" s="55"/>
      <c r="D223" s="507"/>
      <c r="E223" s="504"/>
      <c r="F223" s="504"/>
      <c r="G223" s="504"/>
      <c r="H223" s="504"/>
      <c r="I223" s="501"/>
      <c r="J223" s="511"/>
      <c r="K223" s="506"/>
      <c r="L223" s="504"/>
      <c r="M223" s="504"/>
      <c r="N223" s="504"/>
      <c r="O223" s="504"/>
      <c r="P223" s="504"/>
    </row>
    <row r="224" spans="1:16" ht="15.75" customHeight="1">
      <c r="A224" s="735" t="s">
        <v>2681</v>
      </c>
      <c r="B224" s="731" t="s">
        <v>2680</v>
      </c>
      <c r="C224" s="55"/>
      <c r="D224" s="507"/>
      <c r="E224" s="504"/>
      <c r="F224" s="504"/>
      <c r="G224" s="504"/>
      <c r="H224" s="504"/>
      <c r="I224" s="501"/>
      <c r="J224" s="511"/>
      <c r="K224" s="506"/>
      <c r="L224" s="504"/>
      <c r="M224" s="504"/>
      <c r="N224" s="504"/>
      <c r="O224" s="504"/>
      <c r="P224" s="504"/>
    </row>
    <row r="225" spans="1:16" ht="15.75" customHeight="1">
      <c r="A225" s="737" t="s">
        <v>2686</v>
      </c>
      <c r="B225" s="731" t="s">
        <v>2772</v>
      </c>
      <c r="C225" s="55"/>
      <c r="D225" s="507"/>
      <c r="E225" s="504"/>
      <c r="F225" s="504"/>
      <c r="G225" s="504"/>
      <c r="H225" s="504"/>
      <c r="I225" s="501"/>
      <c r="J225" s="511"/>
      <c r="K225" s="506"/>
      <c r="L225" s="504"/>
      <c r="M225" s="504"/>
      <c r="N225" s="504"/>
      <c r="O225" s="504"/>
      <c r="P225" s="504"/>
    </row>
    <row r="226" spans="1:16" ht="15.75" customHeight="1">
      <c r="A226" s="737" t="s">
        <v>2686</v>
      </c>
      <c r="B226" s="731" t="s">
        <v>5741</v>
      </c>
      <c r="C226" s="55"/>
      <c r="D226" s="507"/>
      <c r="E226" s="504"/>
      <c r="F226" s="504"/>
      <c r="G226" s="504"/>
      <c r="H226" s="504"/>
      <c r="I226" s="501"/>
      <c r="J226" s="511"/>
      <c r="K226" s="506"/>
      <c r="L226" s="504"/>
      <c r="M226" s="504"/>
      <c r="N226" s="504"/>
      <c r="O226" s="504"/>
      <c r="P226" s="504"/>
    </row>
    <row r="227" spans="1:16" ht="15.75" customHeight="1">
      <c r="A227" s="737" t="s">
        <v>2686</v>
      </c>
      <c r="B227" s="731" t="s">
        <v>2680</v>
      </c>
      <c r="C227" s="55"/>
      <c r="D227" s="507"/>
      <c r="E227" s="504"/>
      <c r="F227" s="504"/>
      <c r="G227" s="504"/>
      <c r="H227" s="504"/>
      <c r="I227" s="501"/>
      <c r="J227" s="511"/>
      <c r="K227" s="506"/>
      <c r="L227" s="504"/>
      <c r="M227" s="504"/>
      <c r="N227" s="504"/>
      <c r="O227" s="504"/>
      <c r="P227" s="504"/>
    </row>
    <row r="228" spans="1:16" ht="15.75" customHeight="1">
      <c r="A228" s="737" t="s">
        <v>2686</v>
      </c>
      <c r="B228" s="731" t="s">
        <v>2680</v>
      </c>
      <c r="C228" s="55"/>
      <c r="D228" s="507"/>
      <c r="E228" s="504"/>
      <c r="F228" s="504"/>
      <c r="G228" s="504"/>
      <c r="H228" s="504"/>
      <c r="I228" s="501"/>
      <c r="J228" s="511"/>
      <c r="K228" s="506"/>
      <c r="L228" s="504"/>
      <c r="M228" s="504"/>
      <c r="N228" s="504"/>
      <c r="O228" s="504"/>
      <c r="P228" s="504"/>
    </row>
    <row r="229" spans="1:16" ht="15.75" customHeight="1">
      <c r="A229" s="737" t="s">
        <v>2686</v>
      </c>
      <c r="B229" s="731" t="s">
        <v>2680</v>
      </c>
      <c r="C229" s="55"/>
      <c r="D229" s="507"/>
      <c r="E229" s="504"/>
      <c r="F229" s="504"/>
      <c r="G229" s="504"/>
      <c r="H229" s="504"/>
      <c r="I229" s="501"/>
      <c r="J229" s="511"/>
      <c r="K229" s="506"/>
      <c r="L229" s="504"/>
      <c r="M229" s="504"/>
      <c r="N229" s="504"/>
      <c r="O229" s="504"/>
      <c r="P229" s="504"/>
    </row>
    <row r="230" spans="1:16" ht="15.75" customHeight="1">
      <c r="A230" s="738" t="s">
        <v>2691</v>
      </c>
      <c r="B230" s="731" t="s">
        <v>2680</v>
      </c>
      <c r="C230" s="55"/>
      <c r="D230" s="507"/>
      <c r="E230" s="504"/>
      <c r="F230" s="504"/>
      <c r="G230" s="504"/>
      <c r="H230" s="504"/>
      <c r="I230" s="501"/>
      <c r="J230" s="511"/>
      <c r="K230" s="506"/>
      <c r="L230" s="504"/>
      <c r="M230" s="504"/>
      <c r="N230" s="504"/>
      <c r="O230" s="504"/>
      <c r="P230" s="504"/>
    </row>
    <row r="231" spans="1:16" ht="15.75" customHeight="1">
      <c r="A231" s="738" t="s">
        <v>2691</v>
      </c>
      <c r="B231" s="731" t="s">
        <v>2680</v>
      </c>
      <c r="C231" s="55"/>
      <c r="D231" s="507"/>
      <c r="E231" s="504"/>
      <c r="F231" s="504"/>
      <c r="G231" s="504"/>
      <c r="H231" s="504"/>
      <c r="I231" s="501"/>
      <c r="J231" s="511"/>
      <c r="K231" s="506"/>
      <c r="L231" s="504"/>
      <c r="M231" s="504"/>
      <c r="N231" s="504"/>
      <c r="O231" s="504"/>
      <c r="P231" s="504"/>
    </row>
    <row r="232" spans="1:16" ht="15.75" customHeight="1">
      <c r="A232" s="739" t="s">
        <v>2693</v>
      </c>
      <c r="B232" s="731" t="s">
        <v>2680</v>
      </c>
      <c r="C232" s="55"/>
      <c r="D232" s="507"/>
      <c r="E232" s="504"/>
      <c r="F232" s="504"/>
      <c r="G232" s="504"/>
      <c r="H232" s="504"/>
      <c r="I232" s="501"/>
      <c r="J232" s="511"/>
      <c r="K232" s="506"/>
      <c r="L232" s="504"/>
      <c r="M232" s="504"/>
      <c r="N232" s="504"/>
      <c r="O232" s="504"/>
      <c r="P232" s="504"/>
    </row>
    <row r="233" spans="1:16" ht="15.75" customHeight="1">
      <c r="A233" s="730"/>
      <c r="B233" s="730"/>
      <c r="C233" s="55"/>
      <c r="D233" s="507"/>
      <c r="E233" s="504"/>
      <c r="F233" s="504"/>
      <c r="G233" s="504"/>
      <c r="H233" s="504"/>
      <c r="I233" s="501"/>
      <c r="J233" s="511"/>
      <c r="K233" s="506"/>
      <c r="L233" s="504"/>
      <c r="M233" s="504"/>
      <c r="N233" s="504"/>
      <c r="O233" s="504"/>
      <c r="P233" s="504"/>
    </row>
    <row r="234" spans="1:16" ht="15.75" customHeight="1">
      <c r="A234" s="729" t="s">
        <v>2773</v>
      </c>
      <c r="B234" s="731" t="s">
        <v>2674</v>
      </c>
      <c r="C234" s="55"/>
      <c r="D234" s="507"/>
      <c r="E234" s="504"/>
      <c r="F234" s="504"/>
      <c r="G234" s="504"/>
      <c r="H234" s="504"/>
      <c r="I234" s="501"/>
      <c r="J234" s="511"/>
      <c r="K234" s="506"/>
      <c r="L234" s="504"/>
      <c r="M234" s="504"/>
      <c r="N234" s="504"/>
      <c r="O234" s="504"/>
      <c r="P234" s="504"/>
    </row>
    <row r="235" spans="1:16" ht="15.75" customHeight="1">
      <c r="A235" s="732" t="s">
        <v>2675</v>
      </c>
      <c r="B235" s="731" t="s">
        <v>2774</v>
      </c>
      <c r="C235" s="55"/>
      <c r="D235" s="507"/>
      <c r="E235" s="504"/>
      <c r="F235" s="504"/>
      <c r="G235" s="504"/>
      <c r="H235" s="504"/>
      <c r="I235" s="501"/>
      <c r="J235" s="511"/>
      <c r="K235" s="506"/>
      <c r="L235" s="504"/>
      <c r="M235" s="504"/>
      <c r="N235" s="504"/>
      <c r="O235" s="504"/>
      <c r="P235" s="504"/>
    </row>
    <row r="236" spans="1:16" ht="15.75" customHeight="1">
      <c r="A236" s="732" t="s">
        <v>2675</v>
      </c>
      <c r="B236" s="731" t="s">
        <v>2775</v>
      </c>
      <c r="C236" s="55"/>
      <c r="D236" s="507"/>
      <c r="E236" s="504"/>
      <c r="F236" s="504"/>
      <c r="G236" s="504"/>
      <c r="H236" s="504"/>
      <c r="I236" s="501"/>
      <c r="J236" s="511"/>
      <c r="K236" s="506"/>
      <c r="L236" s="504"/>
      <c r="M236" s="504"/>
      <c r="N236" s="504"/>
      <c r="O236" s="504"/>
      <c r="P236" s="504"/>
    </row>
    <row r="237" spans="1:16" ht="15.75" customHeight="1">
      <c r="A237" s="733" t="s">
        <v>5723</v>
      </c>
      <c r="B237" s="731" t="s">
        <v>5742</v>
      </c>
      <c r="C237" s="55"/>
      <c r="D237" s="507"/>
      <c r="E237" s="504"/>
      <c r="F237" s="504"/>
      <c r="G237" s="504"/>
      <c r="H237" s="504"/>
      <c r="I237" s="501"/>
      <c r="J237" s="511"/>
      <c r="K237" s="506"/>
      <c r="L237" s="504"/>
      <c r="M237" s="504"/>
      <c r="N237" s="504"/>
      <c r="O237" s="504"/>
      <c r="P237" s="504"/>
    </row>
    <row r="238" spans="1:16" ht="15.75" customHeight="1">
      <c r="A238" s="733" t="s">
        <v>5723</v>
      </c>
      <c r="B238" s="731" t="s">
        <v>2680</v>
      </c>
      <c r="C238" s="55"/>
      <c r="D238" s="507"/>
      <c r="E238" s="504"/>
      <c r="F238" s="504"/>
      <c r="G238" s="504"/>
      <c r="H238" s="504"/>
      <c r="I238" s="501"/>
      <c r="J238" s="511"/>
      <c r="K238" s="506"/>
      <c r="L238" s="504"/>
      <c r="M238" s="504"/>
      <c r="N238" s="504"/>
      <c r="O238" s="504"/>
      <c r="P238" s="504"/>
    </row>
    <row r="239" spans="1:16" ht="15.75" customHeight="1">
      <c r="A239" s="734" t="s">
        <v>2677</v>
      </c>
      <c r="B239" s="731" t="s">
        <v>2776</v>
      </c>
      <c r="C239" s="55"/>
      <c r="D239" s="507"/>
      <c r="E239" s="504"/>
      <c r="F239" s="504"/>
      <c r="G239" s="504"/>
      <c r="H239" s="504"/>
      <c r="I239" s="501"/>
      <c r="J239" s="511"/>
      <c r="K239" s="506"/>
      <c r="L239" s="504"/>
      <c r="M239" s="504"/>
      <c r="N239" s="504"/>
      <c r="O239" s="504"/>
      <c r="P239" s="504"/>
    </row>
    <row r="240" spans="1:16" ht="15.75" customHeight="1">
      <c r="A240" s="734" t="s">
        <v>2677</v>
      </c>
      <c r="B240" s="731" t="s">
        <v>2777</v>
      </c>
      <c r="C240" s="55"/>
      <c r="D240" s="507"/>
      <c r="E240" s="504"/>
      <c r="F240" s="504"/>
      <c r="G240" s="504"/>
      <c r="H240" s="504"/>
      <c r="I240" s="501"/>
      <c r="J240" s="511"/>
      <c r="K240" s="506"/>
      <c r="L240" s="504"/>
      <c r="M240" s="504"/>
      <c r="N240" s="504"/>
      <c r="O240" s="504"/>
      <c r="P240" s="504"/>
    </row>
    <row r="241" spans="1:16" ht="15.75" customHeight="1">
      <c r="A241" s="734" t="s">
        <v>2677</v>
      </c>
      <c r="B241" s="731" t="s">
        <v>2680</v>
      </c>
      <c r="C241" s="55"/>
      <c r="D241" s="507"/>
      <c r="E241" s="504"/>
      <c r="F241" s="504"/>
      <c r="G241" s="504"/>
      <c r="H241" s="504"/>
      <c r="I241" s="501"/>
      <c r="J241" s="511"/>
      <c r="K241" s="506"/>
      <c r="L241" s="504"/>
      <c r="M241" s="504"/>
      <c r="N241" s="504"/>
      <c r="O241" s="504"/>
      <c r="P241" s="504"/>
    </row>
    <row r="242" spans="1:16" ht="15.75" customHeight="1">
      <c r="A242" s="735" t="s">
        <v>2681</v>
      </c>
      <c r="B242" s="731" t="s">
        <v>2778</v>
      </c>
      <c r="C242" s="55"/>
      <c r="D242" s="507"/>
      <c r="E242" s="504"/>
      <c r="F242" s="504"/>
      <c r="G242" s="504"/>
      <c r="H242" s="504"/>
      <c r="I242" s="501"/>
      <c r="J242" s="511"/>
      <c r="K242" s="506"/>
      <c r="L242" s="504"/>
      <c r="M242" s="504"/>
      <c r="N242" s="504"/>
      <c r="O242" s="504"/>
      <c r="P242" s="504"/>
    </row>
    <row r="243" spans="1:16" ht="15.75" customHeight="1">
      <c r="A243" s="735" t="s">
        <v>2681</v>
      </c>
      <c r="B243" s="731" t="s">
        <v>2779</v>
      </c>
      <c r="C243" s="55"/>
      <c r="D243" s="507"/>
      <c r="E243" s="504"/>
      <c r="F243" s="504"/>
      <c r="G243" s="504"/>
      <c r="H243" s="504"/>
      <c r="I243" s="501"/>
      <c r="J243" s="511"/>
      <c r="K243" s="506"/>
      <c r="L243" s="504"/>
      <c r="M243" s="504"/>
      <c r="N243" s="504"/>
      <c r="O243" s="504"/>
      <c r="P243" s="504"/>
    </row>
    <row r="244" spans="1:16" ht="15.75" customHeight="1">
      <c r="A244" s="735" t="s">
        <v>2681</v>
      </c>
      <c r="B244" s="731" t="s">
        <v>2680</v>
      </c>
      <c r="C244" s="55"/>
      <c r="D244" s="507"/>
      <c r="E244" s="504"/>
      <c r="F244" s="504"/>
      <c r="G244" s="504"/>
      <c r="H244" s="504"/>
      <c r="I244" s="501"/>
      <c r="J244" s="511"/>
      <c r="K244" s="506"/>
      <c r="L244" s="504"/>
      <c r="M244" s="504"/>
      <c r="N244" s="504"/>
      <c r="O244" s="504"/>
      <c r="P244" s="504"/>
    </row>
    <row r="245" spans="1:16" ht="15.75" customHeight="1">
      <c r="A245" s="735" t="s">
        <v>2681</v>
      </c>
      <c r="B245" s="731" t="s">
        <v>2680</v>
      </c>
      <c r="C245" s="55"/>
      <c r="D245" s="507"/>
      <c r="E245" s="504"/>
      <c r="F245" s="504"/>
      <c r="G245" s="504"/>
      <c r="H245" s="504"/>
      <c r="I245" s="501"/>
      <c r="J245" s="511"/>
      <c r="K245" s="506"/>
      <c r="L245" s="504"/>
      <c r="M245" s="504"/>
      <c r="N245" s="504"/>
      <c r="O245" s="504"/>
      <c r="P245" s="504"/>
    </row>
    <row r="246" spans="1:16" ht="15.75" customHeight="1">
      <c r="A246" s="737" t="s">
        <v>2686</v>
      </c>
      <c r="B246" s="731" t="s">
        <v>5743</v>
      </c>
      <c r="C246" s="55"/>
      <c r="D246" s="507"/>
      <c r="E246" s="504"/>
      <c r="F246" s="504"/>
      <c r="G246" s="504"/>
      <c r="H246" s="504"/>
      <c r="I246" s="501"/>
      <c r="J246" s="511"/>
      <c r="K246" s="506"/>
      <c r="L246" s="504"/>
      <c r="M246" s="504"/>
      <c r="N246" s="504"/>
      <c r="O246" s="504"/>
      <c r="P246" s="504"/>
    </row>
    <row r="247" spans="1:16" ht="15.75" customHeight="1">
      <c r="A247" s="737" t="s">
        <v>2686</v>
      </c>
      <c r="B247" s="731" t="s">
        <v>2680</v>
      </c>
      <c r="C247" s="55"/>
      <c r="D247" s="507"/>
      <c r="E247" s="504"/>
      <c r="F247" s="504"/>
      <c r="G247" s="504"/>
      <c r="H247" s="504"/>
      <c r="I247" s="501"/>
      <c r="J247" s="511"/>
      <c r="K247" s="506"/>
      <c r="L247" s="504"/>
      <c r="M247" s="504"/>
      <c r="N247" s="504"/>
      <c r="O247" s="504"/>
      <c r="P247" s="504"/>
    </row>
    <row r="248" spans="1:16" ht="15.75" customHeight="1">
      <c r="A248" s="737" t="s">
        <v>2686</v>
      </c>
      <c r="B248" s="731" t="s">
        <v>2780</v>
      </c>
      <c r="C248" s="55"/>
      <c r="D248" s="507"/>
      <c r="E248" s="504"/>
      <c r="F248" s="504"/>
      <c r="G248" s="504"/>
      <c r="H248" s="504"/>
      <c r="I248" s="501"/>
      <c r="J248" s="511"/>
      <c r="K248" s="506"/>
      <c r="L248" s="504"/>
      <c r="M248" s="504"/>
      <c r="N248" s="504"/>
      <c r="O248" s="504"/>
      <c r="P248" s="504"/>
    </row>
    <row r="249" spans="1:16" ht="15.75" customHeight="1">
      <c r="A249" s="737" t="s">
        <v>2686</v>
      </c>
      <c r="B249" s="731" t="s">
        <v>2680</v>
      </c>
      <c r="C249" s="55"/>
      <c r="D249" s="507"/>
      <c r="E249" s="504"/>
      <c r="F249" s="504"/>
      <c r="G249" s="504"/>
      <c r="H249" s="504"/>
      <c r="I249" s="501"/>
      <c r="J249" s="511"/>
      <c r="K249" s="506"/>
      <c r="L249" s="504"/>
      <c r="M249" s="504"/>
      <c r="N249" s="504"/>
      <c r="O249" s="504"/>
      <c r="P249" s="504"/>
    </row>
    <row r="250" spans="1:16" ht="15.75" customHeight="1">
      <c r="A250" s="737" t="s">
        <v>2686</v>
      </c>
      <c r="B250" s="731" t="s">
        <v>2680</v>
      </c>
      <c r="C250" s="55"/>
      <c r="D250" s="507"/>
      <c r="E250" s="504"/>
      <c r="F250" s="504"/>
      <c r="G250" s="504"/>
      <c r="H250" s="504"/>
      <c r="I250" s="501"/>
      <c r="J250" s="511"/>
      <c r="K250" s="506"/>
      <c r="L250" s="504"/>
      <c r="M250" s="504"/>
      <c r="N250" s="504"/>
      <c r="O250" s="504"/>
      <c r="P250" s="504"/>
    </row>
    <row r="251" spans="1:16" ht="15.75" customHeight="1">
      <c r="A251" s="738" t="s">
        <v>2691</v>
      </c>
      <c r="B251" s="731" t="s">
        <v>2781</v>
      </c>
      <c r="C251" s="55"/>
      <c r="D251" s="507"/>
      <c r="E251" s="504"/>
      <c r="F251" s="504"/>
      <c r="G251" s="504"/>
      <c r="H251" s="504"/>
      <c r="I251" s="501"/>
      <c r="J251" s="511"/>
      <c r="K251" s="506"/>
      <c r="L251" s="504"/>
      <c r="M251" s="504"/>
      <c r="N251" s="504"/>
      <c r="O251" s="504"/>
      <c r="P251" s="504"/>
    </row>
    <row r="252" spans="1:16" ht="15.75" customHeight="1">
      <c r="A252" s="738" t="s">
        <v>2691</v>
      </c>
      <c r="B252" s="731" t="s">
        <v>2782</v>
      </c>
      <c r="C252" s="55"/>
      <c r="D252" s="507"/>
      <c r="E252" s="504"/>
      <c r="F252" s="504"/>
      <c r="G252" s="504"/>
      <c r="H252" s="504"/>
      <c r="I252" s="501"/>
      <c r="J252" s="511"/>
      <c r="K252" s="506"/>
      <c r="L252" s="504"/>
      <c r="M252" s="504"/>
      <c r="N252" s="504"/>
      <c r="O252" s="504"/>
      <c r="P252" s="504"/>
    </row>
    <row r="253" spans="1:16" ht="15.75" customHeight="1">
      <c r="A253" s="739" t="s">
        <v>2693</v>
      </c>
      <c r="B253" s="731" t="s">
        <v>2783</v>
      </c>
      <c r="C253" s="55"/>
      <c r="D253" s="507"/>
      <c r="E253" s="504"/>
      <c r="F253" s="504"/>
      <c r="G253" s="504"/>
      <c r="H253" s="504"/>
      <c r="I253" s="501"/>
      <c r="J253" s="511"/>
      <c r="K253" s="506"/>
      <c r="L253" s="504"/>
      <c r="M253" s="504"/>
      <c r="N253" s="504"/>
      <c r="O253" s="504"/>
      <c r="P253" s="504"/>
    </row>
    <row r="254" spans="1:16" ht="15.75" customHeight="1">
      <c r="A254" s="740"/>
      <c r="B254" s="559"/>
      <c r="C254" s="55"/>
      <c r="D254" s="507"/>
      <c r="E254" s="504"/>
      <c r="F254" s="504"/>
      <c r="G254" s="504"/>
      <c r="H254" s="504"/>
      <c r="I254" s="501"/>
      <c r="J254" s="511"/>
      <c r="K254" s="506"/>
      <c r="L254" s="504"/>
      <c r="M254" s="504"/>
      <c r="N254" s="504"/>
      <c r="O254" s="504"/>
      <c r="P254" s="504"/>
    </row>
    <row r="255" spans="1:16" ht="15.75" customHeight="1">
      <c r="A255" s="729" t="s">
        <v>2784</v>
      </c>
      <c r="B255" s="731" t="s">
        <v>2674</v>
      </c>
      <c r="C255" s="55"/>
      <c r="D255" s="507"/>
      <c r="E255" s="504"/>
      <c r="F255" s="504"/>
      <c r="G255" s="504"/>
      <c r="H255" s="504"/>
      <c r="I255" s="501"/>
      <c r="J255" s="511"/>
      <c r="K255" s="506"/>
      <c r="L255" s="504"/>
      <c r="M255" s="504"/>
      <c r="N255" s="504"/>
      <c r="O255" s="504"/>
      <c r="P255" s="504"/>
    </row>
    <row r="256" spans="1:16" ht="15.75" customHeight="1">
      <c r="A256" s="732" t="s">
        <v>2675</v>
      </c>
      <c r="B256" s="731" t="s">
        <v>2785</v>
      </c>
      <c r="C256" s="55"/>
      <c r="D256" s="507"/>
      <c r="E256" s="504"/>
      <c r="F256" s="504"/>
      <c r="G256" s="504"/>
      <c r="H256" s="504"/>
      <c r="I256" s="501"/>
      <c r="J256" s="511"/>
      <c r="K256" s="506"/>
      <c r="L256" s="504"/>
      <c r="M256" s="504"/>
      <c r="N256" s="504"/>
      <c r="O256" s="504"/>
      <c r="P256" s="504"/>
    </row>
    <row r="257" spans="1:16" ht="15.75" customHeight="1">
      <c r="A257" s="732" t="s">
        <v>2675</v>
      </c>
      <c r="B257" s="731" t="s">
        <v>2680</v>
      </c>
      <c r="C257" s="55"/>
      <c r="D257" s="507"/>
      <c r="E257" s="504"/>
      <c r="F257" s="504"/>
      <c r="G257" s="504"/>
      <c r="H257" s="504"/>
      <c r="I257" s="501"/>
      <c r="J257" s="511"/>
      <c r="K257" s="506"/>
      <c r="L257" s="504"/>
      <c r="M257" s="504"/>
      <c r="N257" s="504"/>
      <c r="O257" s="504"/>
      <c r="P257" s="504"/>
    </row>
    <row r="258" spans="1:16" ht="15.75" customHeight="1">
      <c r="A258" s="733" t="s">
        <v>5723</v>
      </c>
      <c r="B258" s="731" t="s">
        <v>5744</v>
      </c>
      <c r="C258" s="55"/>
      <c r="D258" s="507"/>
      <c r="E258" s="504"/>
      <c r="F258" s="504"/>
      <c r="G258" s="504"/>
      <c r="H258" s="504"/>
      <c r="I258" s="501"/>
      <c r="J258" s="511"/>
      <c r="K258" s="506"/>
      <c r="L258" s="504"/>
      <c r="M258" s="504"/>
      <c r="N258" s="504"/>
      <c r="O258" s="504"/>
      <c r="P258" s="504"/>
    </row>
    <row r="259" spans="1:16" ht="15.75" customHeight="1">
      <c r="A259" s="733" t="s">
        <v>5723</v>
      </c>
      <c r="B259" s="731" t="s">
        <v>2680</v>
      </c>
      <c r="C259" s="55"/>
      <c r="D259" s="507"/>
      <c r="E259" s="504"/>
      <c r="F259" s="504"/>
      <c r="G259" s="504"/>
      <c r="H259" s="504"/>
      <c r="I259" s="501"/>
      <c r="J259" s="511"/>
      <c r="K259" s="506"/>
      <c r="L259" s="504"/>
      <c r="M259" s="504"/>
      <c r="N259" s="504"/>
      <c r="O259" s="504"/>
      <c r="P259" s="504"/>
    </row>
    <row r="260" spans="1:16" ht="15.75" customHeight="1">
      <c r="A260" s="734" t="s">
        <v>2677</v>
      </c>
      <c r="B260" s="731" t="s">
        <v>2786</v>
      </c>
      <c r="C260" s="55"/>
      <c r="D260" s="507"/>
      <c r="E260" s="504"/>
      <c r="F260" s="504"/>
      <c r="G260" s="504"/>
      <c r="H260" s="504"/>
      <c r="I260" s="501"/>
      <c r="J260" s="511"/>
      <c r="K260" s="506"/>
      <c r="L260" s="504"/>
      <c r="M260" s="504"/>
      <c r="N260" s="504"/>
      <c r="O260" s="504"/>
      <c r="P260" s="504"/>
    </row>
    <row r="261" spans="1:16" ht="15.75" customHeight="1">
      <c r="A261" s="734" t="s">
        <v>2677</v>
      </c>
      <c r="B261" s="731" t="s">
        <v>2787</v>
      </c>
      <c r="C261" s="55"/>
      <c r="D261" s="507"/>
      <c r="E261" s="504"/>
      <c r="F261" s="504"/>
      <c r="G261" s="504"/>
      <c r="H261" s="504"/>
      <c r="I261" s="501"/>
      <c r="J261" s="511"/>
      <c r="K261" s="506"/>
      <c r="L261" s="504"/>
      <c r="M261" s="504"/>
      <c r="N261" s="504"/>
      <c r="O261" s="504"/>
      <c r="P261" s="504"/>
    </row>
    <row r="262" spans="1:16" ht="15.75" customHeight="1">
      <c r="A262" s="734" t="s">
        <v>2677</v>
      </c>
      <c r="B262" s="731" t="s">
        <v>2680</v>
      </c>
      <c r="C262" s="55"/>
      <c r="D262" s="507"/>
      <c r="E262" s="504"/>
      <c r="F262" s="504"/>
      <c r="G262" s="504"/>
      <c r="H262" s="504"/>
      <c r="I262" s="501"/>
      <c r="J262" s="511"/>
      <c r="K262" s="506"/>
      <c r="L262" s="504"/>
      <c r="M262" s="504"/>
      <c r="N262" s="504"/>
      <c r="O262" s="504"/>
      <c r="P262" s="504"/>
    </row>
    <row r="263" spans="1:16" ht="15.75" customHeight="1">
      <c r="A263" s="735" t="s">
        <v>2681</v>
      </c>
      <c r="B263" s="731" t="s">
        <v>2788</v>
      </c>
      <c r="C263" s="55"/>
      <c r="D263" s="507"/>
      <c r="E263" s="504"/>
      <c r="F263" s="504"/>
      <c r="G263" s="504"/>
      <c r="H263" s="504"/>
      <c r="I263" s="501"/>
      <c r="J263" s="511"/>
      <c r="K263" s="506"/>
      <c r="L263" s="504"/>
      <c r="M263" s="504"/>
      <c r="N263" s="504"/>
      <c r="O263" s="504"/>
      <c r="P263" s="504"/>
    </row>
    <row r="264" spans="1:16" ht="15.75" customHeight="1">
      <c r="A264" s="735" t="s">
        <v>2681</v>
      </c>
      <c r="B264" s="731" t="s">
        <v>2680</v>
      </c>
      <c r="C264" s="55"/>
      <c r="D264" s="507"/>
      <c r="E264" s="504"/>
      <c r="F264" s="504"/>
      <c r="G264" s="504"/>
      <c r="H264" s="504"/>
      <c r="I264" s="501"/>
      <c r="J264" s="511"/>
      <c r="K264" s="506"/>
      <c r="L264" s="504"/>
      <c r="M264" s="504"/>
      <c r="N264" s="504"/>
      <c r="O264" s="504"/>
      <c r="P264" s="504"/>
    </row>
    <row r="265" spans="1:16" ht="15.75" customHeight="1">
      <c r="A265" s="735" t="s">
        <v>2681</v>
      </c>
      <c r="B265" s="731" t="s">
        <v>2680</v>
      </c>
      <c r="C265" s="55"/>
      <c r="D265" s="507"/>
      <c r="E265" s="504"/>
      <c r="F265" s="504"/>
      <c r="G265" s="504"/>
      <c r="H265" s="504"/>
      <c r="I265" s="501"/>
      <c r="J265" s="511"/>
      <c r="K265" s="506"/>
      <c r="L265" s="504"/>
      <c r="M265" s="504"/>
      <c r="N265" s="504"/>
      <c r="O265" s="504"/>
      <c r="P265" s="504"/>
    </row>
    <row r="266" spans="1:16" ht="15.75" customHeight="1">
      <c r="A266" s="735" t="s">
        <v>2681</v>
      </c>
      <c r="B266" s="731" t="s">
        <v>2680</v>
      </c>
      <c r="C266" s="55"/>
      <c r="D266" s="507"/>
      <c r="E266" s="504"/>
      <c r="F266" s="504"/>
      <c r="G266" s="504"/>
      <c r="H266" s="504"/>
      <c r="I266" s="501"/>
      <c r="J266" s="511"/>
      <c r="K266" s="506"/>
      <c r="L266" s="504"/>
      <c r="M266" s="504"/>
      <c r="N266" s="504"/>
      <c r="O266" s="504"/>
      <c r="P266" s="504"/>
    </row>
    <row r="267" spans="1:16" ht="15.75" customHeight="1">
      <c r="A267" s="737" t="s">
        <v>2686</v>
      </c>
      <c r="B267" s="731" t="s">
        <v>2789</v>
      </c>
      <c r="C267" s="55"/>
      <c r="D267" s="507"/>
      <c r="E267" s="504"/>
      <c r="F267" s="504"/>
      <c r="G267" s="504"/>
      <c r="H267" s="504"/>
      <c r="I267" s="501"/>
      <c r="J267" s="511"/>
      <c r="K267" s="506"/>
      <c r="L267" s="504"/>
      <c r="M267" s="504"/>
      <c r="N267" s="504"/>
      <c r="O267" s="504"/>
      <c r="P267" s="504"/>
    </row>
    <row r="268" spans="1:16" ht="15.75" customHeight="1">
      <c r="A268" s="737" t="s">
        <v>2686</v>
      </c>
      <c r="B268" s="731" t="s">
        <v>2680</v>
      </c>
      <c r="C268" s="55"/>
      <c r="D268" s="507"/>
      <c r="E268" s="504"/>
      <c r="F268" s="504"/>
      <c r="G268" s="504"/>
      <c r="H268" s="504"/>
      <c r="I268" s="501"/>
      <c r="J268" s="511"/>
      <c r="K268" s="506"/>
      <c r="L268" s="504"/>
      <c r="M268" s="504"/>
      <c r="N268" s="504"/>
      <c r="O268" s="504"/>
      <c r="P268" s="504"/>
    </row>
    <row r="269" spans="1:16" ht="15.75" customHeight="1">
      <c r="A269" s="737" t="s">
        <v>2686</v>
      </c>
      <c r="B269" s="731" t="s">
        <v>2680</v>
      </c>
      <c r="C269" s="55"/>
      <c r="D269" s="507"/>
      <c r="E269" s="504"/>
      <c r="F269" s="504"/>
      <c r="G269" s="504"/>
      <c r="H269" s="504"/>
      <c r="I269" s="501"/>
      <c r="J269" s="511"/>
      <c r="K269" s="506"/>
      <c r="L269" s="504"/>
      <c r="M269" s="504"/>
      <c r="N269" s="504"/>
      <c r="O269" s="504"/>
      <c r="P269" s="504"/>
    </row>
    <row r="270" spans="1:16" ht="15.75" customHeight="1">
      <c r="A270" s="737" t="s">
        <v>2686</v>
      </c>
      <c r="B270" s="731" t="s">
        <v>2680</v>
      </c>
      <c r="C270" s="55"/>
      <c r="D270" s="507"/>
      <c r="E270" s="504"/>
      <c r="F270" s="504"/>
      <c r="G270" s="504"/>
      <c r="H270" s="504"/>
      <c r="I270" s="501"/>
      <c r="J270" s="511"/>
      <c r="K270" s="506"/>
      <c r="L270" s="504"/>
      <c r="M270" s="504"/>
      <c r="N270" s="504"/>
      <c r="O270" s="504"/>
      <c r="P270" s="504"/>
    </row>
    <row r="271" spans="1:16" ht="15.75" customHeight="1">
      <c r="A271" s="737" t="s">
        <v>2686</v>
      </c>
      <c r="B271" s="731" t="s">
        <v>2680</v>
      </c>
      <c r="C271" s="55"/>
      <c r="D271" s="507"/>
      <c r="E271" s="504"/>
      <c r="F271" s="504"/>
      <c r="G271" s="504"/>
      <c r="H271" s="504"/>
      <c r="I271" s="501"/>
      <c r="J271" s="511"/>
      <c r="K271" s="506"/>
      <c r="L271" s="504"/>
      <c r="M271" s="504"/>
      <c r="N271" s="504"/>
      <c r="O271" s="504"/>
      <c r="P271" s="504"/>
    </row>
    <row r="272" spans="1:16" ht="15.75" customHeight="1">
      <c r="A272" s="738" t="s">
        <v>2691</v>
      </c>
      <c r="B272" s="731" t="s">
        <v>2680</v>
      </c>
      <c r="C272" s="55"/>
      <c r="D272" s="507"/>
      <c r="E272" s="504"/>
      <c r="F272" s="504"/>
      <c r="G272" s="504"/>
      <c r="H272" s="504"/>
      <c r="I272" s="501"/>
      <c r="J272" s="511"/>
      <c r="K272" s="506"/>
      <c r="L272" s="504"/>
      <c r="M272" s="504"/>
      <c r="N272" s="504"/>
      <c r="O272" s="504"/>
      <c r="P272" s="504"/>
    </row>
    <row r="273" spans="1:16" ht="15.75" customHeight="1">
      <c r="A273" s="738" t="s">
        <v>2691</v>
      </c>
      <c r="B273" s="731" t="s">
        <v>2680</v>
      </c>
      <c r="C273" s="55"/>
      <c r="D273" s="507"/>
      <c r="E273" s="504"/>
      <c r="F273" s="504"/>
      <c r="G273" s="504"/>
      <c r="H273" s="504"/>
      <c r="I273" s="501"/>
      <c r="J273" s="511"/>
      <c r="K273" s="506"/>
      <c r="L273" s="504"/>
      <c r="M273" s="504"/>
      <c r="N273" s="504"/>
      <c r="O273" s="504"/>
      <c r="P273" s="504"/>
    </row>
    <row r="274" spans="1:16" ht="15.75" customHeight="1">
      <c r="A274" s="739" t="s">
        <v>2693</v>
      </c>
      <c r="B274" s="731" t="s">
        <v>2680</v>
      </c>
      <c r="C274" s="55"/>
      <c r="D274" s="507"/>
      <c r="E274" s="504"/>
      <c r="F274" s="504"/>
      <c r="G274" s="504"/>
      <c r="H274" s="504"/>
      <c r="I274" s="501"/>
      <c r="J274" s="511"/>
      <c r="K274" s="506"/>
      <c r="L274" s="504"/>
      <c r="M274" s="504"/>
      <c r="N274" s="504"/>
      <c r="O274" s="504"/>
      <c r="P274" s="504"/>
    </row>
    <row r="275" spans="1:16" ht="15.75" customHeight="1">
      <c r="A275" s="740"/>
      <c r="B275" s="559"/>
      <c r="C275" s="55"/>
      <c r="D275" s="507"/>
      <c r="E275" s="504"/>
      <c r="F275" s="504"/>
      <c r="G275" s="504"/>
      <c r="H275" s="504"/>
      <c r="I275" s="501"/>
      <c r="J275" s="511"/>
      <c r="K275" s="506"/>
      <c r="L275" s="504"/>
      <c r="M275" s="504"/>
      <c r="N275" s="504"/>
      <c r="O275" s="504"/>
      <c r="P275" s="504"/>
    </row>
    <row r="276" spans="1:16" ht="15.75" customHeight="1">
      <c r="A276" s="729" t="s">
        <v>2790</v>
      </c>
      <c r="B276" s="731" t="s">
        <v>2674</v>
      </c>
      <c r="C276" s="55"/>
      <c r="D276" s="507"/>
      <c r="E276" s="504"/>
      <c r="F276" s="504"/>
      <c r="G276" s="504"/>
      <c r="H276" s="504"/>
      <c r="I276" s="501"/>
      <c r="J276" s="511"/>
      <c r="K276" s="506"/>
      <c r="L276" s="504"/>
      <c r="M276" s="504"/>
      <c r="N276" s="504"/>
      <c r="O276" s="504"/>
      <c r="P276" s="504"/>
    </row>
    <row r="277" spans="1:16" ht="15.75" customHeight="1">
      <c r="A277" s="732" t="s">
        <v>2675</v>
      </c>
      <c r="B277" s="731" t="s">
        <v>2791</v>
      </c>
      <c r="C277" s="55"/>
      <c r="D277" s="507"/>
      <c r="E277" s="504"/>
      <c r="F277" s="504"/>
      <c r="G277" s="504"/>
      <c r="H277" s="504"/>
      <c r="I277" s="501"/>
      <c r="J277" s="511"/>
      <c r="K277" s="506"/>
      <c r="L277" s="504"/>
      <c r="M277" s="504"/>
      <c r="N277" s="504"/>
      <c r="O277" s="504"/>
      <c r="P277" s="504"/>
    </row>
    <row r="278" spans="1:16" ht="15.75" customHeight="1">
      <c r="A278" s="732" t="s">
        <v>2675</v>
      </c>
      <c r="B278" s="731" t="s">
        <v>2680</v>
      </c>
      <c r="C278" s="55"/>
      <c r="D278" s="507"/>
      <c r="E278" s="504"/>
      <c r="F278" s="504"/>
      <c r="G278" s="504"/>
      <c r="H278" s="504"/>
      <c r="I278" s="501"/>
      <c r="J278" s="511"/>
      <c r="K278" s="506"/>
      <c r="L278" s="504"/>
      <c r="M278" s="504"/>
      <c r="N278" s="504"/>
      <c r="O278" s="504"/>
      <c r="P278" s="504"/>
    </row>
    <row r="279" spans="1:16" ht="15.75" customHeight="1">
      <c r="A279" s="733" t="s">
        <v>5723</v>
      </c>
      <c r="B279" s="731" t="s">
        <v>5745</v>
      </c>
      <c r="C279" s="55"/>
      <c r="D279" s="507"/>
      <c r="E279" s="504"/>
      <c r="F279" s="504"/>
      <c r="G279" s="504"/>
      <c r="H279" s="504"/>
      <c r="I279" s="501"/>
      <c r="J279" s="511"/>
      <c r="K279" s="506"/>
      <c r="L279" s="504"/>
      <c r="M279" s="504"/>
      <c r="N279" s="504"/>
      <c r="O279" s="504"/>
      <c r="P279" s="504"/>
    </row>
    <row r="280" spans="1:16" ht="15.75" customHeight="1">
      <c r="A280" s="733" t="s">
        <v>5723</v>
      </c>
      <c r="B280" s="731" t="s">
        <v>2680</v>
      </c>
      <c r="C280" s="55"/>
      <c r="D280" s="507"/>
      <c r="E280" s="504"/>
      <c r="F280" s="504"/>
      <c r="G280" s="504"/>
      <c r="H280" s="504"/>
      <c r="I280" s="501"/>
      <c r="J280" s="511"/>
      <c r="K280" s="506"/>
      <c r="L280" s="504"/>
      <c r="M280" s="504"/>
      <c r="N280" s="504"/>
      <c r="O280" s="504"/>
      <c r="P280" s="504"/>
    </row>
    <row r="281" spans="1:16" ht="15.75" customHeight="1">
      <c r="A281" s="734" t="s">
        <v>2677</v>
      </c>
      <c r="B281" s="731" t="s">
        <v>5746</v>
      </c>
      <c r="C281" s="55"/>
      <c r="D281" s="507"/>
      <c r="E281" s="504"/>
      <c r="F281" s="504"/>
      <c r="G281" s="504"/>
      <c r="H281" s="504"/>
      <c r="I281" s="501"/>
      <c r="J281" s="511"/>
      <c r="K281" s="506"/>
      <c r="L281" s="504"/>
      <c r="M281" s="504"/>
      <c r="N281" s="504"/>
      <c r="O281" s="504"/>
      <c r="P281" s="504"/>
    </row>
    <row r="282" spans="1:16" ht="15.75" customHeight="1">
      <c r="A282" s="734" t="s">
        <v>2677</v>
      </c>
      <c r="B282" s="731" t="s">
        <v>2792</v>
      </c>
      <c r="C282" s="55"/>
      <c r="D282" s="507"/>
      <c r="E282" s="504"/>
      <c r="F282" s="504"/>
      <c r="G282" s="504"/>
      <c r="H282" s="504"/>
      <c r="I282" s="501"/>
      <c r="J282" s="511"/>
      <c r="K282" s="506"/>
      <c r="L282" s="504"/>
      <c r="M282" s="504"/>
      <c r="N282" s="504"/>
      <c r="O282" s="504"/>
      <c r="P282" s="504"/>
    </row>
    <row r="283" spans="1:16" ht="15.75" customHeight="1">
      <c r="A283" s="734" t="s">
        <v>2677</v>
      </c>
      <c r="B283" s="731" t="s">
        <v>2680</v>
      </c>
      <c r="C283" s="55"/>
      <c r="D283" s="507"/>
      <c r="E283" s="504"/>
      <c r="F283" s="504"/>
      <c r="G283" s="504"/>
      <c r="H283" s="504"/>
      <c r="I283" s="501"/>
      <c r="J283" s="511"/>
      <c r="K283" s="506"/>
      <c r="L283" s="504"/>
      <c r="M283" s="504"/>
      <c r="N283" s="504"/>
      <c r="O283" s="504"/>
      <c r="P283" s="504"/>
    </row>
    <row r="284" spans="1:16" ht="15.75" customHeight="1">
      <c r="A284" s="735" t="s">
        <v>2681</v>
      </c>
      <c r="B284" s="731" t="s">
        <v>2793</v>
      </c>
      <c r="C284" s="55"/>
      <c r="D284" s="507"/>
      <c r="E284" s="504"/>
      <c r="F284" s="504"/>
      <c r="G284" s="504"/>
      <c r="H284" s="504"/>
      <c r="I284" s="501"/>
      <c r="J284" s="511"/>
      <c r="K284" s="506"/>
      <c r="L284" s="504"/>
      <c r="M284" s="504"/>
      <c r="N284" s="504"/>
      <c r="O284" s="504"/>
      <c r="P284" s="504"/>
    </row>
    <row r="285" spans="1:16" ht="15.75" customHeight="1">
      <c r="A285" s="735" t="s">
        <v>2681</v>
      </c>
      <c r="B285" s="731" t="s">
        <v>2680</v>
      </c>
      <c r="C285" s="55"/>
      <c r="D285" s="507"/>
      <c r="E285" s="504"/>
      <c r="F285" s="504"/>
      <c r="G285" s="504"/>
      <c r="H285" s="504"/>
      <c r="I285" s="501"/>
      <c r="J285" s="511"/>
      <c r="K285" s="506"/>
      <c r="L285" s="504"/>
      <c r="M285" s="504"/>
      <c r="N285" s="504"/>
      <c r="O285" s="504"/>
      <c r="P285" s="504"/>
    </row>
    <row r="286" spans="1:16" ht="15.75" customHeight="1">
      <c r="A286" s="735" t="s">
        <v>2681</v>
      </c>
      <c r="B286" s="731" t="s">
        <v>2680</v>
      </c>
      <c r="C286" s="55"/>
      <c r="D286" s="507"/>
      <c r="E286" s="504"/>
      <c r="F286" s="504"/>
      <c r="G286" s="504"/>
      <c r="H286" s="504"/>
      <c r="I286" s="501"/>
      <c r="J286" s="511"/>
      <c r="K286" s="506"/>
      <c r="L286" s="504"/>
      <c r="M286" s="504"/>
      <c r="N286" s="504"/>
      <c r="O286" s="504"/>
      <c r="P286" s="504"/>
    </row>
    <row r="287" spans="1:16" ht="15.75" customHeight="1">
      <c r="A287" s="735" t="s">
        <v>2681</v>
      </c>
      <c r="B287" s="731" t="s">
        <v>2680</v>
      </c>
      <c r="C287" s="55"/>
      <c r="D287" s="507"/>
      <c r="E287" s="504"/>
      <c r="F287" s="504"/>
      <c r="G287" s="504"/>
      <c r="H287" s="504"/>
      <c r="I287" s="501"/>
      <c r="J287" s="511"/>
      <c r="K287" s="506"/>
      <c r="L287" s="504"/>
      <c r="M287" s="504"/>
      <c r="N287" s="504"/>
      <c r="O287" s="504"/>
      <c r="P287" s="504"/>
    </row>
    <row r="288" spans="1:16" ht="15.75" customHeight="1">
      <c r="A288" s="737" t="s">
        <v>2686</v>
      </c>
      <c r="B288" s="731" t="s">
        <v>2794</v>
      </c>
      <c r="C288" s="55"/>
      <c r="D288" s="507"/>
      <c r="E288" s="504"/>
      <c r="F288" s="504"/>
      <c r="G288" s="504"/>
      <c r="H288" s="504"/>
      <c r="I288" s="501"/>
      <c r="J288" s="511"/>
      <c r="K288" s="506"/>
      <c r="L288" s="504"/>
      <c r="M288" s="504"/>
      <c r="N288" s="504"/>
      <c r="O288" s="504"/>
      <c r="P288" s="504"/>
    </row>
    <row r="289" spans="1:16" ht="15.75" customHeight="1">
      <c r="A289" s="737" t="s">
        <v>2686</v>
      </c>
      <c r="B289" s="731" t="s">
        <v>2680</v>
      </c>
      <c r="C289" s="55"/>
      <c r="D289" s="507"/>
      <c r="E289" s="504"/>
      <c r="F289" s="504"/>
      <c r="G289" s="504"/>
      <c r="H289" s="504"/>
      <c r="I289" s="501"/>
      <c r="J289" s="511"/>
      <c r="K289" s="506"/>
      <c r="L289" s="504"/>
      <c r="M289" s="504"/>
      <c r="N289" s="504"/>
      <c r="O289" s="504"/>
      <c r="P289" s="504"/>
    </row>
    <row r="290" spans="1:16" ht="15.75" customHeight="1">
      <c r="A290" s="737" t="s">
        <v>2686</v>
      </c>
      <c r="B290" s="731" t="s">
        <v>2680</v>
      </c>
      <c r="C290" s="55"/>
      <c r="D290" s="507"/>
      <c r="E290" s="504"/>
      <c r="F290" s="504"/>
      <c r="G290" s="504"/>
      <c r="H290" s="504"/>
      <c r="I290" s="501"/>
      <c r="J290" s="511"/>
      <c r="K290" s="506"/>
      <c r="L290" s="504"/>
      <c r="M290" s="504"/>
      <c r="N290" s="504"/>
      <c r="O290" s="504"/>
      <c r="P290" s="504"/>
    </row>
    <row r="291" spans="1:16" ht="15.75" customHeight="1">
      <c r="A291" s="737" t="s">
        <v>2686</v>
      </c>
      <c r="B291" s="731" t="s">
        <v>2680</v>
      </c>
      <c r="C291" s="55"/>
      <c r="D291" s="507"/>
      <c r="E291" s="504"/>
      <c r="F291" s="504"/>
      <c r="G291" s="504"/>
      <c r="H291" s="504"/>
      <c r="I291" s="501"/>
      <c r="J291" s="511"/>
      <c r="K291" s="506"/>
      <c r="L291" s="504"/>
      <c r="M291" s="504"/>
      <c r="N291" s="504"/>
      <c r="O291" s="504"/>
      <c r="P291" s="504"/>
    </row>
    <row r="292" spans="1:16" ht="15.75" customHeight="1">
      <c r="A292" s="737" t="s">
        <v>2686</v>
      </c>
      <c r="B292" s="731" t="s">
        <v>2680</v>
      </c>
      <c r="C292" s="55"/>
      <c r="D292" s="507"/>
      <c r="E292" s="504"/>
      <c r="F292" s="504"/>
      <c r="G292" s="504"/>
      <c r="H292" s="504"/>
      <c r="I292" s="501"/>
      <c r="J292" s="511"/>
      <c r="K292" s="506"/>
      <c r="L292" s="504"/>
      <c r="M292" s="504"/>
      <c r="N292" s="504"/>
      <c r="O292" s="504"/>
      <c r="P292" s="504"/>
    </row>
    <row r="293" spans="1:16" ht="15.75" customHeight="1">
      <c r="A293" s="738" t="s">
        <v>2691</v>
      </c>
      <c r="B293" s="731" t="s">
        <v>5747</v>
      </c>
      <c r="C293" s="55"/>
      <c r="D293" s="507"/>
      <c r="E293" s="504"/>
      <c r="F293" s="504"/>
      <c r="G293" s="504"/>
      <c r="H293" s="504"/>
      <c r="I293" s="501"/>
      <c r="J293" s="511"/>
      <c r="K293" s="506"/>
      <c r="L293" s="504"/>
      <c r="M293" s="504"/>
      <c r="N293" s="504"/>
      <c r="O293" s="504"/>
      <c r="P293" s="504"/>
    </row>
    <row r="294" spans="1:16" ht="15.75" customHeight="1">
      <c r="A294" s="738" t="s">
        <v>2691</v>
      </c>
      <c r="B294" s="731" t="s">
        <v>2680</v>
      </c>
      <c r="C294" s="55"/>
      <c r="D294" s="507"/>
      <c r="E294" s="504"/>
      <c r="F294" s="504"/>
      <c r="G294" s="504"/>
      <c r="H294" s="504"/>
      <c r="I294" s="501"/>
      <c r="J294" s="511"/>
      <c r="K294" s="506"/>
      <c r="L294" s="504"/>
      <c r="M294" s="504"/>
      <c r="N294" s="504"/>
      <c r="O294" s="504"/>
      <c r="P294" s="504"/>
    </row>
    <row r="295" spans="1:16" ht="15.75" customHeight="1">
      <c r="A295" s="739" t="s">
        <v>2693</v>
      </c>
      <c r="B295" s="731" t="s">
        <v>2680</v>
      </c>
      <c r="C295" s="55"/>
      <c r="D295" s="507"/>
      <c r="E295" s="504"/>
      <c r="F295" s="504"/>
      <c r="G295" s="504"/>
      <c r="H295" s="504"/>
      <c r="I295" s="501"/>
      <c r="J295" s="511"/>
      <c r="K295" s="506"/>
      <c r="L295" s="504"/>
      <c r="M295" s="504"/>
      <c r="N295" s="504"/>
      <c r="O295" s="504"/>
      <c r="P295" s="504"/>
    </row>
    <row r="296" spans="1:16" ht="15.75" customHeight="1">
      <c r="A296" s="740"/>
      <c r="B296" s="559"/>
      <c r="C296" s="55"/>
      <c r="D296" s="507"/>
      <c r="E296" s="504"/>
      <c r="F296" s="504"/>
      <c r="G296" s="504"/>
      <c r="H296" s="504"/>
      <c r="I296" s="501"/>
      <c r="J296" s="511"/>
      <c r="K296" s="506"/>
      <c r="L296" s="504"/>
      <c r="M296" s="504"/>
      <c r="N296" s="504"/>
      <c r="O296" s="504"/>
      <c r="P296" s="504"/>
    </row>
    <row r="297" spans="1:16" ht="15.75" customHeight="1">
      <c r="A297" s="729" t="s">
        <v>2795</v>
      </c>
      <c r="B297" s="731" t="s">
        <v>2674</v>
      </c>
      <c r="C297" s="55"/>
      <c r="D297" s="507"/>
      <c r="E297" s="504"/>
      <c r="F297" s="504"/>
      <c r="G297" s="504"/>
      <c r="H297" s="504"/>
      <c r="I297" s="501"/>
      <c r="J297" s="511"/>
      <c r="K297" s="506"/>
      <c r="L297" s="504"/>
      <c r="M297" s="504"/>
      <c r="N297" s="504"/>
      <c r="O297" s="504"/>
      <c r="P297" s="504"/>
    </row>
    <row r="298" spans="1:16" ht="15.75" customHeight="1">
      <c r="A298" s="732" t="s">
        <v>2675</v>
      </c>
      <c r="B298" s="731" t="s">
        <v>2796</v>
      </c>
      <c r="C298" s="55"/>
      <c r="D298" s="507"/>
      <c r="E298" s="504"/>
      <c r="F298" s="504"/>
      <c r="G298" s="504"/>
      <c r="H298" s="504"/>
      <c r="I298" s="501"/>
      <c r="J298" s="511"/>
      <c r="K298" s="506"/>
      <c r="L298" s="504"/>
      <c r="M298" s="504"/>
      <c r="N298" s="504"/>
      <c r="O298" s="504"/>
      <c r="P298" s="504"/>
    </row>
    <row r="299" spans="1:16" ht="15.75" customHeight="1">
      <c r="A299" s="732" t="s">
        <v>2675</v>
      </c>
      <c r="B299" s="731" t="s">
        <v>2797</v>
      </c>
      <c r="C299" s="55"/>
      <c r="D299" s="507"/>
      <c r="E299" s="504"/>
      <c r="F299" s="504"/>
      <c r="G299" s="504"/>
      <c r="H299" s="504"/>
      <c r="I299" s="501"/>
      <c r="J299" s="511"/>
      <c r="K299" s="506"/>
      <c r="L299" s="504"/>
      <c r="M299" s="504"/>
      <c r="N299" s="504"/>
      <c r="O299" s="504"/>
      <c r="P299" s="504"/>
    </row>
    <row r="300" spans="1:16" ht="15.75" customHeight="1">
      <c r="A300" s="733" t="s">
        <v>5723</v>
      </c>
      <c r="B300" s="731" t="s">
        <v>5748</v>
      </c>
      <c r="C300" s="55"/>
      <c r="D300" s="507"/>
      <c r="E300" s="504"/>
      <c r="F300" s="504"/>
      <c r="G300" s="504"/>
      <c r="H300" s="504"/>
      <c r="I300" s="501"/>
      <c r="J300" s="511"/>
      <c r="K300" s="506"/>
      <c r="L300" s="504"/>
      <c r="M300" s="504"/>
      <c r="N300" s="504"/>
      <c r="O300" s="504"/>
      <c r="P300" s="504"/>
    </row>
    <row r="301" spans="1:16" ht="15.75" customHeight="1">
      <c r="A301" s="733" t="s">
        <v>5723</v>
      </c>
      <c r="B301" s="731" t="s">
        <v>2680</v>
      </c>
      <c r="C301" s="55"/>
      <c r="D301" s="507"/>
      <c r="E301" s="504"/>
      <c r="F301" s="504"/>
      <c r="G301" s="504"/>
      <c r="H301" s="504"/>
      <c r="I301" s="501"/>
      <c r="J301" s="511"/>
      <c r="K301" s="506"/>
      <c r="L301" s="504"/>
      <c r="M301" s="504"/>
      <c r="N301" s="504"/>
      <c r="O301" s="504"/>
      <c r="P301" s="504"/>
    </row>
    <row r="302" spans="1:16" ht="15.75" customHeight="1">
      <c r="A302" s="734" t="s">
        <v>2677</v>
      </c>
      <c r="B302" s="731" t="s">
        <v>2798</v>
      </c>
      <c r="C302" s="55"/>
      <c r="D302" s="507"/>
      <c r="E302" s="504"/>
      <c r="F302" s="504"/>
      <c r="G302" s="504"/>
      <c r="H302" s="504"/>
      <c r="I302" s="501"/>
      <c r="J302" s="511"/>
      <c r="K302" s="506"/>
      <c r="L302" s="504"/>
      <c r="M302" s="504"/>
      <c r="N302" s="504"/>
      <c r="O302" s="504"/>
      <c r="P302" s="504"/>
    </row>
    <row r="303" spans="1:16" ht="15.75" customHeight="1">
      <c r="A303" s="734" t="s">
        <v>2677</v>
      </c>
      <c r="B303" s="731" t="s">
        <v>2799</v>
      </c>
      <c r="C303" s="55"/>
      <c r="D303" s="507"/>
      <c r="E303" s="504"/>
      <c r="F303" s="504"/>
      <c r="G303" s="504"/>
      <c r="H303" s="504"/>
      <c r="I303" s="501"/>
      <c r="J303" s="511"/>
      <c r="K303" s="506"/>
      <c r="L303" s="504"/>
      <c r="M303" s="504"/>
      <c r="N303" s="504"/>
      <c r="O303" s="504"/>
      <c r="P303" s="504"/>
    </row>
    <row r="304" spans="1:16" ht="30" customHeight="1">
      <c r="A304" s="734" t="s">
        <v>2677</v>
      </c>
      <c r="B304" s="731" t="s">
        <v>2800</v>
      </c>
      <c r="C304" s="55"/>
      <c r="D304" s="507"/>
      <c r="E304" s="504"/>
      <c r="F304" s="504"/>
      <c r="G304" s="504"/>
      <c r="H304" s="504"/>
      <c r="I304" s="501"/>
      <c r="J304" s="511"/>
      <c r="K304" s="506"/>
      <c r="L304" s="504"/>
      <c r="M304" s="504"/>
      <c r="N304" s="504"/>
      <c r="O304" s="504"/>
      <c r="P304" s="504"/>
    </row>
    <row r="305" spans="1:16" ht="15.75" customHeight="1">
      <c r="A305" s="735" t="s">
        <v>2681</v>
      </c>
      <c r="B305" s="731" t="s">
        <v>2801</v>
      </c>
      <c r="C305" s="55"/>
      <c r="D305" s="507"/>
      <c r="E305" s="504"/>
      <c r="F305" s="504"/>
      <c r="G305" s="504"/>
      <c r="H305" s="504"/>
      <c r="I305" s="501"/>
      <c r="J305" s="511"/>
      <c r="K305" s="506"/>
      <c r="L305" s="504"/>
      <c r="M305" s="504"/>
      <c r="N305" s="504"/>
      <c r="O305" s="504"/>
      <c r="P305" s="504"/>
    </row>
    <row r="306" spans="1:16" ht="15.75" customHeight="1">
      <c r="A306" s="735" t="s">
        <v>2681</v>
      </c>
      <c r="B306" s="731" t="s">
        <v>2802</v>
      </c>
      <c r="C306" s="55"/>
      <c r="D306" s="507"/>
      <c r="E306" s="504"/>
      <c r="F306" s="504"/>
      <c r="G306" s="504"/>
      <c r="H306" s="504"/>
      <c r="I306" s="501"/>
      <c r="J306" s="511"/>
      <c r="K306" s="506"/>
      <c r="L306" s="504"/>
      <c r="M306" s="504"/>
      <c r="N306" s="504"/>
      <c r="O306" s="504"/>
      <c r="P306" s="504"/>
    </row>
    <row r="307" spans="1:16" ht="15.75" customHeight="1">
      <c r="A307" s="735" t="s">
        <v>2681</v>
      </c>
      <c r="B307" s="731" t="s">
        <v>2680</v>
      </c>
      <c r="C307" s="55"/>
      <c r="D307" s="507"/>
      <c r="E307" s="504"/>
      <c r="F307" s="504"/>
      <c r="G307" s="504"/>
      <c r="H307" s="504"/>
      <c r="I307" s="501"/>
      <c r="J307" s="511"/>
      <c r="K307" s="506"/>
      <c r="L307" s="504"/>
      <c r="M307" s="504"/>
      <c r="N307" s="504"/>
      <c r="O307" s="504"/>
      <c r="P307" s="504"/>
    </row>
    <row r="308" spans="1:16" ht="15.75" customHeight="1">
      <c r="A308" s="735" t="s">
        <v>2681</v>
      </c>
      <c r="B308" s="731" t="s">
        <v>2680</v>
      </c>
      <c r="C308" s="55"/>
      <c r="D308" s="507"/>
      <c r="E308" s="504"/>
      <c r="F308" s="504"/>
      <c r="G308" s="504"/>
      <c r="H308" s="504"/>
      <c r="I308" s="501"/>
      <c r="J308" s="511"/>
      <c r="K308" s="506"/>
      <c r="L308" s="504"/>
      <c r="M308" s="504"/>
      <c r="N308" s="504"/>
      <c r="O308" s="504"/>
      <c r="P308" s="504"/>
    </row>
    <row r="309" spans="1:16" ht="15.75" customHeight="1">
      <c r="A309" s="737" t="s">
        <v>2686</v>
      </c>
      <c r="B309" s="731" t="s">
        <v>6556</v>
      </c>
      <c r="C309" s="55"/>
      <c r="D309" s="507"/>
      <c r="E309" s="504"/>
      <c r="F309" s="504"/>
      <c r="G309" s="504"/>
      <c r="H309" s="504"/>
      <c r="I309" s="501"/>
      <c r="J309" s="511"/>
      <c r="K309" s="506"/>
      <c r="L309" s="504"/>
      <c r="M309" s="504"/>
      <c r="N309" s="504"/>
      <c r="O309" s="504"/>
      <c r="P309" s="504"/>
    </row>
    <row r="310" spans="1:16" ht="15.75" customHeight="1">
      <c r="A310" s="737" t="s">
        <v>2686</v>
      </c>
      <c r="B310" s="731" t="s">
        <v>2803</v>
      </c>
      <c r="C310" s="55"/>
      <c r="D310" s="507"/>
      <c r="E310" s="504"/>
      <c r="F310" s="504"/>
      <c r="G310" s="504"/>
      <c r="H310" s="504"/>
      <c r="I310" s="501"/>
      <c r="J310" s="511"/>
      <c r="K310" s="506"/>
      <c r="L310" s="504"/>
      <c r="M310" s="504"/>
      <c r="N310" s="504"/>
      <c r="O310" s="504"/>
      <c r="P310" s="504"/>
    </row>
    <row r="311" spans="1:16" ht="15.75" customHeight="1">
      <c r="A311" s="737" t="s">
        <v>2686</v>
      </c>
      <c r="B311" s="731" t="s">
        <v>2680</v>
      </c>
      <c r="C311" s="55"/>
      <c r="D311" s="507"/>
      <c r="E311" s="504"/>
      <c r="F311" s="504"/>
      <c r="G311" s="504"/>
      <c r="H311" s="504"/>
      <c r="I311" s="501"/>
      <c r="J311" s="511"/>
      <c r="K311" s="506"/>
      <c r="L311" s="504"/>
      <c r="M311" s="504"/>
      <c r="N311" s="504"/>
      <c r="O311" s="504"/>
      <c r="P311" s="504"/>
    </row>
    <row r="312" spans="1:16" ht="15.75" customHeight="1">
      <c r="A312" s="737" t="s">
        <v>2686</v>
      </c>
      <c r="B312" s="731" t="s">
        <v>2680</v>
      </c>
      <c r="C312" s="55"/>
      <c r="D312" s="507"/>
      <c r="E312" s="504"/>
      <c r="F312" s="504"/>
      <c r="G312" s="504"/>
      <c r="H312" s="504"/>
      <c r="I312" s="501"/>
      <c r="J312" s="511"/>
      <c r="K312" s="506"/>
      <c r="L312" s="504"/>
      <c r="M312" s="504"/>
      <c r="N312" s="504"/>
      <c r="O312" s="504"/>
      <c r="P312" s="504"/>
    </row>
    <row r="313" spans="1:16" ht="15.75" customHeight="1">
      <c r="A313" s="737" t="s">
        <v>2686</v>
      </c>
      <c r="B313" s="731" t="s">
        <v>2680</v>
      </c>
      <c r="C313" s="55"/>
      <c r="D313" s="507"/>
      <c r="E313" s="504"/>
      <c r="F313" s="504"/>
      <c r="G313" s="504"/>
      <c r="H313" s="504"/>
      <c r="I313" s="501"/>
      <c r="J313" s="511"/>
      <c r="K313" s="506"/>
      <c r="L313" s="504"/>
      <c r="M313" s="504"/>
      <c r="N313" s="504"/>
      <c r="O313" s="504"/>
      <c r="P313" s="504"/>
    </row>
    <row r="314" spans="1:16" ht="15.75" customHeight="1">
      <c r="A314" s="738" t="s">
        <v>2691</v>
      </c>
      <c r="B314" s="731" t="s">
        <v>2804</v>
      </c>
      <c r="C314" s="55"/>
      <c r="D314" s="507"/>
      <c r="E314" s="504"/>
      <c r="F314" s="504"/>
      <c r="G314" s="504"/>
      <c r="H314" s="504"/>
      <c r="I314" s="501"/>
      <c r="J314" s="511"/>
      <c r="K314" s="506"/>
      <c r="L314" s="504"/>
      <c r="M314" s="504"/>
      <c r="N314" s="504"/>
      <c r="O314" s="504"/>
      <c r="P314" s="504"/>
    </row>
    <row r="315" spans="1:16" ht="15.75" customHeight="1">
      <c r="A315" s="738" t="s">
        <v>2691</v>
      </c>
      <c r="B315" s="731" t="s">
        <v>2680</v>
      </c>
      <c r="C315" s="55"/>
      <c r="D315" s="507"/>
      <c r="E315" s="504"/>
      <c r="F315" s="504"/>
      <c r="G315" s="504"/>
      <c r="H315" s="504"/>
      <c r="I315" s="501"/>
      <c r="J315" s="511"/>
      <c r="K315" s="506"/>
      <c r="L315" s="504"/>
      <c r="M315" s="504"/>
      <c r="N315" s="504"/>
      <c r="O315" s="504"/>
      <c r="P315" s="504"/>
    </row>
    <row r="316" spans="1:16" ht="15.75" customHeight="1">
      <c r="A316" s="739" t="s">
        <v>2693</v>
      </c>
      <c r="B316" s="731" t="s">
        <v>2680</v>
      </c>
      <c r="C316" s="55"/>
      <c r="D316" s="507"/>
      <c r="E316" s="504"/>
      <c r="F316" s="504"/>
      <c r="G316" s="504"/>
      <c r="H316" s="504"/>
      <c r="I316" s="501"/>
      <c r="J316" s="511"/>
      <c r="K316" s="506"/>
      <c r="L316" s="504"/>
      <c r="M316" s="504"/>
      <c r="N316" s="504"/>
      <c r="O316" s="504"/>
      <c r="P316" s="504"/>
    </row>
    <row r="317" spans="1:16" ht="15.75" customHeight="1">
      <c r="A317" s="740"/>
      <c r="B317" s="559"/>
      <c r="C317" s="55"/>
      <c r="D317" s="507"/>
      <c r="E317" s="504"/>
      <c r="F317" s="504"/>
      <c r="G317" s="504"/>
      <c r="H317" s="504"/>
      <c r="I317" s="501"/>
      <c r="J317" s="511"/>
      <c r="K317" s="506"/>
      <c r="L317" s="504"/>
      <c r="M317" s="504"/>
      <c r="N317" s="504"/>
      <c r="O317" s="504"/>
      <c r="P317" s="504"/>
    </row>
    <row r="318" spans="1:16" ht="15.75" customHeight="1">
      <c r="A318" s="729" t="s">
        <v>2805</v>
      </c>
      <c r="B318" s="731" t="s">
        <v>2674</v>
      </c>
      <c r="C318" s="55"/>
      <c r="D318" s="507"/>
      <c r="E318" s="504"/>
      <c r="F318" s="504"/>
      <c r="G318" s="504"/>
      <c r="H318" s="504"/>
      <c r="I318" s="501"/>
      <c r="J318" s="511"/>
      <c r="K318" s="506"/>
      <c r="L318" s="504"/>
      <c r="M318" s="504"/>
      <c r="N318" s="504"/>
      <c r="O318" s="504"/>
      <c r="P318" s="504"/>
    </row>
    <row r="319" spans="1:16" ht="15.75" customHeight="1">
      <c r="A319" s="732" t="s">
        <v>2675</v>
      </c>
      <c r="B319" s="731" t="s">
        <v>2806</v>
      </c>
      <c r="C319" s="55"/>
      <c r="D319" s="507"/>
      <c r="E319" s="504"/>
      <c r="F319" s="504"/>
      <c r="G319" s="504"/>
      <c r="H319" s="504"/>
      <c r="I319" s="501"/>
      <c r="J319" s="511"/>
      <c r="K319" s="506"/>
      <c r="L319" s="504"/>
      <c r="M319" s="504"/>
      <c r="N319" s="504"/>
      <c r="O319" s="504"/>
      <c r="P319" s="504"/>
    </row>
    <row r="320" spans="1:16" ht="15.75" customHeight="1">
      <c r="A320" s="732" t="s">
        <v>2675</v>
      </c>
      <c r="B320" s="731" t="s">
        <v>2680</v>
      </c>
      <c r="C320" s="55"/>
      <c r="D320" s="507"/>
      <c r="E320" s="504"/>
      <c r="F320" s="504"/>
      <c r="G320" s="504"/>
      <c r="H320" s="504"/>
      <c r="I320" s="501"/>
      <c r="J320" s="511"/>
      <c r="K320" s="506"/>
      <c r="L320" s="504"/>
      <c r="M320" s="504"/>
      <c r="N320" s="504"/>
      <c r="O320" s="504"/>
      <c r="P320" s="504"/>
    </row>
    <row r="321" spans="1:16" ht="15.75" customHeight="1">
      <c r="A321" s="733" t="s">
        <v>5723</v>
      </c>
      <c r="B321" s="731" t="s">
        <v>5749</v>
      </c>
      <c r="C321" s="55"/>
      <c r="D321" s="507"/>
      <c r="E321" s="504"/>
      <c r="F321" s="504"/>
      <c r="G321" s="504"/>
      <c r="H321" s="504"/>
      <c r="I321" s="501"/>
      <c r="J321" s="511"/>
      <c r="K321" s="506"/>
      <c r="L321" s="504"/>
      <c r="M321" s="504"/>
      <c r="N321" s="504"/>
      <c r="O321" s="504"/>
      <c r="P321" s="504"/>
    </row>
    <row r="322" spans="1:16" ht="15.75" customHeight="1">
      <c r="A322" s="733" t="s">
        <v>5723</v>
      </c>
      <c r="B322" s="731" t="s">
        <v>2680</v>
      </c>
      <c r="C322" s="55"/>
      <c r="D322" s="507"/>
      <c r="E322" s="504"/>
      <c r="F322" s="504"/>
      <c r="G322" s="504"/>
      <c r="H322" s="504"/>
      <c r="I322" s="501"/>
      <c r="J322" s="511"/>
      <c r="K322" s="506"/>
      <c r="L322" s="504"/>
      <c r="M322" s="504"/>
      <c r="N322" s="504"/>
      <c r="O322" s="504"/>
      <c r="P322" s="504"/>
    </row>
    <row r="323" spans="1:16" ht="15.75" customHeight="1">
      <c r="A323" s="734" t="s">
        <v>2677</v>
      </c>
      <c r="B323" s="731" t="s">
        <v>2807</v>
      </c>
      <c r="C323" s="55"/>
      <c r="D323" s="507"/>
      <c r="E323" s="504"/>
      <c r="F323" s="504"/>
      <c r="G323" s="504"/>
      <c r="H323" s="504"/>
      <c r="I323" s="501"/>
      <c r="J323" s="511"/>
      <c r="K323" s="506"/>
      <c r="L323" s="504"/>
      <c r="M323" s="504"/>
      <c r="N323" s="504"/>
      <c r="O323" s="504"/>
      <c r="P323" s="504"/>
    </row>
    <row r="324" spans="1:16" ht="15.75" customHeight="1">
      <c r="A324" s="734" t="s">
        <v>2677</v>
      </c>
      <c r="B324" s="731" t="s">
        <v>2808</v>
      </c>
      <c r="C324" s="55"/>
      <c r="D324" s="507"/>
      <c r="E324" s="504"/>
      <c r="F324" s="504"/>
      <c r="G324" s="504"/>
      <c r="H324" s="504"/>
      <c r="I324" s="501"/>
      <c r="J324" s="511"/>
      <c r="K324" s="506"/>
      <c r="L324" s="504"/>
      <c r="M324" s="504"/>
      <c r="N324" s="504"/>
      <c r="O324" s="504"/>
      <c r="P324" s="504"/>
    </row>
    <row r="325" spans="1:16" ht="15.75" customHeight="1">
      <c r="A325" s="734" t="s">
        <v>2677</v>
      </c>
      <c r="B325" s="731" t="s">
        <v>2680</v>
      </c>
      <c r="C325" s="55"/>
      <c r="D325" s="507"/>
      <c r="E325" s="504"/>
      <c r="F325" s="504"/>
      <c r="G325" s="504"/>
      <c r="H325" s="504"/>
      <c r="I325" s="501"/>
      <c r="J325" s="511"/>
      <c r="K325" s="506"/>
      <c r="L325" s="504"/>
      <c r="M325" s="504"/>
      <c r="N325" s="504"/>
      <c r="O325" s="504"/>
      <c r="P325" s="504"/>
    </row>
    <row r="326" spans="1:16" ht="15.75" customHeight="1">
      <c r="A326" s="735" t="s">
        <v>2681</v>
      </c>
      <c r="B326" s="731" t="s">
        <v>2809</v>
      </c>
      <c r="C326" s="55"/>
      <c r="D326" s="507"/>
      <c r="E326" s="504"/>
      <c r="F326" s="504"/>
      <c r="G326" s="504"/>
      <c r="H326" s="504"/>
      <c r="I326" s="501"/>
      <c r="J326" s="511"/>
      <c r="K326" s="506"/>
      <c r="L326" s="504"/>
      <c r="M326" s="504"/>
      <c r="N326" s="504"/>
      <c r="O326" s="504"/>
      <c r="P326" s="504"/>
    </row>
    <row r="327" spans="1:16" ht="15.75" customHeight="1">
      <c r="A327" s="735" t="s">
        <v>2681</v>
      </c>
      <c r="B327" s="731" t="s">
        <v>2810</v>
      </c>
      <c r="C327" s="55"/>
      <c r="D327" s="507"/>
      <c r="E327" s="504"/>
      <c r="F327" s="504"/>
      <c r="G327" s="504"/>
      <c r="H327" s="504"/>
      <c r="I327" s="501"/>
      <c r="J327" s="511"/>
      <c r="K327" s="506"/>
      <c r="L327" s="504"/>
      <c r="M327" s="504"/>
      <c r="N327" s="504"/>
      <c r="O327" s="504"/>
      <c r="P327" s="504"/>
    </row>
    <row r="328" spans="1:16">
      <c r="A328" s="735" t="s">
        <v>2681</v>
      </c>
      <c r="B328" s="731" t="s">
        <v>2680</v>
      </c>
      <c r="C328" s="55"/>
      <c r="D328" s="507"/>
      <c r="E328" s="504"/>
      <c r="F328" s="504"/>
      <c r="G328" s="504"/>
      <c r="H328" s="504"/>
      <c r="I328" s="501"/>
      <c r="J328" s="511"/>
      <c r="K328" s="506"/>
      <c r="L328" s="504"/>
      <c r="M328" s="504"/>
      <c r="N328" s="504"/>
      <c r="O328" s="504"/>
      <c r="P328" s="504"/>
    </row>
    <row r="329" spans="1:16">
      <c r="A329" s="735" t="s">
        <v>2681</v>
      </c>
      <c r="B329" s="731" t="s">
        <v>2680</v>
      </c>
      <c r="C329" s="55"/>
      <c r="D329" s="507"/>
      <c r="E329" s="504"/>
      <c r="F329" s="504"/>
      <c r="G329" s="504"/>
      <c r="H329" s="504"/>
      <c r="I329" s="501"/>
      <c r="J329" s="511"/>
      <c r="K329" s="506"/>
      <c r="L329" s="504"/>
      <c r="M329" s="504"/>
      <c r="N329" s="504"/>
      <c r="O329" s="504"/>
      <c r="P329" s="504"/>
    </row>
    <row r="330" spans="1:16" ht="15.75" customHeight="1">
      <c r="A330" s="737" t="s">
        <v>2686</v>
      </c>
      <c r="B330" s="731" t="s">
        <v>2811</v>
      </c>
      <c r="C330" s="55"/>
      <c r="D330" s="507"/>
      <c r="E330" s="504"/>
      <c r="F330" s="504"/>
      <c r="G330" s="504"/>
      <c r="H330" s="504"/>
      <c r="I330" s="501"/>
      <c r="J330" s="515"/>
      <c r="K330" s="506"/>
      <c r="L330" s="504"/>
      <c r="M330" s="504"/>
      <c r="N330" s="504"/>
      <c r="O330" s="504"/>
      <c r="P330" s="504"/>
    </row>
    <row r="331" spans="1:16" ht="15.75" customHeight="1">
      <c r="A331" s="737" t="s">
        <v>2686</v>
      </c>
      <c r="B331" s="731" t="s">
        <v>2680</v>
      </c>
      <c r="C331" s="55"/>
      <c r="D331" s="507"/>
      <c r="E331" s="504"/>
      <c r="F331" s="504"/>
      <c r="G331" s="504"/>
      <c r="H331" s="504"/>
      <c r="I331" s="501"/>
      <c r="J331" s="515"/>
      <c r="K331" s="506"/>
      <c r="L331" s="504"/>
      <c r="M331" s="504"/>
      <c r="N331" s="504"/>
      <c r="O331" s="504"/>
      <c r="P331" s="504"/>
    </row>
    <row r="332" spans="1:16" ht="15.75" customHeight="1">
      <c r="A332" s="737" t="s">
        <v>2686</v>
      </c>
      <c r="B332" s="731" t="s">
        <v>2680</v>
      </c>
      <c r="C332" s="55"/>
      <c r="D332" s="507"/>
      <c r="E332" s="504"/>
      <c r="F332" s="504"/>
      <c r="G332" s="504"/>
      <c r="H332" s="504"/>
      <c r="I332" s="501"/>
      <c r="J332" s="516"/>
      <c r="K332" s="506"/>
      <c r="L332" s="504"/>
      <c r="M332" s="504"/>
      <c r="N332" s="504"/>
      <c r="O332" s="504"/>
      <c r="P332" s="504"/>
    </row>
    <row r="333" spans="1:16" ht="15.75" customHeight="1">
      <c r="A333" s="737" t="s">
        <v>2686</v>
      </c>
      <c r="B333" s="731" t="s">
        <v>2680</v>
      </c>
      <c r="C333" s="55"/>
      <c r="D333" s="507"/>
      <c r="E333" s="504"/>
      <c r="F333" s="504"/>
      <c r="G333" s="504"/>
      <c r="H333" s="504"/>
      <c r="I333" s="501"/>
      <c r="J333" s="505"/>
      <c r="K333" s="506"/>
      <c r="L333" s="504"/>
      <c r="M333" s="504"/>
      <c r="N333" s="504"/>
      <c r="O333" s="504"/>
      <c r="P333" s="504"/>
    </row>
    <row r="334" spans="1:16" ht="15.45">
      <c r="A334" s="737" t="s">
        <v>2686</v>
      </c>
      <c r="B334" s="731" t="s">
        <v>2680</v>
      </c>
      <c r="C334" s="55"/>
      <c r="D334" s="507"/>
      <c r="E334" s="504"/>
      <c r="F334" s="504"/>
      <c r="G334" s="504"/>
      <c r="H334" s="504"/>
      <c r="I334" s="501"/>
      <c r="J334" s="517"/>
      <c r="K334" s="506"/>
      <c r="L334" s="504"/>
      <c r="M334" s="504"/>
      <c r="N334" s="504"/>
      <c r="O334" s="504"/>
      <c r="P334" s="504"/>
    </row>
    <row r="335" spans="1:16" ht="15.75" customHeight="1">
      <c r="A335" s="738" t="s">
        <v>2691</v>
      </c>
      <c r="B335" s="731" t="s">
        <v>2680</v>
      </c>
      <c r="C335" s="55"/>
      <c r="D335" s="507"/>
      <c r="E335" s="504"/>
      <c r="F335" s="504"/>
      <c r="G335" s="504"/>
      <c r="H335" s="504"/>
      <c r="I335" s="501"/>
      <c r="J335" s="512"/>
      <c r="K335" s="506"/>
      <c r="L335" s="504"/>
      <c r="M335" s="504"/>
      <c r="N335" s="504"/>
      <c r="O335" s="504"/>
      <c r="P335" s="504"/>
    </row>
    <row r="336" spans="1:16" ht="15.75" customHeight="1">
      <c r="A336" s="738" t="s">
        <v>2691</v>
      </c>
      <c r="B336" s="736" t="s">
        <v>2812</v>
      </c>
      <c r="C336" s="55"/>
      <c r="D336" s="507"/>
      <c r="E336" s="504"/>
      <c r="F336" s="504"/>
      <c r="G336" s="504"/>
      <c r="H336" s="504"/>
      <c r="I336" s="501"/>
      <c r="J336" s="512"/>
      <c r="K336" s="506"/>
      <c r="L336" s="504"/>
      <c r="M336" s="504"/>
      <c r="N336" s="504"/>
      <c r="O336" s="504"/>
      <c r="P336" s="504"/>
    </row>
    <row r="337" spans="1:16" ht="15.75" customHeight="1">
      <c r="A337" s="739" t="s">
        <v>2693</v>
      </c>
      <c r="B337" s="731" t="s">
        <v>2680</v>
      </c>
      <c r="C337" s="55"/>
      <c r="D337" s="507"/>
      <c r="E337" s="504"/>
      <c r="F337" s="504"/>
      <c r="G337" s="504"/>
      <c r="H337" s="504"/>
      <c r="I337" s="501"/>
      <c r="J337" s="513"/>
      <c r="K337" s="506"/>
      <c r="L337" s="504"/>
      <c r="M337" s="504"/>
      <c r="N337" s="504"/>
      <c r="O337" s="504"/>
      <c r="P337" s="504"/>
    </row>
    <row r="338" spans="1:16" ht="15.75" customHeight="1">
      <c r="A338" s="740"/>
      <c r="B338" s="559"/>
      <c r="C338" s="55"/>
      <c r="D338" s="507"/>
      <c r="E338" s="504"/>
      <c r="F338" s="504"/>
      <c r="G338" s="504"/>
      <c r="H338" s="504"/>
      <c r="I338" s="501"/>
      <c r="J338" s="513"/>
      <c r="K338" s="506"/>
      <c r="L338" s="504"/>
      <c r="M338" s="504"/>
      <c r="N338" s="504"/>
      <c r="O338" s="504"/>
      <c r="P338" s="504"/>
    </row>
    <row r="339" spans="1:16" ht="15.75" customHeight="1">
      <c r="A339" s="729" t="s">
        <v>2813</v>
      </c>
      <c r="B339" s="731" t="s">
        <v>2674</v>
      </c>
      <c r="C339" s="55"/>
      <c r="D339" s="507"/>
      <c r="E339" s="504"/>
      <c r="F339" s="504"/>
      <c r="G339" s="504"/>
      <c r="H339" s="504"/>
      <c r="I339" s="501"/>
      <c r="J339" s="513"/>
      <c r="K339" s="506"/>
      <c r="L339" s="504"/>
      <c r="M339" s="504"/>
      <c r="N339" s="504"/>
      <c r="O339" s="504"/>
      <c r="P339" s="504"/>
    </row>
    <row r="340" spans="1:16" ht="15.75" customHeight="1">
      <c r="A340" s="732" t="s">
        <v>2675</v>
      </c>
      <c r="B340" s="731" t="s">
        <v>2814</v>
      </c>
      <c r="C340" s="55"/>
      <c r="D340" s="507"/>
      <c r="E340" s="504"/>
      <c r="F340" s="504"/>
      <c r="G340" s="504"/>
      <c r="H340" s="504"/>
      <c r="I340" s="501"/>
      <c r="J340" s="514"/>
      <c r="K340" s="506"/>
      <c r="L340" s="504"/>
      <c r="M340" s="504"/>
      <c r="N340" s="504"/>
      <c r="O340" s="504"/>
      <c r="P340" s="504"/>
    </row>
    <row r="341" spans="1:16" ht="15.75" customHeight="1">
      <c r="A341" s="732" t="s">
        <v>2675</v>
      </c>
      <c r="B341" s="731" t="s">
        <v>2815</v>
      </c>
      <c r="C341" s="55"/>
      <c r="D341" s="507"/>
      <c r="E341" s="504"/>
      <c r="F341" s="504"/>
      <c r="G341" s="504"/>
      <c r="H341" s="504"/>
      <c r="I341" s="501"/>
      <c r="J341" s="514"/>
      <c r="K341" s="506"/>
      <c r="L341" s="504"/>
      <c r="M341" s="504"/>
      <c r="N341" s="504"/>
      <c r="O341" s="504"/>
      <c r="P341" s="504"/>
    </row>
    <row r="342" spans="1:16" ht="15.75" customHeight="1">
      <c r="A342" s="733" t="s">
        <v>5723</v>
      </c>
      <c r="B342" s="731" t="s">
        <v>5750</v>
      </c>
      <c r="C342" s="55"/>
      <c r="D342" s="507"/>
      <c r="E342" s="504"/>
      <c r="F342" s="504"/>
      <c r="G342" s="504"/>
      <c r="H342" s="504"/>
      <c r="I342" s="501"/>
      <c r="J342" s="514"/>
      <c r="K342" s="506"/>
      <c r="L342" s="504"/>
      <c r="M342" s="504"/>
      <c r="N342" s="504"/>
      <c r="O342" s="504"/>
      <c r="P342" s="504"/>
    </row>
    <row r="343" spans="1:16" ht="22.5" customHeight="1">
      <c r="A343" s="733" t="s">
        <v>5723</v>
      </c>
      <c r="B343" s="731" t="s">
        <v>2680</v>
      </c>
      <c r="C343" s="55"/>
      <c r="D343" s="507"/>
      <c r="E343" s="504"/>
      <c r="F343" s="504"/>
      <c r="G343" s="504"/>
      <c r="H343" s="504"/>
      <c r="I343" s="501"/>
      <c r="J343" s="514"/>
      <c r="K343" s="506"/>
      <c r="L343" s="504"/>
      <c r="M343" s="504"/>
      <c r="N343" s="504"/>
      <c r="O343" s="504"/>
      <c r="P343" s="504"/>
    </row>
    <row r="344" spans="1:16" ht="15.75" customHeight="1">
      <c r="A344" s="734" t="s">
        <v>2677</v>
      </c>
      <c r="B344" s="731" t="s">
        <v>2816</v>
      </c>
      <c r="C344" s="55"/>
      <c r="D344" s="507"/>
      <c r="E344" s="504"/>
      <c r="F344" s="504"/>
      <c r="G344" s="504"/>
      <c r="H344" s="504"/>
      <c r="I344" s="501"/>
      <c r="J344" s="511"/>
      <c r="K344" s="506"/>
      <c r="L344" s="504"/>
      <c r="M344" s="504"/>
      <c r="N344" s="504"/>
      <c r="O344" s="504"/>
      <c r="P344" s="504"/>
    </row>
    <row r="345" spans="1:16" ht="15.75" customHeight="1">
      <c r="A345" s="734" t="s">
        <v>2677</v>
      </c>
      <c r="B345" s="731" t="s">
        <v>2817</v>
      </c>
      <c r="C345" s="55"/>
      <c r="D345" s="507"/>
      <c r="E345" s="504"/>
      <c r="F345" s="504"/>
      <c r="G345" s="504"/>
      <c r="H345" s="504"/>
      <c r="I345" s="501"/>
      <c r="J345" s="511"/>
      <c r="K345" s="506"/>
      <c r="L345" s="504"/>
      <c r="M345" s="504"/>
      <c r="N345" s="504"/>
      <c r="O345" s="504"/>
      <c r="P345" s="504"/>
    </row>
    <row r="346" spans="1:16" ht="15.75" customHeight="1">
      <c r="A346" s="734" t="s">
        <v>2677</v>
      </c>
      <c r="B346" s="731" t="s">
        <v>2818</v>
      </c>
      <c r="C346" s="55"/>
      <c r="D346" s="507"/>
      <c r="E346" s="504"/>
      <c r="F346" s="504"/>
      <c r="G346" s="504"/>
      <c r="H346" s="504"/>
      <c r="I346" s="501"/>
      <c r="J346" s="511"/>
      <c r="K346" s="506"/>
      <c r="L346" s="504"/>
      <c r="M346" s="504"/>
      <c r="N346" s="504"/>
      <c r="O346" s="504"/>
      <c r="P346" s="504"/>
    </row>
    <row r="347" spans="1:16" ht="15.75" customHeight="1">
      <c r="A347" s="735" t="s">
        <v>2681</v>
      </c>
      <c r="B347" s="731" t="s">
        <v>2819</v>
      </c>
      <c r="C347" s="55"/>
      <c r="D347" s="507"/>
      <c r="E347" s="504"/>
      <c r="F347" s="504"/>
      <c r="G347" s="504"/>
      <c r="H347" s="504"/>
      <c r="I347" s="501"/>
      <c r="J347" s="511"/>
      <c r="K347" s="506"/>
      <c r="L347" s="504"/>
      <c r="M347" s="504"/>
      <c r="N347" s="504"/>
      <c r="O347" s="504"/>
      <c r="P347" s="504"/>
    </row>
    <row r="348" spans="1:16">
      <c r="A348" s="735" t="s">
        <v>2681</v>
      </c>
      <c r="B348" s="731" t="s">
        <v>2820</v>
      </c>
      <c r="C348" s="55"/>
      <c r="D348" s="507"/>
      <c r="E348" s="504"/>
      <c r="F348" s="504"/>
      <c r="G348" s="504"/>
      <c r="H348" s="504"/>
      <c r="I348" s="501"/>
      <c r="J348" s="511"/>
      <c r="K348" s="506"/>
      <c r="L348" s="504"/>
      <c r="M348" s="504"/>
      <c r="N348" s="504"/>
      <c r="O348" s="504"/>
      <c r="P348" s="504"/>
    </row>
    <row r="349" spans="1:16" ht="15.75" customHeight="1">
      <c r="A349" s="735" t="s">
        <v>2681</v>
      </c>
      <c r="B349" s="731" t="s">
        <v>2821</v>
      </c>
      <c r="C349" s="55"/>
      <c r="D349" s="507"/>
      <c r="E349" s="504"/>
      <c r="F349" s="504"/>
      <c r="G349" s="504"/>
      <c r="H349" s="504"/>
      <c r="I349" s="501"/>
      <c r="J349" s="515"/>
      <c r="K349" s="506"/>
      <c r="L349" s="504"/>
      <c r="M349" s="504"/>
      <c r="N349" s="504"/>
      <c r="O349" s="504"/>
      <c r="P349" s="504"/>
    </row>
    <row r="350" spans="1:16" ht="15.75" customHeight="1">
      <c r="A350" s="735" t="s">
        <v>2681</v>
      </c>
      <c r="B350" s="731" t="s">
        <v>2680</v>
      </c>
      <c r="C350" s="55"/>
      <c r="D350" s="507"/>
      <c r="E350" s="504"/>
      <c r="F350" s="504"/>
      <c r="G350" s="504"/>
      <c r="H350" s="504"/>
      <c r="I350" s="501"/>
      <c r="J350" s="515"/>
      <c r="K350" s="506"/>
      <c r="L350" s="504"/>
      <c r="M350" s="504"/>
      <c r="N350" s="504"/>
      <c r="O350" s="504"/>
      <c r="P350" s="504"/>
    </row>
    <row r="351" spans="1:16" ht="15.75" customHeight="1">
      <c r="A351" s="737" t="s">
        <v>2686</v>
      </c>
      <c r="B351" s="731" t="s">
        <v>2822</v>
      </c>
      <c r="C351" s="55"/>
      <c r="D351" s="507"/>
      <c r="E351" s="504"/>
      <c r="F351" s="504"/>
      <c r="G351" s="504"/>
      <c r="H351" s="504"/>
      <c r="I351" s="501"/>
      <c r="J351" s="516"/>
      <c r="K351" s="506"/>
      <c r="L351" s="504"/>
      <c r="M351" s="504"/>
      <c r="N351" s="504"/>
      <c r="O351" s="504"/>
      <c r="P351" s="504"/>
    </row>
    <row r="352" spans="1:16" ht="15.75" customHeight="1">
      <c r="A352" s="737" t="s">
        <v>2686</v>
      </c>
      <c r="B352" s="736" t="s">
        <v>2823</v>
      </c>
      <c r="C352" s="55"/>
      <c r="D352" s="507"/>
      <c r="E352" s="504"/>
      <c r="F352" s="504"/>
      <c r="G352" s="504"/>
      <c r="H352" s="504"/>
      <c r="I352" s="501"/>
      <c r="J352" s="516"/>
      <c r="K352" s="506"/>
      <c r="L352" s="504"/>
      <c r="M352" s="504"/>
      <c r="N352" s="504"/>
      <c r="O352" s="504"/>
      <c r="P352" s="504"/>
    </row>
    <row r="353" spans="1:16" ht="15.45">
      <c r="A353" s="737" t="s">
        <v>2686</v>
      </c>
      <c r="B353" s="731" t="s">
        <v>2824</v>
      </c>
      <c r="C353" s="55"/>
      <c r="D353" s="507"/>
      <c r="E353" s="504"/>
      <c r="F353" s="504"/>
      <c r="G353" s="504"/>
      <c r="H353" s="504"/>
      <c r="I353" s="501"/>
      <c r="J353" s="517"/>
      <c r="K353" s="506"/>
      <c r="L353" s="504"/>
      <c r="M353" s="504"/>
      <c r="N353" s="504"/>
      <c r="O353" s="504"/>
      <c r="P353" s="504"/>
    </row>
    <row r="354" spans="1:16" ht="15.75" customHeight="1">
      <c r="A354" s="737" t="s">
        <v>2686</v>
      </c>
      <c r="B354" s="731" t="s">
        <v>2825</v>
      </c>
      <c r="C354" s="55"/>
      <c r="D354" s="507"/>
      <c r="E354" s="504"/>
      <c r="F354" s="504"/>
      <c r="G354" s="504"/>
      <c r="H354" s="504"/>
      <c r="I354" s="501"/>
      <c r="J354" s="512"/>
      <c r="K354" s="506"/>
      <c r="L354" s="504"/>
      <c r="M354" s="504"/>
      <c r="N354" s="504"/>
      <c r="O354" s="504"/>
      <c r="P354" s="504"/>
    </row>
    <row r="355" spans="1:16" ht="15.75" customHeight="1">
      <c r="A355" s="737" t="s">
        <v>2686</v>
      </c>
      <c r="B355" s="731" t="s">
        <v>2680</v>
      </c>
      <c r="C355" s="55"/>
      <c r="D355" s="507"/>
      <c r="E355" s="504"/>
      <c r="F355" s="504"/>
      <c r="G355" s="504"/>
      <c r="H355" s="504"/>
      <c r="I355" s="501"/>
      <c r="J355" s="512"/>
      <c r="K355" s="506"/>
      <c r="L355" s="504"/>
      <c r="M355" s="504"/>
      <c r="N355" s="504"/>
      <c r="O355" s="504"/>
      <c r="P355" s="504"/>
    </row>
    <row r="356" spans="1:16" ht="15.75" customHeight="1">
      <c r="A356" s="738" t="s">
        <v>2691</v>
      </c>
      <c r="B356" s="731" t="s">
        <v>2826</v>
      </c>
      <c r="C356" s="55"/>
      <c r="D356" s="507"/>
      <c r="E356" s="504"/>
      <c r="F356" s="504"/>
      <c r="G356" s="504"/>
      <c r="H356" s="504"/>
      <c r="I356" s="501"/>
      <c r="J356" s="513"/>
      <c r="K356" s="506"/>
      <c r="L356" s="504"/>
      <c r="M356" s="504"/>
      <c r="N356" s="504"/>
      <c r="O356" s="504"/>
      <c r="P356" s="504"/>
    </row>
    <row r="357" spans="1:16" ht="15.75" customHeight="1">
      <c r="A357" s="738" t="s">
        <v>2691</v>
      </c>
      <c r="B357" s="731" t="s">
        <v>2827</v>
      </c>
      <c r="C357" s="55"/>
      <c r="D357" s="507"/>
      <c r="E357" s="504"/>
      <c r="F357" s="504"/>
      <c r="G357" s="504"/>
      <c r="H357" s="504"/>
      <c r="I357" s="501"/>
      <c r="J357" s="513"/>
      <c r="K357" s="506"/>
      <c r="L357" s="504"/>
      <c r="M357" s="504"/>
      <c r="N357" s="504"/>
      <c r="O357" s="504"/>
      <c r="P357" s="504"/>
    </row>
    <row r="358" spans="1:16" ht="15.75" customHeight="1">
      <c r="A358" s="739" t="s">
        <v>2693</v>
      </c>
      <c r="B358" s="731" t="s">
        <v>2680</v>
      </c>
      <c r="C358" s="55"/>
      <c r="D358" s="507"/>
      <c r="E358" s="504"/>
      <c r="F358" s="504"/>
      <c r="G358" s="504"/>
      <c r="H358" s="504"/>
      <c r="I358" s="501"/>
      <c r="J358" s="513"/>
      <c r="K358" s="506"/>
      <c r="L358" s="504"/>
      <c r="M358" s="504"/>
      <c r="N358" s="504"/>
      <c r="O358" s="504"/>
      <c r="P358" s="504"/>
    </row>
    <row r="359" spans="1:16" ht="15.75" customHeight="1">
      <c r="A359" s="740"/>
      <c r="B359" s="559"/>
      <c r="C359" s="55"/>
      <c r="D359" s="507"/>
      <c r="E359" s="504"/>
      <c r="F359" s="504"/>
      <c r="G359" s="504"/>
      <c r="H359" s="504"/>
      <c r="I359" s="501"/>
      <c r="J359" s="514"/>
      <c r="K359" s="506"/>
      <c r="L359" s="504"/>
      <c r="M359" s="504"/>
      <c r="N359" s="504"/>
      <c r="O359" s="504"/>
      <c r="P359" s="504"/>
    </row>
    <row r="360" spans="1:16" ht="15.75" customHeight="1">
      <c r="A360" s="729" t="s">
        <v>2828</v>
      </c>
      <c r="B360" s="731" t="s">
        <v>2674</v>
      </c>
      <c r="C360" s="55"/>
      <c r="D360" s="507"/>
      <c r="E360" s="504"/>
      <c r="F360" s="504"/>
      <c r="G360" s="504"/>
      <c r="H360" s="504"/>
      <c r="I360" s="501"/>
      <c r="J360" s="514"/>
      <c r="K360" s="506"/>
      <c r="L360" s="504"/>
      <c r="M360" s="504"/>
      <c r="N360" s="504"/>
      <c r="O360" s="504"/>
      <c r="P360" s="504"/>
    </row>
    <row r="361" spans="1:16" ht="15.75" customHeight="1">
      <c r="A361" s="732" t="s">
        <v>2675</v>
      </c>
      <c r="B361" s="731" t="s">
        <v>2829</v>
      </c>
      <c r="C361" s="55"/>
      <c r="D361" s="507"/>
      <c r="E361" s="504"/>
      <c r="F361" s="504"/>
      <c r="G361" s="504"/>
      <c r="H361" s="504"/>
      <c r="I361" s="501"/>
      <c r="J361" s="514"/>
      <c r="K361" s="506"/>
      <c r="L361" s="504"/>
      <c r="M361" s="504"/>
      <c r="N361" s="504"/>
      <c r="O361" s="504"/>
      <c r="P361" s="504"/>
    </row>
    <row r="362" spans="1:16" ht="15.75" customHeight="1">
      <c r="A362" s="732" t="s">
        <v>2675</v>
      </c>
      <c r="B362" s="731" t="s">
        <v>2680</v>
      </c>
      <c r="C362" s="55"/>
      <c r="D362" s="507"/>
      <c r="E362" s="504"/>
      <c r="F362" s="504"/>
      <c r="G362" s="504"/>
      <c r="H362" s="504"/>
      <c r="I362" s="501"/>
      <c r="J362" s="514"/>
      <c r="K362" s="506"/>
      <c r="L362" s="504"/>
      <c r="M362" s="504"/>
      <c r="N362" s="504"/>
      <c r="O362" s="504"/>
      <c r="P362" s="504"/>
    </row>
    <row r="363" spans="1:16" ht="15.75" customHeight="1">
      <c r="A363" s="733" t="s">
        <v>5723</v>
      </c>
      <c r="B363" s="731" t="s">
        <v>5751</v>
      </c>
      <c r="C363" s="55"/>
      <c r="D363" s="507"/>
      <c r="E363" s="504"/>
      <c r="F363" s="504"/>
      <c r="G363" s="504"/>
      <c r="H363" s="504"/>
      <c r="I363" s="501"/>
      <c r="J363" s="511"/>
      <c r="K363" s="506"/>
      <c r="L363" s="504"/>
      <c r="M363" s="504"/>
      <c r="N363" s="504"/>
      <c r="O363" s="504"/>
      <c r="P363" s="504"/>
    </row>
    <row r="364" spans="1:16" ht="15.75" customHeight="1">
      <c r="A364" s="733" t="s">
        <v>5723</v>
      </c>
      <c r="B364" s="731" t="s">
        <v>2680</v>
      </c>
      <c r="C364" s="55"/>
      <c r="D364" s="507"/>
      <c r="E364" s="504"/>
      <c r="F364" s="504"/>
      <c r="G364" s="504"/>
      <c r="H364" s="504"/>
      <c r="I364" s="501"/>
      <c r="J364" s="511"/>
      <c r="K364" s="506"/>
      <c r="L364" s="504"/>
      <c r="M364" s="504"/>
      <c r="N364" s="504"/>
      <c r="O364" s="504"/>
      <c r="P364" s="504"/>
    </row>
    <row r="365" spans="1:16" ht="15.75" customHeight="1">
      <c r="A365" s="734" t="s">
        <v>2677</v>
      </c>
      <c r="B365" s="731" t="s">
        <v>5752</v>
      </c>
      <c r="C365" s="55"/>
      <c r="D365" s="507"/>
      <c r="E365" s="504"/>
      <c r="F365" s="504"/>
      <c r="G365" s="504"/>
      <c r="H365" s="504"/>
      <c r="I365" s="501"/>
      <c r="J365" s="511"/>
      <c r="K365" s="506"/>
      <c r="L365" s="504"/>
      <c r="M365" s="504"/>
      <c r="N365" s="504"/>
      <c r="O365" s="504"/>
      <c r="P365" s="504"/>
    </row>
    <row r="366" spans="1:16" ht="15.75" customHeight="1">
      <c r="A366" s="734" t="s">
        <v>2677</v>
      </c>
      <c r="B366" s="731" t="s">
        <v>5753</v>
      </c>
      <c r="C366" s="55"/>
      <c r="D366" s="507"/>
      <c r="E366" s="504"/>
      <c r="F366" s="504"/>
      <c r="G366" s="504"/>
      <c r="H366" s="504"/>
      <c r="I366" s="501"/>
      <c r="J366" s="511"/>
      <c r="K366" s="506"/>
      <c r="L366" s="504"/>
      <c r="M366" s="504"/>
      <c r="N366" s="504"/>
      <c r="O366" s="504"/>
      <c r="P366" s="504"/>
    </row>
    <row r="367" spans="1:16">
      <c r="A367" s="734" t="s">
        <v>2677</v>
      </c>
      <c r="B367" s="731" t="s">
        <v>2680</v>
      </c>
      <c r="C367" s="55"/>
      <c r="D367" s="507"/>
      <c r="E367" s="504"/>
      <c r="F367" s="504"/>
      <c r="G367" s="504"/>
      <c r="H367" s="504"/>
      <c r="I367" s="501"/>
      <c r="J367" s="511"/>
      <c r="K367" s="506"/>
      <c r="L367" s="504"/>
      <c r="M367" s="504"/>
      <c r="N367" s="504"/>
      <c r="O367" s="504"/>
      <c r="P367" s="504"/>
    </row>
    <row r="368" spans="1:16" ht="15.75" customHeight="1">
      <c r="A368" s="735" t="s">
        <v>2681</v>
      </c>
      <c r="B368" s="731" t="s">
        <v>2830</v>
      </c>
      <c r="C368" s="55"/>
      <c r="D368" s="507"/>
      <c r="E368" s="504"/>
      <c r="F368" s="504"/>
      <c r="G368" s="504"/>
      <c r="H368" s="504"/>
      <c r="I368" s="501"/>
      <c r="J368" s="515"/>
      <c r="K368" s="506"/>
      <c r="L368" s="504"/>
      <c r="M368" s="504"/>
      <c r="N368" s="504"/>
      <c r="O368" s="504"/>
      <c r="P368" s="504"/>
    </row>
    <row r="369" spans="1:16" ht="15.75" customHeight="1">
      <c r="A369" s="735" t="s">
        <v>2681</v>
      </c>
      <c r="B369" s="731" t="s">
        <v>2831</v>
      </c>
      <c r="C369" s="55"/>
      <c r="D369" s="507"/>
      <c r="E369" s="504"/>
      <c r="F369" s="504"/>
      <c r="G369" s="504"/>
      <c r="H369" s="504"/>
      <c r="I369" s="501"/>
      <c r="J369" s="515"/>
      <c r="K369" s="506"/>
      <c r="L369" s="504"/>
      <c r="M369" s="504"/>
      <c r="N369" s="504"/>
      <c r="O369" s="504"/>
      <c r="P369" s="504"/>
    </row>
    <row r="370" spans="1:16" ht="15.75" customHeight="1">
      <c r="A370" s="735" t="s">
        <v>2681</v>
      </c>
      <c r="B370" s="731" t="s">
        <v>2680</v>
      </c>
      <c r="C370" s="55"/>
      <c r="D370" s="507"/>
      <c r="E370" s="504"/>
      <c r="F370" s="504"/>
      <c r="G370" s="504"/>
      <c r="H370" s="504"/>
      <c r="I370" s="501"/>
      <c r="J370" s="516"/>
      <c r="K370" s="506"/>
      <c r="L370" s="504"/>
      <c r="M370" s="504"/>
      <c r="N370" s="504"/>
      <c r="O370" s="504"/>
      <c r="P370" s="504"/>
    </row>
    <row r="371" spans="1:16" ht="15.75" customHeight="1">
      <c r="A371" s="735" t="s">
        <v>2681</v>
      </c>
      <c r="B371" s="731" t="s">
        <v>2680</v>
      </c>
      <c r="C371" s="55"/>
      <c r="D371" s="507"/>
      <c r="E371" s="504"/>
      <c r="F371" s="504"/>
      <c r="G371" s="504"/>
      <c r="H371" s="504"/>
      <c r="I371" s="504"/>
      <c r="J371" s="505"/>
      <c r="K371" s="506"/>
      <c r="L371" s="504"/>
      <c r="M371" s="504"/>
      <c r="N371" s="504"/>
      <c r="O371" s="504"/>
      <c r="P371" s="504"/>
    </row>
    <row r="372" spans="1:16" ht="15.45">
      <c r="A372" s="737" t="s">
        <v>2686</v>
      </c>
      <c r="B372" s="731" t="s">
        <v>2832</v>
      </c>
      <c r="C372" s="55"/>
      <c r="D372" s="507"/>
      <c r="E372" s="504"/>
      <c r="F372" s="504"/>
      <c r="G372" s="504"/>
      <c r="H372" s="504"/>
      <c r="I372" s="501"/>
      <c r="J372" s="517"/>
      <c r="K372" s="506"/>
      <c r="L372" s="504"/>
      <c r="M372" s="504"/>
      <c r="N372" s="504"/>
      <c r="O372" s="504"/>
      <c r="P372" s="504"/>
    </row>
    <row r="373" spans="1:16" ht="15.75" customHeight="1">
      <c r="A373" s="737" t="s">
        <v>2686</v>
      </c>
      <c r="B373" s="731" t="s">
        <v>2833</v>
      </c>
      <c r="C373" s="55"/>
      <c r="D373" s="507"/>
      <c r="E373" s="504"/>
      <c r="F373" s="504"/>
      <c r="G373" s="504"/>
      <c r="H373" s="504"/>
      <c r="I373" s="501"/>
      <c r="J373" s="512"/>
      <c r="K373" s="506"/>
      <c r="L373" s="504"/>
      <c r="M373" s="504"/>
      <c r="N373" s="504"/>
      <c r="O373" s="504"/>
      <c r="P373" s="504"/>
    </row>
    <row r="374" spans="1:16" ht="15.75" customHeight="1">
      <c r="A374" s="737" t="s">
        <v>2686</v>
      </c>
      <c r="B374" s="731" t="s">
        <v>2834</v>
      </c>
      <c r="C374" s="55"/>
      <c r="D374" s="507"/>
      <c r="E374" s="504"/>
      <c r="F374" s="504"/>
      <c r="G374" s="504"/>
      <c r="H374" s="504"/>
      <c r="I374" s="501"/>
      <c r="J374" s="512"/>
      <c r="K374" s="506"/>
      <c r="L374" s="504"/>
      <c r="M374" s="504"/>
      <c r="N374" s="504"/>
      <c r="O374" s="504"/>
      <c r="P374" s="504"/>
    </row>
    <row r="375" spans="1:16" ht="15.75" customHeight="1">
      <c r="A375" s="737" t="s">
        <v>2686</v>
      </c>
      <c r="B375" s="731" t="s">
        <v>2680</v>
      </c>
      <c r="C375" s="55"/>
      <c r="D375" s="507"/>
      <c r="E375" s="504"/>
      <c r="F375" s="504"/>
      <c r="G375" s="504"/>
      <c r="H375" s="504"/>
      <c r="I375" s="501"/>
      <c r="J375" s="513"/>
      <c r="K375" s="506"/>
      <c r="L375" s="504"/>
      <c r="M375" s="504"/>
      <c r="N375" s="504"/>
      <c r="O375" s="504"/>
      <c r="P375" s="504"/>
    </row>
    <row r="376" spans="1:16" ht="15.75" customHeight="1">
      <c r="A376" s="737" t="s">
        <v>2686</v>
      </c>
      <c r="B376" s="731" t="s">
        <v>2680</v>
      </c>
      <c r="C376" s="55"/>
      <c r="D376" s="507"/>
      <c r="E376" s="504"/>
      <c r="F376" s="504"/>
      <c r="G376" s="504"/>
      <c r="H376" s="504"/>
      <c r="I376" s="501"/>
      <c r="J376" s="513"/>
      <c r="K376" s="506"/>
      <c r="L376" s="504"/>
      <c r="M376" s="504"/>
      <c r="N376" s="504"/>
      <c r="O376" s="504"/>
      <c r="P376" s="504"/>
    </row>
    <row r="377" spans="1:16" ht="15.75" customHeight="1">
      <c r="A377" s="738" t="s">
        <v>2691</v>
      </c>
      <c r="B377" s="731" t="s">
        <v>2835</v>
      </c>
      <c r="C377" s="55"/>
      <c r="D377" s="507"/>
      <c r="E377" s="504"/>
      <c r="F377" s="504"/>
      <c r="G377" s="504"/>
      <c r="H377" s="504"/>
      <c r="I377" s="501"/>
      <c r="J377" s="513"/>
      <c r="K377" s="506"/>
      <c r="L377" s="504"/>
      <c r="M377" s="504"/>
      <c r="N377" s="504"/>
      <c r="O377" s="504"/>
      <c r="P377" s="504"/>
    </row>
    <row r="378" spans="1:16" ht="15.75" customHeight="1">
      <c r="A378" s="738" t="s">
        <v>2691</v>
      </c>
      <c r="B378" s="731" t="s">
        <v>2680</v>
      </c>
      <c r="C378" s="55"/>
      <c r="D378" s="507"/>
      <c r="E378" s="504"/>
      <c r="F378" s="504"/>
      <c r="G378" s="504"/>
      <c r="H378" s="504"/>
      <c r="I378" s="501"/>
      <c r="J378" s="514"/>
      <c r="K378" s="506"/>
      <c r="L378" s="504"/>
      <c r="M378" s="504"/>
      <c r="N378" s="504"/>
      <c r="O378" s="504"/>
      <c r="P378" s="504"/>
    </row>
    <row r="379" spans="1:16" ht="15.75" customHeight="1">
      <c r="A379" s="739" t="s">
        <v>2693</v>
      </c>
      <c r="B379" s="736" t="s">
        <v>2836</v>
      </c>
      <c r="C379" s="55"/>
      <c r="D379" s="507"/>
      <c r="E379" s="504"/>
      <c r="F379" s="504"/>
      <c r="G379" s="504"/>
      <c r="H379" s="504"/>
      <c r="I379" s="501"/>
      <c r="J379" s="514"/>
      <c r="K379" s="506"/>
      <c r="L379" s="504"/>
      <c r="M379" s="504"/>
      <c r="N379" s="504"/>
      <c r="O379" s="504"/>
      <c r="P379" s="504"/>
    </row>
    <row r="380" spans="1:16" ht="15.75" customHeight="1">
      <c r="A380" s="730"/>
      <c r="B380" s="730"/>
      <c r="C380" s="55"/>
      <c r="D380" s="507"/>
      <c r="E380" s="504"/>
      <c r="F380" s="504"/>
      <c r="G380" s="504"/>
      <c r="H380" s="504"/>
      <c r="I380" s="501"/>
      <c r="J380" s="514"/>
      <c r="K380" s="506"/>
      <c r="L380" s="504"/>
      <c r="M380" s="504"/>
      <c r="N380" s="504"/>
      <c r="O380" s="504"/>
      <c r="P380" s="504"/>
    </row>
    <row r="381" spans="1:16" ht="15.75" customHeight="1">
      <c r="A381" s="729" t="s">
        <v>2837</v>
      </c>
      <c r="B381" s="731" t="s">
        <v>2674</v>
      </c>
      <c r="C381" s="55"/>
      <c r="D381" s="507"/>
      <c r="E381" s="504"/>
      <c r="F381" s="504"/>
      <c r="G381" s="504"/>
      <c r="H381" s="504"/>
      <c r="I381" s="501"/>
      <c r="J381" s="514"/>
      <c r="K381" s="506"/>
      <c r="L381" s="504"/>
      <c r="M381" s="504"/>
      <c r="N381" s="504"/>
      <c r="O381" s="504"/>
      <c r="P381" s="504"/>
    </row>
    <row r="382" spans="1:16" ht="15.75" customHeight="1">
      <c r="A382" s="732" t="s">
        <v>2675</v>
      </c>
      <c r="B382" s="731" t="s">
        <v>2838</v>
      </c>
      <c r="C382" s="55"/>
      <c r="D382" s="507"/>
      <c r="E382" s="504"/>
      <c r="F382" s="504"/>
      <c r="G382" s="504"/>
      <c r="H382" s="504"/>
      <c r="I382" s="501"/>
      <c r="J382" s="511"/>
      <c r="K382" s="506"/>
      <c r="L382" s="504"/>
      <c r="M382" s="504"/>
      <c r="N382" s="504"/>
      <c r="O382" s="504"/>
      <c r="P382" s="504"/>
    </row>
    <row r="383" spans="1:16">
      <c r="A383" s="732" t="s">
        <v>2675</v>
      </c>
      <c r="B383" s="731" t="s">
        <v>2680</v>
      </c>
      <c r="C383" s="55"/>
      <c r="D383" s="507"/>
      <c r="E383" s="504"/>
      <c r="F383" s="504"/>
      <c r="G383" s="504"/>
      <c r="H383" s="504"/>
      <c r="I383" s="501"/>
      <c r="J383" s="511"/>
      <c r="K383" s="506"/>
      <c r="L383" s="504"/>
      <c r="M383" s="504"/>
      <c r="N383" s="504"/>
      <c r="O383" s="504"/>
      <c r="P383" s="504"/>
    </row>
    <row r="384" spans="1:16" ht="15.75" customHeight="1">
      <c r="A384" s="733" t="s">
        <v>5723</v>
      </c>
      <c r="B384" s="731" t="s">
        <v>5754</v>
      </c>
      <c r="C384" s="55"/>
      <c r="D384" s="507"/>
      <c r="E384" s="504"/>
      <c r="F384" s="504"/>
      <c r="G384" s="504"/>
      <c r="H384" s="504"/>
      <c r="I384" s="501"/>
      <c r="J384" s="515"/>
      <c r="K384" s="506"/>
      <c r="L384" s="504"/>
      <c r="M384" s="504"/>
      <c r="N384" s="504"/>
      <c r="O384" s="504"/>
      <c r="P384" s="504"/>
    </row>
    <row r="385" spans="1:16" ht="15.75" customHeight="1">
      <c r="A385" s="733" t="s">
        <v>5723</v>
      </c>
      <c r="B385" s="731" t="s">
        <v>2680</v>
      </c>
      <c r="C385" s="55"/>
      <c r="D385" s="507"/>
      <c r="E385" s="504"/>
      <c r="F385" s="504"/>
      <c r="G385" s="504"/>
      <c r="H385" s="504"/>
      <c r="I385" s="501"/>
      <c r="J385" s="515"/>
      <c r="K385" s="506"/>
      <c r="L385" s="504"/>
      <c r="M385" s="504"/>
      <c r="N385" s="504"/>
      <c r="O385" s="504"/>
      <c r="P385" s="504"/>
    </row>
    <row r="386" spans="1:16" ht="15.75" customHeight="1">
      <c r="A386" s="734" t="s">
        <v>2677</v>
      </c>
      <c r="B386" s="731" t="s">
        <v>2839</v>
      </c>
      <c r="C386" s="55"/>
      <c r="D386" s="507"/>
      <c r="E386" s="504"/>
      <c r="F386" s="504"/>
      <c r="G386" s="504"/>
      <c r="H386" s="504"/>
      <c r="I386" s="501"/>
      <c r="J386" s="516"/>
      <c r="K386" s="506"/>
      <c r="L386" s="504"/>
      <c r="M386" s="504"/>
      <c r="N386" s="504"/>
      <c r="O386" s="504"/>
      <c r="P386" s="504"/>
    </row>
    <row r="387" spans="1:16" ht="15.75" customHeight="1">
      <c r="A387" s="734" t="s">
        <v>2677</v>
      </c>
      <c r="B387" s="731" t="s">
        <v>2840</v>
      </c>
      <c r="C387" s="55"/>
      <c r="D387" s="507"/>
      <c r="E387" s="504"/>
      <c r="F387" s="504"/>
      <c r="G387" s="504"/>
      <c r="H387" s="504"/>
      <c r="I387" s="501"/>
      <c r="J387" s="511"/>
      <c r="K387" s="506"/>
      <c r="L387" s="504"/>
      <c r="M387" s="504"/>
      <c r="N387" s="504"/>
      <c r="O387" s="504"/>
      <c r="P387" s="504"/>
    </row>
    <row r="388" spans="1:16" ht="15.45">
      <c r="A388" s="734" t="s">
        <v>2677</v>
      </c>
      <c r="B388" s="731" t="s">
        <v>2680</v>
      </c>
      <c r="C388" s="55"/>
      <c r="D388" s="507"/>
      <c r="E388" s="504"/>
      <c r="F388" s="504"/>
      <c r="G388" s="504"/>
      <c r="H388" s="504"/>
      <c r="I388" s="501"/>
      <c r="J388" s="517"/>
      <c r="K388" s="506"/>
      <c r="L388" s="504"/>
      <c r="M388" s="504"/>
      <c r="N388" s="504"/>
      <c r="O388" s="504"/>
      <c r="P388" s="504"/>
    </row>
    <row r="389" spans="1:16" ht="15.75" customHeight="1">
      <c r="A389" s="735" t="s">
        <v>2681</v>
      </c>
      <c r="B389" s="731" t="s">
        <v>2841</v>
      </c>
      <c r="C389" s="55"/>
      <c r="D389" s="507"/>
      <c r="E389" s="504"/>
      <c r="F389" s="504"/>
      <c r="G389" s="504"/>
      <c r="H389" s="504"/>
      <c r="I389" s="501"/>
      <c r="J389" s="512"/>
      <c r="K389" s="506"/>
      <c r="L389" s="504"/>
      <c r="M389" s="504"/>
      <c r="N389" s="504"/>
      <c r="O389" s="504"/>
      <c r="P389" s="504"/>
    </row>
    <row r="390" spans="1:16" ht="15.75" customHeight="1">
      <c r="A390" s="735" t="s">
        <v>2681</v>
      </c>
      <c r="B390" s="731" t="s">
        <v>2842</v>
      </c>
      <c r="C390" s="55"/>
      <c r="D390" s="507"/>
      <c r="E390" s="504"/>
      <c r="F390" s="504"/>
      <c r="G390" s="504"/>
      <c r="H390" s="504"/>
      <c r="I390" s="501"/>
      <c r="J390" s="512"/>
      <c r="K390" s="506"/>
      <c r="L390" s="504"/>
      <c r="M390" s="504"/>
      <c r="N390" s="504"/>
      <c r="O390" s="504"/>
      <c r="P390" s="504"/>
    </row>
    <row r="391" spans="1:16" ht="15.75" customHeight="1">
      <c r="A391" s="735" t="s">
        <v>2681</v>
      </c>
      <c r="B391" s="731" t="s">
        <v>2680</v>
      </c>
      <c r="C391" s="55"/>
      <c r="D391" s="507"/>
      <c r="E391" s="504"/>
      <c r="F391" s="504"/>
      <c r="G391" s="504"/>
      <c r="H391" s="504"/>
      <c r="I391" s="501"/>
      <c r="J391" s="513"/>
      <c r="K391" s="506"/>
      <c r="L391" s="504"/>
      <c r="M391" s="504"/>
      <c r="N391" s="504"/>
      <c r="O391" s="504"/>
      <c r="P391" s="504"/>
    </row>
    <row r="392" spans="1:16" ht="15.75" customHeight="1">
      <c r="A392" s="735" t="s">
        <v>2681</v>
      </c>
      <c r="B392" s="731" t="s">
        <v>2680</v>
      </c>
      <c r="C392" s="55"/>
      <c r="D392" s="507"/>
      <c r="E392" s="504"/>
      <c r="F392" s="504"/>
      <c r="G392" s="504"/>
      <c r="H392" s="504"/>
      <c r="I392" s="501"/>
      <c r="J392" s="513"/>
      <c r="K392" s="506"/>
      <c r="L392" s="504"/>
      <c r="M392" s="504"/>
      <c r="N392" s="504"/>
      <c r="O392" s="504"/>
      <c r="P392" s="504"/>
    </row>
    <row r="393" spans="1:16" ht="15.75" customHeight="1">
      <c r="A393" s="737" t="s">
        <v>2686</v>
      </c>
      <c r="B393" s="731" t="s">
        <v>2843</v>
      </c>
      <c r="C393" s="55"/>
      <c r="D393" s="507"/>
      <c r="E393" s="504"/>
      <c r="F393" s="504"/>
      <c r="G393" s="504"/>
      <c r="H393" s="504"/>
      <c r="I393" s="501"/>
      <c r="J393" s="513"/>
      <c r="K393" s="506"/>
      <c r="L393" s="504"/>
      <c r="M393" s="504"/>
      <c r="N393" s="504"/>
      <c r="O393" s="504"/>
      <c r="P393" s="504"/>
    </row>
    <row r="394" spans="1:16" ht="15.75" customHeight="1">
      <c r="A394" s="737" t="s">
        <v>2686</v>
      </c>
      <c r="B394" s="731" t="s">
        <v>2844</v>
      </c>
      <c r="C394" s="55"/>
      <c r="D394" s="507"/>
      <c r="E394" s="504"/>
      <c r="F394" s="504"/>
      <c r="G394" s="504"/>
      <c r="H394" s="504"/>
      <c r="I394" s="501"/>
      <c r="J394" s="514"/>
      <c r="K394" s="506"/>
      <c r="L394" s="504"/>
      <c r="M394" s="504"/>
      <c r="N394" s="504"/>
      <c r="O394" s="504"/>
      <c r="P394" s="504"/>
    </row>
    <row r="395" spans="1:16" ht="15.75" customHeight="1">
      <c r="A395" s="737" t="s">
        <v>2686</v>
      </c>
      <c r="B395" s="731" t="s">
        <v>2845</v>
      </c>
      <c r="C395" s="55"/>
      <c r="D395" s="507"/>
      <c r="E395" s="504"/>
      <c r="F395" s="504"/>
      <c r="G395" s="504"/>
      <c r="H395" s="504"/>
      <c r="I395" s="501"/>
      <c r="J395" s="514"/>
      <c r="K395" s="506"/>
      <c r="L395" s="504"/>
      <c r="M395" s="504"/>
      <c r="N395" s="504"/>
      <c r="O395" s="504"/>
      <c r="P395" s="504"/>
    </row>
    <row r="396" spans="1:16" ht="15.75" customHeight="1">
      <c r="A396" s="737" t="s">
        <v>2686</v>
      </c>
      <c r="B396" s="731" t="s">
        <v>2680</v>
      </c>
      <c r="C396" s="55"/>
      <c r="D396" s="507"/>
      <c r="E396" s="504"/>
      <c r="F396" s="504"/>
      <c r="G396" s="504"/>
      <c r="H396" s="504"/>
      <c r="I396" s="501"/>
      <c r="J396" s="514"/>
      <c r="K396" s="506"/>
      <c r="L396" s="504"/>
      <c r="M396" s="504"/>
      <c r="N396" s="504"/>
      <c r="O396" s="504"/>
      <c r="P396" s="504"/>
    </row>
    <row r="397" spans="1:16" ht="15.75" customHeight="1">
      <c r="A397" s="737" t="s">
        <v>2686</v>
      </c>
      <c r="B397" s="731" t="s">
        <v>2680</v>
      </c>
      <c r="C397" s="55"/>
      <c r="D397" s="507"/>
      <c r="E397" s="504"/>
      <c r="F397" s="504"/>
      <c r="G397" s="504"/>
      <c r="H397" s="504"/>
      <c r="I397" s="501"/>
      <c r="J397" s="514"/>
      <c r="K397" s="506"/>
      <c r="L397" s="504"/>
      <c r="M397" s="504"/>
      <c r="N397" s="504"/>
      <c r="O397" s="504"/>
      <c r="P397" s="504"/>
    </row>
    <row r="398" spans="1:16" ht="15.75" customHeight="1">
      <c r="A398" s="738" t="s">
        <v>2691</v>
      </c>
      <c r="B398" s="731" t="s">
        <v>2846</v>
      </c>
      <c r="C398" s="55"/>
      <c r="D398" s="507"/>
      <c r="E398" s="504"/>
      <c r="F398" s="504"/>
      <c r="G398" s="504"/>
      <c r="H398" s="504"/>
      <c r="I398" s="501"/>
      <c r="J398" s="511"/>
      <c r="K398" s="506"/>
      <c r="L398" s="504"/>
      <c r="M398" s="504"/>
      <c r="N398" s="504"/>
      <c r="O398" s="504"/>
      <c r="P398" s="504"/>
    </row>
    <row r="399" spans="1:16" ht="15.75" customHeight="1">
      <c r="A399" s="738" t="s">
        <v>2691</v>
      </c>
      <c r="B399" s="731" t="s">
        <v>2680</v>
      </c>
      <c r="C399" s="55"/>
      <c r="D399" s="507"/>
      <c r="E399" s="504"/>
      <c r="F399" s="504"/>
      <c r="G399" s="504"/>
      <c r="H399" s="504"/>
      <c r="I399" s="501"/>
      <c r="J399" s="511"/>
      <c r="K399" s="506"/>
      <c r="L399" s="504"/>
      <c r="M399" s="504"/>
      <c r="N399" s="504"/>
      <c r="O399" s="504"/>
      <c r="P399" s="504"/>
    </row>
    <row r="400" spans="1:16" ht="15.75" customHeight="1">
      <c r="A400" s="739" t="s">
        <v>2693</v>
      </c>
      <c r="B400" s="731" t="s">
        <v>2680</v>
      </c>
      <c r="C400" s="55"/>
      <c r="D400" s="507"/>
      <c r="E400" s="504"/>
      <c r="F400" s="504"/>
      <c r="G400" s="504"/>
      <c r="H400" s="504"/>
      <c r="I400" s="501"/>
      <c r="J400" s="511"/>
      <c r="K400" s="506"/>
      <c r="L400" s="504"/>
      <c r="M400" s="504"/>
      <c r="N400" s="504"/>
      <c r="O400" s="504"/>
      <c r="P400" s="504"/>
    </row>
    <row r="401" spans="1:16" ht="15.75" customHeight="1">
      <c r="A401" s="730"/>
      <c r="B401" s="730"/>
      <c r="C401" s="55"/>
      <c r="D401" s="507"/>
      <c r="E401" s="504"/>
      <c r="F401" s="504"/>
      <c r="G401" s="504"/>
      <c r="H401" s="504"/>
      <c r="I401" s="501"/>
      <c r="J401" s="511"/>
      <c r="K401" s="506"/>
      <c r="L401" s="504"/>
      <c r="M401" s="504"/>
      <c r="N401" s="504"/>
      <c r="O401" s="504"/>
      <c r="P401" s="504"/>
    </row>
    <row r="402" spans="1:16" ht="15.45">
      <c r="A402" s="729" t="s">
        <v>2847</v>
      </c>
      <c r="B402" s="731" t="s">
        <v>2674</v>
      </c>
      <c r="C402" s="55"/>
      <c r="D402" s="507"/>
      <c r="E402" s="504"/>
      <c r="F402" s="504"/>
      <c r="G402" s="504"/>
      <c r="H402" s="504"/>
      <c r="I402" s="501"/>
      <c r="J402" s="511"/>
      <c r="K402" s="506"/>
      <c r="L402" s="504"/>
      <c r="M402" s="504"/>
      <c r="N402" s="504"/>
      <c r="O402" s="504"/>
      <c r="P402" s="504"/>
    </row>
    <row r="403" spans="1:16" ht="15.75" customHeight="1">
      <c r="A403" s="732" t="s">
        <v>2675</v>
      </c>
      <c r="B403" s="731" t="s">
        <v>2848</v>
      </c>
      <c r="C403" s="55"/>
      <c r="D403" s="507"/>
      <c r="E403" s="504"/>
      <c r="F403" s="504"/>
      <c r="G403" s="504"/>
      <c r="H403" s="504"/>
      <c r="I403" s="501"/>
      <c r="J403" s="515"/>
      <c r="K403" s="506"/>
      <c r="L403" s="504"/>
      <c r="M403" s="504"/>
      <c r="N403" s="504"/>
      <c r="O403" s="504"/>
      <c r="P403" s="504"/>
    </row>
    <row r="404" spans="1:16" ht="15.75" customHeight="1">
      <c r="A404" s="732" t="s">
        <v>2675</v>
      </c>
      <c r="B404" s="731" t="s">
        <v>2849</v>
      </c>
      <c r="C404" s="55"/>
      <c r="D404" s="507"/>
      <c r="E404" s="504"/>
      <c r="F404" s="504"/>
      <c r="G404" s="504"/>
      <c r="H404" s="504"/>
      <c r="I404" s="501"/>
      <c r="J404" s="515"/>
      <c r="K404" s="506"/>
      <c r="L404" s="504"/>
      <c r="M404" s="504"/>
      <c r="N404" s="504"/>
      <c r="O404" s="504"/>
      <c r="P404" s="504"/>
    </row>
    <row r="405" spans="1:16" ht="15.75" customHeight="1">
      <c r="A405" s="733" t="s">
        <v>5723</v>
      </c>
      <c r="B405" s="731" t="s">
        <v>5755</v>
      </c>
      <c r="C405" s="55"/>
      <c r="D405" s="507"/>
      <c r="E405" s="504"/>
      <c r="F405" s="504"/>
      <c r="G405" s="504"/>
      <c r="H405" s="504"/>
      <c r="I405" s="501"/>
      <c r="J405" s="516"/>
      <c r="K405" s="506"/>
      <c r="L405" s="504"/>
      <c r="M405" s="504"/>
      <c r="N405" s="504"/>
      <c r="O405" s="504"/>
      <c r="P405" s="504"/>
    </row>
    <row r="406" spans="1:16" ht="15.75" customHeight="1">
      <c r="A406" s="733" t="s">
        <v>5723</v>
      </c>
      <c r="B406" s="731" t="s">
        <v>2680</v>
      </c>
      <c r="C406" s="55"/>
      <c r="D406" s="507"/>
      <c r="E406" s="504"/>
      <c r="F406" s="504"/>
      <c r="G406" s="504"/>
      <c r="H406" s="504"/>
      <c r="I406" s="501"/>
      <c r="J406" s="516"/>
      <c r="K406" s="506"/>
      <c r="L406" s="504"/>
      <c r="M406" s="504"/>
      <c r="N406" s="504"/>
      <c r="O406" s="504"/>
      <c r="P406" s="504"/>
    </row>
    <row r="407" spans="1:16" ht="15.45">
      <c r="A407" s="734" t="s">
        <v>2677</v>
      </c>
      <c r="B407" s="731" t="s">
        <v>2850</v>
      </c>
      <c r="C407" s="55"/>
      <c r="D407" s="507"/>
      <c r="E407" s="504"/>
      <c r="F407" s="504"/>
      <c r="G407" s="504"/>
      <c r="H407" s="504"/>
      <c r="I407" s="501"/>
      <c r="J407" s="517"/>
      <c r="K407" s="506"/>
      <c r="L407" s="504"/>
      <c r="M407" s="504"/>
      <c r="N407" s="504"/>
      <c r="O407" s="504"/>
      <c r="P407" s="504"/>
    </row>
    <row r="408" spans="1:16" ht="15.75" customHeight="1">
      <c r="A408" s="734" t="s">
        <v>2677</v>
      </c>
      <c r="B408" s="731" t="s">
        <v>2851</v>
      </c>
      <c r="C408" s="55"/>
      <c r="D408" s="507"/>
      <c r="E408" s="504"/>
      <c r="F408" s="504"/>
      <c r="G408" s="504"/>
      <c r="H408" s="504"/>
      <c r="I408" s="501"/>
      <c r="J408" s="512"/>
      <c r="K408" s="506"/>
      <c r="L408" s="504"/>
      <c r="M408" s="504"/>
      <c r="N408" s="504"/>
      <c r="O408" s="504"/>
      <c r="P408" s="504"/>
    </row>
    <row r="409" spans="1:16" ht="15.75" customHeight="1">
      <c r="A409" s="734" t="s">
        <v>2677</v>
      </c>
      <c r="B409" s="731" t="s">
        <v>2680</v>
      </c>
      <c r="C409" s="55"/>
      <c r="D409" s="507"/>
      <c r="E409" s="504"/>
      <c r="F409" s="504"/>
      <c r="G409" s="504"/>
      <c r="H409" s="504"/>
      <c r="I409" s="501"/>
      <c r="J409" s="512"/>
      <c r="K409" s="506"/>
      <c r="L409" s="504"/>
      <c r="M409" s="504"/>
      <c r="N409" s="504"/>
      <c r="O409" s="504"/>
      <c r="P409" s="504"/>
    </row>
    <row r="410" spans="1:16" ht="15.75" customHeight="1">
      <c r="A410" s="735" t="s">
        <v>2681</v>
      </c>
      <c r="B410" s="731" t="s">
        <v>2852</v>
      </c>
      <c r="C410" s="55"/>
      <c r="D410" s="507"/>
      <c r="E410" s="504"/>
      <c r="F410" s="504"/>
      <c r="G410" s="504"/>
      <c r="H410" s="504"/>
      <c r="I410" s="501"/>
      <c r="J410" s="513"/>
      <c r="K410" s="506"/>
      <c r="L410" s="504"/>
      <c r="M410" s="504"/>
      <c r="N410" s="504"/>
      <c r="O410" s="504"/>
      <c r="P410" s="504"/>
    </row>
    <row r="411" spans="1:16" ht="15.75" customHeight="1">
      <c r="A411" s="735" t="s">
        <v>2681</v>
      </c>
      <c r="B411" s="731" t="s">
        <v>2853</v>
      </c>
      <c r="C411" s="55"/>
      <c r="D411" s="507"/>
      <c r="E411" s="504"/>
      <c r="F411" s="504"/>
      <c r="G411" s="504"/>
      <c r="H411" s="504"/>
      <c r="I411" s="501"/>
      <c r="J411" s="513"/>
      <c r="K411" s="506"/>
      <c r="L411" s="504"/>
      <c r="M411" s="504"/>
      <c r="N411" s="504"/>
      <c r="O411" s="504"/>
      <c r="P411" s="504"/>
    </row>
    <row r="412" spans="1:16" ht="15.75" customHeight="1">
      <c r="A412" s="735" t="s">
        <v>2681</v>
      </c>
      <c r="B412" s="731" t="s">
        <v>2680</v>
      </c>
      <c r="C412" s="55"/>
      <c r="D412" s="507"/>
      <c r="E412" s="504"/>
      <c r="F412" s="504"/>
      <c r="G412" s="504"/>
      <c r="H412" s="504"/>
      <c r="I412" s="501"/>
      <c r="J412" s="513"/>
      <c r="K412" s="506"/>
      <c r="L412" s="504"/>
      <c r="M412" s="504"/>
      <c r="N412" s="504"/>
      <c r="O412" s="504"/>
      <c r="P412" s="504"/>
    </row>
    <row r="413" spans="1:16" ht="15.75" customHeight="1">
      <c r="A413" s="735" t="s">
        <v>2681</v>
      </c>
      <c r="B413" s="731" t="s">
        <v>2680</v>
      </c>
      <c r="C413" s="55"/>
      <c r="D413" s="507"/>
      <c r="E413" s="504"/>
      <c r="F413" s="504"/>
      <c r="G413" s="504"/>
      <c r="H413" s="504"/>
      <c r="I413" s="501"/>
      <c r="J413" s="514"/>
      <c r="K413" s="506"/>
      <c r="L413" s="504"/>
      <c r="M413" s="504"/>
      <c r="N413" s="504"/>
      <c r="O413" s="504"/>
      <c r="P413" s="504"/>
    </row>
    <row r="414" spans="1:16" ht="15.75" customHeight="1">
      <c r="A414" s="737" t="s">
        <v>2686</v>
      </c>
      <c r="B414" s="731" t="s">
        <v>2854</v>
      </c>
      <c r="C414" s="55"/>
      <c r="D414" s="507"/>
      <c r="E414" s="504"/>
      <c r="F414" s="504"/>
      <c r="G414" s="504"/>
      <c r="H414" s="504"/>
      <c r="I414" s="501"/>
      <c r="J414" s="514"/>
      <c r="K414" s="506"/>
      <c r="L414" s="504"/>
      <c r="M414" s="504"/>
      <c r="N414" s="504"/>
      <c r="O414" s="504"/>
      <c r="P414" s="504"/>
    </row>
    <row r="415" spans="1:16" ht="15.75" customHeight="1">
      <c r="A415" s="737" t="s">
        <v>2686</v>
      </c>
      <c r="B415" s="731" t="s">
        <v>2855</v>
      </c>
      <c r="C415" s="55"/>
      <c r="D415" s="507"/>
      <c r="E415" s="504"/>
      <c r="F415" s="504"/>
      <c r="G415" s="504"/>
      <c r="H415" s="504"/>
      <c r="I415" s="501"/>
      <c r="J415" s="514"/>
      <c r="K415" s="506"/>
      <c r="L415" s="504"/>
      <c r="M415" s="504"/>
      <c r="N415" s="504"/>
      <c r="O415" s="504"/>
      <c r="P415" s="504"/>
    </row>
    <row r="416" spans="1:16" ht="15.75" customHeight="1">
      <c r="A416" s="737" t="s">
        <v>2686</v>
      </c>
      <c r="B416" s="731" t="s">
        <v>2856</v>
      </c>
      <c r="C416" s="55"/>
      <c r="D416" s="507"/>
      <c r="E416" s="504"/>
      <c r="F416" s="504"/>
      <c r="G416" s="504"/>
      <c r="H416" s="504"/>
      <c r="I416" s="501"/>
      <c r="J416" s="514"/>
      <c r="K416" s="506"/>
      <c r="L416" s="504"/>
      <c r="M416" s="504"/>
      <c r="N416" s="504"/>
      <c r="O416" s="504"/>
      <c r="P416" s="504"/>
    </row>
    <row r="417" spans="1:16" ht="15.75" customHeight="1">
      <c r="A417" s="737" t="s">
        <v>2686</v>
      </c>
      <c r="B417" s="731" t="s">
        <v>2680</v>
      </c>
      <c r="C417" s="55"/>
      <c r="D417" s="507"/>
      <c r="E417" s="504"/>
      <c r="F417" s="504"/>
      <c r="G417" s="504"/>
      <c r="H417" s="504"/>
      <c r="I417" s="501"/>
      <c r="J417" s="511"/>
      <c r="K417" s="506"/>
      <c r="L417" s="504"/>
      <c r="M417" s="504"/>
      <c r="N417" s="504"/>
      <c r="O417" s="504"/>
      <c r="P417" s="504"/>
    </row>
    <row r="418" spans="1:16" ht="15.75" customHeight="1">
      <c r="A418" s="737" t="s">
        <v>2686</v>
      </c>
      <c r="B418" s="731" t="s">
        <v>2680</v>
      </c>
      <c r="C418" s="55"/>
      <c r="D418" s="507"/>
      <c r="E418" s="504"/>
      <c r="F418" s="504"/>
      <c r="G418" s="504"/>
      <c r="H418" s="504"/>
      <c r="I418" s="501"/>
      <c r="J418" s="511"/>
      <c r="K418" s="506"/>
      <c r="L418" s="504"/>
      <c r="M418" s="504"/>
      <c r="N418" s="504"/>
      <c r="O418" s="504"/>
      <c r="P418" s="504"/>
    </row>
    <row r="419" spans="1:16" ht="15.75" customHeight="1">
      <c r="A419" s="738" t="s">
        <v>2691</v>
      </c>
      <c r="B419" s="731" t="s">
        <v>2857</v>
      </c>
      <c r="C419" s="55"/>
      <c r="D419" s="507"/>
      <c r="E419" s="504"/>
      <c r="F419" s="504"/>
      <c r="G419" s="504"/>
      <c r="H419" s="504"/>
      <c r="I419" s="501"/>
      <c r="J419" s="511"/>
      <c r="K419" s="506"/>
      <c r="L419" s="504"/>
      <c r="M419" s="504"/>
      <c r="N419" s="504"/>
      <c r="O419" s="504"/>
      <c r="P419" s="504"/>
    </row>
    <row r="420" spans="1:16" ht="15.75" customHeight="1">
      <c r="A420" s="738" t="s">
        <v>2691</v>
      </c>
      <c r="B420" s="731" t="s">
        <v>2858</v>
      </c>
      <c r="C420" s="55"/>
      <c r="D420" s="507"/>
      <c r="E420" s="504"/>
      <c r="F420" s="504"/>
      <c r="G420" s="504"/>
      <c r="H420" s="504"/>
      <c r="I420" s="501"/>
      <c r="J420" s="511"/>
      <c r="K420" s="506"/>
      <c r="L420" s="504"/>
      <c r="M420" s="504"/>
      <c r="N420" s="504"/>
      <c r="O420" s="504"/>
      <c r="P420" s="504"/>
    </row>
    <row r="421" spans="1:16">
      <c r="A421" s="739" t="s">
        <v>2693</v>
      </c>
      <c r="B421" s="731" t="s">
        <v>2859</v>
      </c>
      <c r="C421" s="55"/>
      <c r="D421" s="507"/>
      <c r="E421" s="504"/>
      <c r="F421" s="504"/>
      <c r="G421" s="504"/>
      <c r="H421" s="504"/>
      <c r="I421" s="501"/>
      <c r="J421" s="511"/>
      <c r="K421" s="506"/>
      <c r="L421" s="504"/>
      <c r="M421" s="504"/>
      <c r="N421" s="504"/>
      <c r="O421" s="504"/>
      <c r="P421" s="504"/>
    </row>
    <row r="422" spans="1:16" ht="15.75" customHeight="1">
      <c r="A422" s="730"/>
      <c r="B422" s="730"/>
      <c r="C422" s="55"/>
      <c r="D422" s="507"/>
      <c r="E422" s="504"/>
      <c r="F422" s="504"/>
      <c r="G422" s="504"/>
      <c r="H422" s="504"/>
      <c r="I422" s="501"/>
      <c r="J422" s="515"/>
      <c r="K422" s="506"/>
      <c r="L422" s="504"/>
      <c r="M422" s="504"/>
      <c r="N422" s="504"/>
      <c r="O422" s="504"/>
      <c r="P422" s="504"/>
    </row>
    <row r="423" spans="1:16" ht="15.75" customHeight="1">
      <c r="A423" s="729" t="s">
        <v>2860</v>
      </c>
      <c r="B423" s="731" t="s">
        <v>2674</v>
      </c>
      <c r="C423" s="55"/>
      <c r="D423" s="507"/>
      <c r="E423" s="504"/>
      <c r="F423" s="504"/>
      <c r="G423" s="504"/>
      <c r="H423" s="504"/>
      <c r="I423" s="501"/>
      <c r="J423" s="515"/>
      <c r="K423" s="506"/>
      <c r="L423" s="504"/>
      <c r="M423" s="504"/>
      <c r="N423" s="504"/>
      <c r="O423" s="504"/>
      <c r="P423" s="504"/>
    </row>
    <row r="424" spans="1:16" ht="15.75" customHeight="1">
      <c r="A424" s="732" t="s">
        <v>2675</v>
      </c>
      <c r="B424" s="731" t="s">
        <v>2861</v>
      </c>
      <c r="C424" s="55"/>
      <c r="D424" s="507"/>
      <c r="E424" s="504"/>
      <c r="F424" s="504"/>
      <c r="G424" s="504"/>
      <c r="H424" s="504"/>
      <c r="I424" s="501"/>
      <c r="J424" s="516"/>
      <c r="K424" s="506"/>
      <c r="L424" s="504"/>
      <c r="M424" s="504"/>
      <c r="N424" s="504"/>
      <c r="O424" s="504"/>
      <c r="P424" s="504"/>
    </row>
    <row r="425" spans="1:16" ht="15.75" customHeight="1">
      <c r="A425" s="732" t="s">
        <v>2675</v>
      </c>
      <c r="B425" s="731" t="s">
        <v>2680</v>
      </c>
      <c r="C425" s="55"/>
      <c r="D425" s="507"/>
      <c r="E425" s="504"/>
      <c r="F425" s="504"/>
      <c r="G425" s="504"/>
      <c r="H425" s="504"/>
      <c r="I425" s="501"/>
      <c r="J425" s="505"/>
      <c r="K425" s="506"/>
      <c r="L425" s="504"/>
      <c r="M425" s="504"/>
      <c r="N425" s="504"/>
      <c r="O425" s="504"/>
      <c r="P425" s="504"/>
    </row>
    <row r="426" spans="1:16" ht="15.45">
      <c r="A426" s="733" t="s">
        <v>5723</v>
      </c>
      <c r="B426" s="731" t="s">
        <v>5756</v>
      </c>
      <c r="C426" s="55"/>
      <c r="D426" s="507"/>
      <c r="E426" s="504"/>
      <c r="F426" s="504"/>
      <c r="G426" s="504"/>
      <c r="H426" s="504"/>
      <c r="I426" s="501"/>
      <c r="J426" s="517"/>
      <c r="K426" s="506"/>
      <c r="L426" s="504"/>
      <c r="M426" s="504"/>
      <c r="N426" s="504"/>
      <c r="O426" s="504"/>
      <c r="P426" s="504"/>
    </row>
    <row r="427" spans="1:16" ht="15.75" customHeight="1">
      <c r="A427" s="733" t="s">
        <v>5723</v>
      </c>
      <c r="B427" s="731" t="s">
        <v>2680</v>
      </c>
      <c r="C427" s="55"/>
      <c r="D427" s="507"/>
      <c r="E427" s="504"/>
      <c r="F427" s="504"/>
      <c r="G427" s="504"/>
      <c r="H427" s="504"/>
      <c r="I427" s="501"/>
      <c r="J427" s="512"/>
      <c r="K427" s="506"/>
      <c r="L427" s="504"/>
      <c r="M427" s="504"/>
      <c r="N427" s="504"/>
      <c r="O427" s="504"/>
      <c r="P427" s="504"/>
    </row>
    <row r="428" spans="1:16" ht="15.75" customHeight="1">
      <c r="A428" s="734" t="s">
        <v>2677</v>
      </c>
      <c r="B428" s="731" t="s">
        <v>2680</v>
      </c>
      <c r="C428" s="55"/>
      <c r="D428" s="507"/>
      <c r="E428" s="504"/>
      <c r="F428" s="504"/>
      <c r="G428" s="504"/>
      <c r="H428" s="504"/>
      <c r="I428" s="501"/>
      <c r="J428" s="512"/>
      <c r="K428" s="506"/>
      <c r="L428" s="504"/>
      <c r="M428" s="504"/>
      <c r="N428" s="504"/>
      <c r="O428" s="504"/>
      <c r="P428" s="504"/>
    </row>
    <row r="429" spans="1:16" ht="15.75" customHeight="1">
      <c r="A429" s="734" t="s">
        <v>2677</v>
      </c>
      <c r="B429" s="731" t="s">
        <v>2862</v>
      </c>
      <c r="C429" s="55"/>
      <c r="D429" s="507"/>
      <c r="E429" s="504"/>
      <c r="F429" s="504"/>
      <c r="G429" s="504"/>
      <c r="H429" s="504"/>
      <c r="I429" s="501"/>
      <c r="J429" s="513"/>
      <c r="K429" s="506"/>
      <c r="L429" s="504"/>
      <c r="M429" s="504"/>
      <c r="N429" s="504"/>
      <c r="O429" s="504"/>
      <c r="P429" s="504"/>
    </row>
    <row r="430" spans="1:16" ht="15.75" customHeight="1">
      <c r="A430" s="734" t="s">
        <v>2677</v>
      </c>
      <c r="B430" s="731" t="s">
        <v>2680</v>
      </c>
      <c r="C430" s="55"/>
      <c r="D430" s="507"/>
      <c r="E430" s="504"/>
      <c r="F430" s="504"/>
      <c r="G430" s="504"/>
      <c r="H430" s="504"/>
      <c r="I430" s="501"/>
      <c r="J430" s="513"/>
      <c r="K430" s="506"/>
      <c r="L430" s="504"/>
      <c r="M430" s="504"/>
      <c r="N430" s="504"/>
      <c r="O430" s="504"/>
      <c r="P430" s="504"/>
    </row>
    <row r="431" spans="1:16" ht="15.75" customHeight="1">
      <c r="A431" s="735" t="s">
        <v>2681</v>
      </c>
      <c r="B431" s="731" t="s">
        <v>2863</v>
      </c>
      <c r="C431" s="55"/>
      <c r="D431" s="507"/>
      <c r="E431" s="504"/>
      <c r="F431" s="504"/>
      <c r="G431" s="504"/>
      <c r="H431" s="504"/>
      <c r="I431" s="501"/>
      <c r="J431" s="513"/>
      <c r="K431" s="506"/>
      <c r="L431" s="504"/>
      <c r="M431" s="504"/>
      <c r="N431" s="504"/>
      <c r="O431" s="504"/>
      <c r="P431" s="504"/>
    </row>
    <row r="432" spans="1:16" ht="15.75" customHeight="1">
      <c r="A432" s="735" t="s">
        <v>2681</v>
      </c>
      <c r="B432" s="731" t="s">
        <v>2680</v>
      </c>
      <c r="C432" s="55"/>
      <c r="D432" s="507"/>
      <c r="E432" s="504"/>
      <c r="F432" s="504"/>
      <c r="G432" s="504"/>
      <c r="H432" s="504"/>
      <c r="I432" s="501"/>
      <c r="J432" s="514"/>
      <c r="K432" s="506"/>
      <c r="L432" s="504"/>
      <c r="M432" s="504"/>
      <c r="N432" s="504"/>
      <c r="O432" s="504"/>
      <c r="P432" s="504"/>
    </row>
    <row r="433" spans="1:16" ht="15.75" customHeight="1">
      <c r="A433" s="735" t="s">
        <v>2681</v>
      </c>
      <c r="B433" s="731" t="s">
        <v>2680</v>
      </c>
      <c r="C433" s="55"/>
      <c r="D433" s="507"/>
      <c r="E433" s="504"/>
      <c r="F433" s="504"/>
      <c r="G433" s="504"/>
      <c r="H433" s="504"/>
      <c r="I433" s="501"/>
      <c r="J433" s="514"/>
      <c r="K433" s="506"/>
      <c r="L433" s="504"/>
      <c r="M433" s="504"/>
      <c r="N433" s="504"/>
      <c r="O433" s="504"/>
      <c r="P433" s="504"/>
    </row>
    <row r="434" spans="1:16" ht="15.75" customHeight="1">
      <c r="A434" s="735" t="s">
        <v>2681</v>
      </c>
      <c r="B434" s="731" t="s">
        <v>2680</v>
      </c>
      <c r="C434" s="55"/>
      <c r="D434" s="507"/>
      <c r="E434" s="504"/>
      <c r="F434" s="504"/>
      <c r="G434" s="504"/>
      <c r="H434" s="504"/>
      <c r="I434" s="501"/>
      <c r="J434" s="514"/>
      <c r="K434" s="506"/>
      <c r="L434" s="504"/>
      <c r="M434" s="504"/>
      <c r="N434" s="504"/>
      <c r="O434" s="504"/>
      <c r="P434" s="504"/>
    </row>
    <row r="435" spans="1:16" ht="15.75" customHeight="1">
      <c r="A435" s="737" t="s">
        <v>2686</v>
      </c>
      <c r="B435" s="731" t="s">
        <v>2864</v>
      </c>
      <c r="C435" s="55"/>
      <c r="D435" s="507"/>
      <c r="E435" s="504"/>
      <c r="F435" s="504"/>
      <c r="G435" s="504"/>
      <c r="H435" s="504"/>
      <c r="I435" s="501"/>
      <c r="J435" s="514"/>
      <c r="K435" s="506"/>
      <c r="L435" s="504"/>
      <c r="M435" s="504"/>
      <c r="N435" s="504"/>
      <c r="O435" s="504"/>
      <c r="P435" s="504"/>
    </row>
    <row r="436" spans="1:16" ht="15.75" customHeight="1">
      <c r="A436" s="737" t="s">
        <v>2686</v>
      </c>
      <c r="B436" s="731" t="s">
        <v>2680</v>
      </c>
      <c r="C436" s="55"/>
      <c r="D436" s="507"/>
      <c r="E436" s="504"/>
      <c r="F436" s="504"/>
      <c r="G436" s="504"/>
      <c r="H436" s="504"/>
      <c r="I436" s="501"/>
      <c r="J436" s="511"/>
      <c r="K436" s="506"/>
      <c r="L436" s="504"/>
      <c r="M436" s="504"/>
      <c r="N436" s="504"/>
      <c r="O436" s="504"/>
      <c r="P436" s="504"/>
    </row>
    <row r="437" spans="1:16" ht="15.75" customHeight="1">
      <c r="A437" s="737" t="s">
        <v>2686</v>
      </c>
      <c r="B437" s="731" t="s">
        <v>2680</v>
      </c>
      <c r="C437" s="55"/>
      <c r="D437" s="507"/>
      <c r="E437" s="504"/>
      <c r="F437" s="504"/>
      <c r="G437" s="504"/>
      <c r="H437" s="504"/>
      <c r="I437" s="501"/>
      <c r="J437" s="511"/>
      <c r="K437" s="506"/>
      <c r="L437" s="504"/>
      <c r="M437" s="504"/>
      <c r="N437" s="504"/>
      <c r="O437" s="504"/>
      <c r="P437" s="504"/>
    </row>
    <row r="438" spans="1:16" ht="15.75" customHeight="1">
      <c r="A438" s="737" t="s">
        <v>2686</v>
      </c>
      <c r="B438" s="731" t="s">
        <v>2680</v>
      </c>
      <c r="C438" s="55"/>
      <c r="D438" s="507"/>
      <c r="E438" s="504"/>
      <c r="F438" s="504"/>
      <c r="G438" s="504"/>
      <c r="H438" s="504"/>
      <c r="I438" s="501"/>
      <c r="J438" s="511"/>
      <c r="K438" s="506"/>
      <c r="L438" s="504"/>
      <c r="M438" s="504"/>
      <c r="N438" s="504"/>
      <c r="O438" s="504"/>
      <c r="P438" s="504"/>
    </row>
    <row r="439" spans="1:16" ht="15.75" customHeight="1">
      <c r="A439" s="737" t="s">
        <v>2686</v>
      </c>
      <c r="B439" s="731" t="s">
        <v>2680</v>
      </c>
      <c r="C439" s="55"/>
      <c r="D439" s="507"/>
      <c r="E439" s="504"/>
      <c r="F439" s="504"/>
      <c r="G439" s="504"/>
      <c r="H439" s="504"/>
      <c r="I439" s="501"/>
      <c r="J439" s="511"/>
      <c r="K439" s="506"/>
      <c r="L439" s="504"/>
      <c r="M439" s="504"/>
      <c r="N439" s="504"/>
      <c r="O439" s="504"/>
      <c r="P439" s="504"/>
    </row>
    <row r="440" spans="1:16">
      <c r="A440" s="738" t="s">
        <v>2691</v>
      </c>
      <c r="B440" s="731" t="s">
        <v>2680</v>
      </c>
      <c r="C440" s="55"/>
      <c r="D440" s="507"/>
      <c r="E440" s="504"/>
      <c r="F440" s="504"/>
      <c r="G440" s="504"/>
      <c r="H440" s="504"/>
      <c r="I440" s="501"/>
      <c r="J440" s="511"/>
      <c r="K440" s="506"/>
      <c r="L440" s="504"/>
      <c r="M440" s="504"/>
      <c r="N440" s="504"/>
      <c r="O440" s="504"/>
      <c r="P440" s="504"/>
    </row>
    <row r="441" spans="1:16" ht="15.75" customHeight="1">
      <c r="A441" s="738" t="s">
        <v>2691</v>
      </c>
      <c r="B441" s="731" t="s">
        <v>2680</v>
      </c>
      <c r="C441" s="55"/>
      <c r="D441" s="507"/>
      <c r="E441" s="504"/>
      <c r="F441" s="504"/>
      <c r="G441" s="504"/>
      <c r="H441" s="504"/>
      <c r="I441" s="501"/>
      <c r="J441" s="515"/>
      <c r="K441" s="506"/>
      <c r="L441" s="504"/>
      <c r="M441" s="504"/>
      <c r="N441" s="504"/>
      <c r="O441" s="504"/>
      <c r="P441" s="504"/>
    </row>
    <row r="442" spans="1:16" ht="15.75" customHeight="1">
      <c r="A442" s="739" t="s">
        <v>2693</v>
      </c>
      <c r="B442" s="731" t="s">
        <v>2680</v>
      </c>
      <c r="C442" s="55"/>
      <c r="D442" s="507"/>
      <c r="E442" s="504"/>
      <c r="F442" s="504"/>
      <c r="G442" s="504"/>
      <c r="H442" s="504"/>
      <c r="I442" s="501"/>
      <c r="J442" s="515"/>
      <c r="K442" s="506"/>
      <c r="L442" s="504"/>
      <c r="M442" s="504"/>
      <c r="N442" s="504"/>
      <c r="O442" s="504"/>
      <c r="P442" s="504"/>
    </row>
    <row r="443" spans="1:16" ht="15.75" customHeight="1">
      <c r="A443" s="730"/>
      <c r="B443" s="730"/>
      <c r="C443" s="55"/>
      <c r="D443" s="507"/>
      <c r="E443" s="504"/>
      <c r="F443" s="504"/>
      <c r="G443" s="504"/>
      <c r="H443" s="504"/>
      <c r="I443" s="501"/>
      <c r="J443" s="516"/>
      <c r="K443" s="506"/>
      <c r="L443" s="504"/>
      <c r="M443" s="504"/>
      <c r="N443" s="504"/>
      <c r="O443" s="504"/>
      <c r="P443" s="504"/>
    </row>
    <row r="444" spans="1:16" ht="15.75" customHeight="1">
      <c r="A444" s="729" t="s">
        <v>2865</v>
      </c>
      <c r="B444" s="731" t="s">
        <v>2674</v>
      </c>
      <c r="C444" s="55"/>
      <c r="D444" s="507"/>
      <c r="E444" s="504"/>
      <c r="F444" s="504"/>
      <c r="G444" s="504"/>
      <c r="H444" s="504"/>
      <c r="I444" s="501"/>
      <c r="J444" s="505"/>
      <c r="K444" s="506"/>
      <c r="L444" s="504"/>
      <c r="M444" s="504"/>
      <c r="N444" s="504"/>
      <c r="O444" s="504"/>
      <c r="P444" s="504"/>
    </row>
    <row r="445" spans="1:16" ht="15.45">
      <c r="A445" s="732" t="s">
        <v>2675</v>
      </c>
      <c r="B445" s="731" t="s">
        <v>2866</v>
      </c>
      <c r="C445" s="55"/>
      <c r="D445" s="507"/>
      <c r="E445" s="504"/>
      <c r="F445" s="504"/>
      <c r="G445" s="504"/>
      <c r="H445" s="504"/>
      <c r="I445" s="501"/>
      <c r="J445" s="517"/>
      <c r="K445" s="506"/>
      <c r="L445" s="504"/>
      <c r="M445" s="504"/>
      <c r="N445" s="504"/>
      <c r="O445" s="504"/>
      <c r="P445" s="504"/>
    </row>
    <row r="446" spans="1:16" ht="15.75" customHeight="1">
      <c r="A446" s="732" t="s">
        <v>2675</v>
      </c>
      <c r="B446" s="731" t="s">
        <v>2680</v>
      </c>
      <c r="C446" s="55"/>
      <c r="D446" s="507"/>
      <c r="E446" s="504"/>
      <c r="F446" s="504"/>
      <c r="G446" s="504"/>
      <c r="H446" s="504"/>
      <c r="I446" s="501"/>
      <c r="J446" s="512"/>
      <c r="K446" s="506"/>
      <c r="L446" s="504"/>
      <c r="M446" s="504"/>
      <c r="N446" s="504"/>
      <c r="O446" s="504"/>
      <c r="P446" s="504"/>
    </row>
    <row r="447" spans="1:16" ht="15.75" customHeight="1">
      <c r="A447" s="733" t="s">
        <v>5723</v>
      </c>
      <c r="B447" s="731" t="s">
        <v>5757</v>
      </c>
      <c r="C447" s="55"/>
      <c r="D447" s="507"/>
      <c r="E447" s="504"/>
      <c r="F447" s="504"/>
      <c r="G447" s="504"/>
      <c r="H447" s="504"/>
      <c r="I447" s="501"/>
      <c r="J447" s="512"/>
      <c r="K447" s="506"/>
      <c r="L447" s="504"/>
      <c r="M447" s="504"/>
      <c r="N447" s="504"/>
      <c r="O447" s="504"/>
      <c r="P447" s="504"/>
    </row>
    <row r="448" spans="1:16" ht="15.75" customHeight="1">
      <c r="A448" s="733" t="s">
        <v>5723</v>
      </c>
      <c r="B448" s="731" t="s">
        <v>2680</v>
      </c>
      <c r="C448" s="55"/>
      <c r="D448" s="507"/>
      <c r="E448" s="504"/>
      <c r="F448" s="504"/>
      <c r="G448" s="504"/>
      <c r="H448" s="504"/>
      <c r="I448" s="501"/>
      <c r="J448" s="513"/>
      <c r="K448" s="506"/>
      <c r="L448" s="504"/>
      <c r="M448" s="504"/>
      <c r="N448" s="504"/>
      <c r="O448" s="504"/>
      <c r="P448" s="504"/>
    </row>
    <row r="449" spans="1:16" ht="15.75" customHeight="1">
      <c r="A449" s="734" t="s">
        <v>2677</v>
      </c>
      <c r="B449" s="731" t="s">
        <v>2867</v>
      </c>
      <c r="C449" s="55"/>
      <c r="D449" s="507"/>
      <c r="E449" s="504"/>
      <c r="F449" s="504"/>
      <c r="G449" s="504"/>
      <c r="H449" s="504"/>
      <c r="I449" s="501"/>
      <c r="J449" s="513"/>
      <c r="K449" s="506"/>
      <c r="L449" s="504"/>
      <c r="M449" s="504"/>
      <c r="N449" s="504"/>
      <c r="O449" s="504"/>
      <c r="P449" s="504"/>
    </row>
    <row r="450" spans="1:16" ht="15.75" customHeight="1">
      <c r="A450" s="734" t="s">
        <v>2677</v>
      </c>
      <c r="B450" s="731" t="s">
        <v>2680</v>
      </c>
      <c r="C450" s="55"/>
      <c r="D450" s="507"/>
      <c r="E450" s="504"/>
      <c r="F450" s="504"/>
      <c r="G450" s="504"/>
      <c r="H450" s="504"/>
      <c r="I450" s="501"/>
      <c r="J450" s="513"/>
      <c r="K450" s="506"/>
      <c r="L450" s="504"/>
      <c r="M450" s="504"/>
      <c r="N450" s="504"/>
      <c r="O450" s="504"/>
      <c r="P450" s="504"/>
    </row>
    <row r="451" spans="1:16" ht="15.75" customHeight="1">
      <c r="A451" s="734" t="s">
        <v>2677</v>
      </c>
      <c r="B451" s="731" t="s">
        <v>2680</v>
      </c>
      <c r="C451" s="55"/>
      <c r="D451" s="507"/>
      <c r="E451" s="504"/>
      <c r="F451" s="504"/>
      <c r="G451" s="504"/>
      <c r="H451" s="504"/>
      <c r="I451" s="501"/>
      <c r="J451" s="514"/>
      <c r="K451" s="506"/>
      <c r="L451" s="504"/>
      <c r="M451" s="504"/>
      <c r="N451" s="504"/>
      <c r="O451" s="504"/>
      <c r="P451" s="504"/>
    </row>
    <row r="452" spans="1:16" ht="15.75" customHeight="1">
      <c r="A452" s="735" t="s">
        <v>2681</v>
      </c>
      <c r="B452" s="731" t="s">
        <v>2680</v>
      </c>
      <c r="C452" s="55"/>
      <c r="D452" s="507"/>
      <c r="E452" s="504"/>
      <c r="F452" s="504"/>
      <c r="G452" s="504"/>
      <c r="H452" s="504"/>
      <c r="I452" s="501"/>
      <c r="J452" s="514"/>
      <c r="K452" s="506"/>
      <c r="L452" s="504"/>
      <c r="M452" s="504"/>
      <c r="N452" s="504"/>
      <c r="O452" s="504"/>
      <c r="P452" s="504"/>
    </row>
    <row r="453" spans="1:16" ht="15.75" customHeight="1">
      <c r="A453" s="735" t="s">
        <v>2681</v>
      </c>
      <c r="B453" s="731" t="s">
        <v>2680</v>
      </c>
      <c r="C453" s="55"/>
      <c r="D453" s="507"/>
      <c r="E453" s="504"/>
      <c r="F453" s="504"/>
      <c r="G453" s="504"/>
      <c r="H453" s="504"/>
      <c r="I453" s="501"/>
      <c r="J453" s="514"/>
      <c r="K453" s="506"/>
      <c r="L453" s="504"/>
      <c r="M453" s="504"/>
      <c r="N453" s="504"/>
      <c r="O453" s="504"/>
      <c r="P453" s="504"/>
    </row>
    <row r="454" spans="1:16" ht="15.75" customHeight="1">
      <c r="A454" s="735" t="s">
        <v>2681</v>
      </c>
      <c r="B454" s="731" t="s">
        <v>2868</v>
      </c>
      <c r="C454" s="55"/>
      <c r="D454" s="507"/>
      <c r="E454" s="504"/>
      <c r="F454" s="504"/>
      <c r="G454" s="504"/>
      <c r="H454" s="504"/>
      <c r="I454" s="501"/>
      <c r="J454" s="514"/>
      <c r="K454" s="506"/>
      <c r="L454" s="504"/>
      <c r="M454" s="504"/>
      <c r="N454" s="504"/>
      <c r="O454" s="504"/>
      <c r="P454" s="504"/>
    </row>
    <row r="455" spans="1:16" ht="15.75" customHeight="1">
      <c r="A455" s="735" t="s">
        <v>2681</v>
      </c>
      <c r="B455" s="731" t="s">
        <v>2680</v>
      </c>
      <c r="C455" s="55"/>
      <c r="D455" s="507"/>
      <c r="E455" s="504"/>
      <c r="F455" s="504"/>
      <c r="G455" s="504"/>
      <c r="H455" s="504"/>
      <c r="I455" s="501"/>
      <c r="J455" s="511"/>
      <c r="K455" s="506"/>
      <c r="L455" s="504"/>
      <c r="M455" s="504"/>
      <c r="N455" s="504"/>
      <c r="O455" s="504"/>
      <c r="P455" s="504"/>
    </row>
    <row r="456" spans="1:16" ht="15.75" customHeight="1">
      <c r="A456" s="737" t="s">
        <v>2686</v>
      </c>
      <c r="B456" s="731" t="s">
        <v>2680</v>
      </c>
      <c r="C456" s="55"/>
      <c r="D456" s="507"/>
      <c r="E456" s="504"/>
      <c r="F456" s="504"/>
      <c r="G456" s="504"/>
      <c r="H456" s="504"/>
      <c r="I456" s="501"/>
      <c r="J456" s="511"/>
      <c r="K456" s="506"/>
      <c r="L456" s="504"/>
      <c r="M456" s="504"/>
      <c r="N456" s="504"/>
      <c r="O456" s="504"/>
      <c r="P456" s="504"/>
    </row>
    <row r="457" spans="1:16" ht="15.75" customHeight="1">
      <c r="A457" s="737" t="s">
        <v>2686</v>
      </c>
      <c r="B457" s="731" t="s">
        <v>2680</v>
      </c>
      <c r="C457" s="55"/>
      <c r="D457" s="507"/>
      <c r="E457" s="504"/>
      <c r="F457" s="504"/>
      <c r="G457" s="504"/>
      <c r="H457" s="504"/>
      <c r="I457" s="501"/>
      <c r="J457" s="511"/>
      <c r="K457" s="506"/>
      <c r="L457" s="504"/>
      <c r="M457" s="504"/>
      <c r="N457" s="504"/>
      <c r="O457" s="504"/>
      <c r="P457" s="504"/>
    </row>
    <row r="458" spans="1:16" ht="15.75" customHeight="1">
      <c r="A458" s="737" t="s">
        <v>2686</v>
      </c>
      <c r="B458" s="731" t="s">
        <v>2869</v>
      </c>
      <c r="C458" s="55"/>
      <c r="D458" s="507"/>
      <c r="E458" s="504"/>
      <c r="F458" s="504"/>
      <c r="G458" s="504"/>
      <c r="H458" s="504"/>
      <c r="I458" s="501"/>
      <c r="J458" s="511"/>
      <c r="K458" s="506"/>
      <c r="L458" s="504"/>
      <c r="M458" s="504"/>
      <c r="N458" s="504"/>
      <c r="O458" s="504"/>
      <c r="P458" s="504"/>
    </row>
    <row r="459" spans="1:16">
      <c r="A459" s="737" t="s">
        <v>2686</v>
      </c>
      <c r="B459" s="731" t="s">
        <v>2870</v>
      </c>
      <c r="C459" s="55"/>
      <c r="D459" s="507"/>
      <c r="E459" s="504"/>
      <c r="F459" s="504"/>
      <c r="G459" s="504"/>
      <c r="H459" s="504"/>
      <c r="I459" s="501"/>
      <c r="J459" s="511"/>
      <c r="K459" s="506"/>
      <c r="L459" s="504"/>
      <c r="M459" s="504"/>
      <c r="N459" s="504"/>
      <c r="O459" s="504"/>
      <c r="P459" s="504"/>
    </row>
    <row r="460" spans="1:16" ht="15.75" customHeight="1">
      <c r="A460" s="737" t="s">
        <v>2686</v>
      </c>
      <c r="B460" s="731" t="s">
        <v>2680</v>
      </c>
      <c r="C460" s="55"/>
      <c r="D460" s="507"/>
      <c r="E460" s="504"/>
      <c r="F460" s="504"/>
      <c r="G460" s="504"/>
      <c r="H460" s="504"/>
      <c r="I460" s="501"/>
      <c r="J460" s="515"/>
      <c r="K460" s="506"/>
      <c r="L460" s="504"/>
      <c r="M460" s="504"/>
      <c r="N460" s="504"/>
      <c r="O460" s="504"/>
      <c r="P460" s="504"/>
    </row>
    <row r="461" spans="1:16" ht="15.75" customHeight="1">
      <c r="A461" s="738" t="s">
        <v>2691</v>
      </c>
      <c r="B461" s="731" t="s">
        <v>2871</v>
      </c>
      <c r="C461" s="55"/>
      <c r="D461" s="507"/>
      <c r="E461" s="504"/>
      <c r="F461" s="504"/>
      <c r="G461" s="504"/>
      <c r="H461" s="504"/>
      <c r="I461" s="501"/>
      <c r="J461" s="515"/>
      <c r="K461" s="506"/>
      <c r="L461" s="504"/>
      <c r="M461" s="504"/>
      <c r="N461" s="504"/>
      <c r="O461" s="504"/>
      <c r="P461" s="504"/>
    </row>
    <row r="462" spans="1:16" ht="15.75" customHeight="1">
      <c r="A462" s="738" t="s">
        <v>2691</v>
      </c>
      <c r="B462" s="731" t="s">
        <v>2680</v>
      </c>
      <c r="C462" s="55"/>
      <c r="D462" s="507"/>
      <c r="E462" s="504"/>
      <c r="F462" s="504"/>
      <c r="G462" s="504"/>
      <c r="H462" s="504"/>
      <c r="I462" s="501"/>
      <c r="J462" s="516"/>
      <c r="K462" s="506"/>
      <c r="L462" s="504"/>
      <c r="M462" s="504"/>
      <c r="N462" s="504"/>
      <c r="O462" s="504"/>
      <c r="P462" s="504"/>
    </row>
    <row r="463" spans="1:16" ht="15.75" customHeight="1">
      <c r="A463" s="739" t="s">
        <v>2693</v>
      </c>
      <c r="B463" s="731" t="s">
        <v>2680</v>
      </c>
      <c r="C463" s="55"/>
      <c r="D463" s="507"/>
      <c r="E463" s="504"/>
      <c r="F463" s="504"/>
      <c r="G463" s="504"/>
      <c r="H463" s="504"/>
      <c r="I463" s="501"/>
      <c r="J463" s="505"/>
      <c r="K463" s="506"/>
      <c r="L463" s="504"/>
      <c r="M463" s="504"/>
      <c r="N463" s="504"/>
      <c r="O463" s="504"/>
      <c r="P463" s="504"/>
    </row>
    <row r="464" spans="1:16" ht="15.45">
      <c r="A464" s="740"/>
      <c r="B464" s="559"/>
      <c r="C464" s="55"/>
      <c r="D464" s="507"/>
      <c r="E464" s="504"/>
      <c r="F464" s="504"/>
      <c r="G464" s="504"/>
      <c r="H464" s="504"/>
      <c r="I464" s="501"/>
      <c r="J464" s="517"/>
      <c r="K464" s="506"/>
      <c r="L464" s="504"/>
      <c r="M464" s="504"/>
      <c r="N464" s="504"/>
      <c r="O464" s="504"/>
      <c r="P464" s="504"/>
    </row>
    <row r="465" spans="1:16" ht="15.75" customHeight="1">
      <c r="A465" s="729" t="s">
        <v>2872</v>
      </c>
      <c r="B465" s="731" t="s">
        <v>2674</v>
      </c>
      <c r="C465" s="55"/>
      <c r="D465" s="507"/>
      <c r="E465" s="504"/>
      <c r="F465" s="504"/>
      <c r="G465" s="504"/>
      <c r="H465" s="504"/>
      <c r="I465" s="501"/>
      <c r="J465" s="512"/>
      <c r="K465" s="506"/>
      <c r="L465" s="504"/>
      <c r="M465" s="504"/>
      <c r="N465" s="504"/>
      <c r="O465" s="504"/>
      <c r="P465" s="504"/>
    </row>
    <row r="466" spans="1:16" ht="15.75" customHeight="1">
      <c r="A466" s="732" t="s">
        <v>2675</v>
      </c>
      <c r="B466" s="731" t="s">
        <v>2873</v>
      </c>
      <c r="C466" s="55"/>
      <c r="D466" s="507"/>
      <c r="E466" s="504"/>
      <c r="F466" s="504"/>
      <c r="G466" s="504"/>
      <c r="H466" s="504"/>
      <c r="I466" s="501"/>
      <c r="J466" s="512"/>
      <c r="K466" s="506"/>
      <c r="L466" s="504"/>
      <c r="M466" s="504"/>
      <c r="N466" s="504"/>
      <c r="O466" s="504"/>
      <c r="P466" s="504"/>
    </row>
    <row r="467" spans="1:16" ht="15.75" customHeight="1">
      <c r="A467" s="732" t="s">
        <v>2675</v>
      </c>
      <c r="B467" s="731" t="s">
        <v>2680</v>
      </c>
      <c r="C467" s="55"/>
      <c r="D467" s="507"/>
      <c r="E467" s="504"/>
      <c r="F467" s="504"/>
      <c r="G467" s="504"/>
      <c r="H467" s="504"/>
      <c r="I467" s="501"/>
      <c r="J467" s="513"/>
      <c r="K467" s="506"/>
      <c r="L467" s="504"/>
      <c r="M467" s="504"/>
      <c r="N467" s="504"/>
      <c r="O467" s="504"/>
      <c r="P467" s="504"/>
    </row>
    <row r="468" spans="1:16" ht="15.75" customHeight="1">
      <c r="A468" s="733" t="s">
        <v>5723</v>
      </c>
      <c r="B468" s="731" t="s">
        <v>5758</v>
      </c>
      <c r="C468" s="55"/>
      <c r="D468" s="507"/>
      <c r="E468" s="504"/>
      <c r="F468" s="504"/>
      <c r="G468" s="504"/>
      <c r="H468" s="504"/>
      <c r="I468" s="501"/>
      <c r="J468" s="513"/>
      <c r="K468" s="506"/>
      <c r="L468" s="504"/>
      <c r="M468" s="504"/>
      <c r="N468" s="504"/>
      <c r="O468" s="504"/>
      <c r="P468" s="504"/>
    </row>
    <row r="469" spans="1:16" ht="15.75" customHeight="1">
      <c r="A469" s="733" t="s">
        <v>5723</v>
      </c>
      <c r="B469" s="731" t="s">
        <v>2680</v>
      </c>
      <c r="C469" s="55"/>
      <c r="D469" s="507"/>
      <c r="E469" s="504"/>
      <c r="F469" s="504"/>
      <c r="G469" s="504"/>
      <c r="H469" s="504"/>
      <c r="I469" s="501"/>
      <c r="J469" s="513"/>
      <c r="K469" s="506"/>
      <c r="L469" s="504"/>
      <c r="M469" s="504"/>
      <c r="N469" s="504"/>
      <c r="O469" s="504"/>
      <c r="P469" s="504"/>
    </row>
    <row r="470" spans="1:16" ht="15.75" customHeight="1">
      <c r="A470" s="734" t="s">
        <v>2677</v>
      </c>
      <c r="B470" s="731" t="s">
        <v>2874</v>
      </c>
      <c r="C470" s="55"/>
      <c r="D470" s="507"/>
      <c r="E470" s="504"/>
      <c r="F470" s="504"/>
      <c r="G470" s="504"/>
      <c r="H470" s="504"/>
      <c r="I470" s="501"/>
      <c r="J470" s="514"/>
      <c r="K470" s="506"/>
      <c r="L470" s="504"/>
      <c r="M470" s="504"/>
      <c r="N470" s="504"/>
      <c r="O470" s="504"/>
      <c r="P470" s="504"/>
    </row>
    <row r="471" spans="1:16" ht="15.75" customHeight="1">
      <c r="A471" s="734" t="s">
        <v>2677</v>
      </c>
      <c r="B471" s="731" t="s">
        <v>2875</v>
      </c>
      <c r="C471" s="55"/>
      <c r="D471" s="507"/>
      <c r="E471" s="504"/>
      <c r="F471" s="504"/>
      <c r="G471" s="504"/>
      <c r="H471" s="504"/>
      <c r="I471" s="501"/>
      <c r="J471" s="514"/>
      <c r="K471" s="506"/>
      <c r="L471" s="504"/>
      <c r="M471" s="504"/>
      <c r="N471" s="504"/>
      <c r="O471" s="504"/>
      <c r="P471" s="504"/>
    </row>
    <row r="472" spans="1:16" ht="15.75" customHeight="1">
      <c r="A472" s="734" t="s">
        <v>2677</v>
      </c>
      <c r="B472" s="731" t="s">
        <v>2680</v>
      </c>
      <c r="C472" s="55"/>
      <c r="D472" s="507"/>
      <c r="E472" s="504"/>
      <c r="F472" s="504"/>
      <c r="G472" s="504"/>
      <c r="H472" s="504"/>
      <c r="I472" s="501"/>
      <c r="J472" s="514"/>
      <c r="K472" s="506"/>
      <c r="L472" s="504"/>
      <c r="M472" s="504"/>
      <c r="N472" s="504"/>
      <c r="O472" s="504"/>
      <c r="P472" s="504"/>
    </row>
    <row r="473" spans="1:16" ht="15.75" customHeight="1">
      <c r="A473" s="735" t="s">
        <v>2681</v>
      </c>
      <c r="B473" s="731" t="s">
        <v>2876</v>
      </c>
      <c r="C473" s="55"/>
      <c r="D473" s="507"/>
      <c r="E473" s="504"/>
      <c r="F473" s="504"/>
      <c r="G473" s="504"/>
      <c r="H473" s="504"/>
      <c r="I473" s="501"/>
      <c r="J473" s="514"/>
      <c r="K473" s="506"/>
      <c r="L473" s="504"/>
      <c r="M473" s="504"/>
      <c r="N473" s="504"/>
      <c r="O473" s="504"/>
      <c r="P473" s="504"/>
    </row>
    <row r="474" spans="1:16" ht="15.75" customHeight="1">
      <c r="A474" s="735" t="s">
        <v>2681</v>
      </c>
      <c r="B474" s="731" t="s">
        <v>2877</v>
      </c>
      <c r="C474" s="55"/>
      <c r="D474" s="507"/>
      <c r="E474" s="504"/>
      <c r="F474" s="504"/>
      <c r="G474" s="504"/>
      <c r="H474" s="504"/>
      <c r="I474" s="501"/>
      <c r="J474" s="511"/>
      <c r="K474" s="506"/>
      <c r="L474" s="504"/>
      <c r="M474" s="504"/>
      <c r="N474" s="504"/>
      <c r="O474" s="504"/>
      <c r="P474" s="504"/>
    </row>
    <row r="475" spans="1:16" ht="15.75" customHeight="1">
      <c r="A475" s="735" t="s">
        <v>2681</v>
      </c>
      <c r="B475" s="731" t="s">
        <v>2680</v>
      </c>
      <c r="C475" s="55"/>
      <c r="D475" s="507"/>
      <c r="E475" s="504"/>
      <c r="F475" s="504"/>
      <c r="G475" s="504"/>
      <c r="H475" s="504"/>
      <c r="I475" s="501"/>
      <c r="J475" s="511"/>
      <c r="K475" s="506"/>
      <c r="L475" s="504"/>
      <c r="M475" s="504"/>
      <c r="N475" s="504"/>
      <c r="O475" s="504"/>
      <c r="P475" s="504"/>
    </row>
    <row r="476" spans="1:16" ht="15.75" customHeight="1">
      <c r="A476" s="735" t="s">
        <v>2681</v>
      </c>
      <c r="B476" s="731" t="s">
        <v>2680</v>
      </c>
      <c r="C476" s="55"/>
      <c r="D476" s="507"/>
      <c r="E476" s="504"/>
      <c r="F476" s="504"/>
      <c r="G476" s="504"/>
      <c r="H476" s="504"/>
      <c r="I476" s="501"/>
      <c r="J476" s="511"/>
      <c r="K476" s="506"/>
      <c r="L476" s="504"/>
      <c r="M476" s="504"/>
      <c r="N476" s="504"/>
      <c r="O476" s="504"/>
      <c r="P476" s="504"/>
    </row>
    <row r="477" spans="1:16" ht="15.75" customHeight="1">
      <c r="A477" s="737" t="s">
        <v>2686</v>
      </c>
      <c r="B477" s="731" t="s">
        <v>2878</v>
      </c>
      <c r="C477" s="55"/>
      <c r="D477" s="507"/>
      <c r="E477" s="504"/>
      <c r="F477" s="504"/>
      <c r="G477" s="504"/>
      <c r="H477" s="504"/>
      <c r="I477" s="501"/>
      <c r="J477" s="511"/>
      <c r="K477" s="506"/>
      <c r="L477" s="504"/>
      <c r="M477" s="504"/>
      <c r="N477" s="504"/>
      <c r="O477" s="504"/>
      <c r="P477" s="504"/>
    </row>
    <row r="478" spans="1:16">
      <c r="A478" s="737" t="s">
        <v>2686</v>
      </c>
      <c r="B478" s="731" t="s">
        <v>2879</v>
      </c>
      <c r="C478" s="55"/>
      <c r="D478" s="507"/>
      <c r="E478" s="504"/>
      <c r="F478" s="504"/>
      <c r="G478" s="504"/>
      <c r="H478" s="504"/>
      <c r="I478" s="501"/>
      <c r="J478" s="511"/>
      <c r="K478" s="506"/>
      <c r="L478" s="504"/>
      <c r="M478" s="504"/>
      <c r="N478" s="504"/>
      <c r="O478" s="504"/>
      <c r="P478" s="504"/>
    </row>
    <row r="479" spans="1:16" ht="15.75" customHeight="1">
      <c r="A479" s="737" t="s">
        <v>2686</v>
      </c>
      <c r="B479" s="731" t="s">
        <v>2880</v>
      </c>
      <c r="C479" s="55"/>
      <c r="D479" s="507"/>
      <c r="E479" s="504"/>
      <c r="F479" s="504"/>
      <c r="G479" s="504"/>
      <c r="H479" s="504"/>
      <c r="I479" s="501"/>
      <c r="J479" s="515"/>
      <c r="K479" s="506"/>
      <c r="L479" s="504"/>
      <c r="M479" s="504"/>
      <c r="N479" s="504"/>
      <c r="O479" s="504"/>
      <c r="P479" s="504"/>
    </row>
    <row r="480" spans="1:16" ht="15.75" customHeight="1">
      <c r="A480" s="737" t="s">
        <v>2686</v>
      </c>
      <c r="B480" s="731" t="s">
        <v>2881</v>
      </c>
      <c r="C480" s="55"/>
      <c r="D480" s="507"/>
      <c r="E480" s="504"/>
      <c r="F480" s="504"/>
      <c r="G480" s="504"/>
      <c r="H480" s="504"/>
      <c r="I480" s="501"/>
      <c r="J480" s="515"/>
      <c r="K480" s="506"/>
      <c r="L480" s="504"/>
      <c r="M480" s="504"/>
      <c r="N480" s="504"/>
      <c r="O480" s="504"/>
      <c r="P480" s="504"/>
    </row>
    <row r="481" spans="1:16" ht="15.75" customHeight="1">
      <c r="A481" s="737" t="s">
        <v>2686</v>
      </c>
      <c r="B481" s="731" t="s">
        <v>2882</v>
      </c>
      <c r="C481" s="55"/>
      <c r="D481" s="507"/>
      <c r="E481" s="504"/>
      <c r="F481" s="504"/>
      <c r="G481" s="504"/>
      <c r="H481" s="504"/>
      <c r="I481" s="501"/>
      <c r="J481" s="516"/>
      <c r="K481" s="506"/>
      <c r="L481" s="504"/>
      <c r="M481" s="504"/>
      <c r="N481" s="504"/>
      <c r="O481" s="504"/>
      <c r="P481" s="504"/>
    </row>
    <row r="482" spans="1:16" ht="15.75" customHeight="1">
      <c r="A482" s="738" t="s">
        <v>2691</v>
      </c>
      <c r="B482" s="731" t="s">
        <v>2883</v>
      </c>
      <c r="C482" s="55"/>
      <c r="D482" s="507"/>
      <c r="E482" s="504"/>
      <c r="F482" s="504"/>
      <c r="G482" s="504"/>
      <c r="H482" s="504"/>
      <c r="I482" s="501"/>
      <c r="J482" s="505"/>
      <c r="K482" s="506"/>
      <c r="L482" s="504"/>
      <c r="M482" s="504"/>
      <c r="N482" s="504"/>
      <c r="O482" s="504"/>
      <c r="P482" s="504"/>
    </row>
    <row r="483" spans="1:16" ht="15.45">
      <c r="A483" s="738" t="s">
        <v>2691</v>
      </c>
      <c r="B483" s="731" t="s">
        <v>2680</v>
      </c>
      <c r="C483" s="55"/>
      <c r="D483" s="507"/>
      <c r="E483" s="504"/>
      <c r="F483" s="504"/>
      <c r="G483" s="504"/>
      <c r="H483" s="504"/>
      <c r="I483" s="501"/>
      <c r="J483" s="517"/>
      <c r="K483" s="506"/>
      <c r="L483" s="504"/>
      <c r="M483" s="504"/>
      <c r="N483" s="504"/>
      <c r="O483" s="504"/>
      <c r="P483" s="504"/>
    </row>
    <row r="484" spans="1:16" ht="15.75" customHeight="1">
      <c r="A484" s="739" t="s">
        <v>2693</v>
      </c>
      <c r="B484" s="731" t="s">
        <v>2884</v>
      </c>
      <c r="C484" s="55"/>
      <c r="D484" s="507"/>
      <c r="E484" s="504"/>
      <c r="F484" s="504"/>
      <c r="G484" s="504"/>
      <c r="H484" s="504"/>
      <c r="I484" s="501"/>
      <c r="J484" s="512"/>
      <c r="K484" s="506"/>
      <c r="L484" s="504"/>
      <c r="M484" s="504"/>
      <c r="N484" s="504"/>
      <c r="O484" s="504"/>
      <c r="P484" s="504"/>
    </row>
    <row r="485" spans="1:16" ht="15.75" customHeight="1">
      <c r="A485" s="730"/>
      <c r="B485" s="559"/>
      <c r="C485" s="55"/>
      <c r="D485" s="507"/>
      <c r="E485" s="504"/>
      <c r="F485" s="504"/>
      <c r="G485" s="504"/>
      <c r="H485" s="504"/>
      <c r="I485" s="501"/>
      <c r="J485" s="512"/>
      <c r="K485" s="506"/>
      <c r="L485" s="504"/>
      <c r="M485" s="504"/>
      <c r="N485" s="504"/>
      <c r="O485" s="504"/>
      <c r="P485" s="504"/>
    </row>
    <row r="486" spans="1:16" ht="15.75" customHeight="1">
      <c r="A486" s="729" t="s">
        <v>2885</v>
      </c>
      <c r="B486" s="731" t="s">
        <v>2674</v>
      </c>
      <c r="C486" s="55"/>
      <c r="D486" s="507"/>
      <c r="E486" s="504"/>
      <c r="F486" s="504"/>
      <c r="G486" s="504"/>
      <c r="H486" s="504"/>
      <c r="I486" s="501"/>
      <c r="J486" s="513"/>
      <c r="K486" s="506"/>
      <c r="L486" s="504"/>
      <c r="M486" s="504"/>
      <c r="N486" s="504"/>
      <c r="O486" s="504"/>
      <c r="P486" s="504"/>
    </row>
    <row r="487" spans="1:16" ht="15.75" customHeight="1">
      <c r="A487" s="732" t="s">
        <v>2675</v>
      </c>
      <c r="B487" s="731" t="s">
        <v>2886</v>
      </c>
      <c r="C487" s="55"/>
      <c r="D487" s="507"/>
      <c r="E487" s="504"/>
      <c r="F487" s="504"/>
      <c r="G487" s="504"/>
      <c r="H487" s="504"/>
      <c r="I487" s="501"/>
      <c r="J487" s="513"/>
      <c r="K487" s="506"/>
      <c r="L487" s="504"/>
      <c r="M487" s="504"/>
      <c r="N487" s="504"/>
      <c r="O487" s="504"/>
      <c r="P487" s="504"/>
    </row>
    <row r="488" spans="1:16" ht="15.75" customHeight="1">
      <c r="A488" s="732" t="s">
        <v>2675</v>
      </c>
      <c r="B488" s="731" t="s">
        <v>2680</v>
      </c>
      <c r="C488" s="55"/>
      <c r="D488" s="507"/>
      <c r="E488" s="504"/>
      <c r="F488" s="504"/>
      <c r="G488" s="504"/>
      <c r="H488" s="504"/>
      <c r="I488" s="501"/>
      <c r="J488" s="513"/>
      <c r="K488" s="506"/>
      <c r="L488" s="504"/>
      <c r="M488" s="504"/>
      <c r="N488" s="504"/>
      <c r="O488" s="504"/>
      <c r="P488" s="504"/>
    </row>
    <row r="489" spans="1:16" ht="15.75" customHeight="1">
      <c r="A489" s="733" t="s">
        <v>5723</v>
      </c>
      <c r="B489" s="731" t="s">
        <v>5759</v>
      </c>
      <c r="C489" s="55"/>
      <c r="D489" s="507"/>
      <c r="E489" s="504"/>
      <c r="F489" s="504"/>
      <c r="G489" s="504"/>
      <c r="H489" s="504"/>
      <c r="I489" s="501"/>
      <c r="J489" s="514"/>
      <c r="K489" s="506"/>
      <c r="L489" s="504"/>
      <c r="M489" s="504"/>
      <c r="N489" s="504"/>
      <c r="O489" s="504"/>
      <c r="P489" s="504"/>
    </row>
    <row r="490" spans="1:16" ht="15.75" customHeight="1">
      <c r="A490" s="733" t="s">
        <v>5723</v>
      </c>
      <c r="B490" s="731" t="s">
        <v>2680</v>
      </c>
      <c r="C490" s="55"/>
      <c r="D490" s="507"/>
      <c r="E490" s="504"/>
      <c r="F490" s="504"/>
      <c r="G490" s="504"/>
      <c r="H490" s="504"/>
      <c r="I490" s="501"/>
      <c r="J490" s="514"/>
      <c r="K490" s="506"/>
      <c r="L490" s="504"/>
      <c r="M490" s="504"/>
      <c r="N490" s="504"/>
      <c r="O490" s="504"/>
      <c r="P490" s="504"/>
    </row>
    <row r="491" spans="1:16" ht="15.75" customHeight="1">
      <c r="A491" s="734" t="s">
        <v>2677</v>
      </c>
      <c r="B491" s="731" t="s">
        <v>2887</v>
      </c>
      <c r="C491" s="55"/>
      <c r="D491" s="507"/>
      <c r="E491" s="504"/>
      <c r="F491" s="504"/>
      <c r="G491" s="504"/>
      <c r="H491" s="504"/>
      <c r="I491" s="501"/>
      <c r="J491" s="514"/>
      <c r="K491" s="506"/>
      <c r="L491" s="504"/>
      <c r="M491" s="504"/>
      <c r="N491" s="504"/>
      <c r="O491" s="504"/>
      <c r="P491" s="504"/>
    </row>
    <row r="492" spans="1:16" ht="15.75" customHeight="1">
      <c r="A492" s="734" t="s">
        <v>2677</v>
      </c>
      <c r="B492" s="731" t="s">
        <v>2888</v>
      </c>
      <c r="C492" s="55"/>
      <c r="D492" s="507"/>
      <c r="E492" s="504"/>
      <c r="F492" s="504"/>
      <c r="G492" s="504"/>
      <c r="H492" s="504"/>
      <c r="I492" s="501"/>
      <c r="J492" s="514"/>
      <c r="K492" s="506"/>
      <c r="L492" s="504"/>
      <c r="M492" s="504"/>
      <c r="N492" s="504"/>
      <c r="O492" s="504"/>
      <c r="P492" s="504"/>
    </row>
    <row r="493" spans="1:16" ht="15.75" customHeight="1">
      <c r="A493" s="734" t="s">
        <v>2677</v>
      </c>
      <c r="B493" s="731" t="s">
        <v>2680</v>
      </c>
      <c r="C493" s="55"/>
      <c r="D493" s="507"/>
      <c r="E493" s="504"/>
      <c r="F493" s="504"/>
      <c r="G493" s="504"/>
      <c r="H493" s="504"/>
      <c r="I493" s="501"/>
      <c r="J493" s="511"/>
      <c r="K493" s="506"/>
      <c r="L493" s="504"/>
      <c r="M493" s="504"/>
      <c r="N493" s="504"/>
      <c r="O493" s="504"/>
      <c r="P493" s="504"/>
    </row>
    <row r="494" spans="1:16" ht="15.75" customHeight="1">
      <c r="A494" s="735" t="s">
        <v>2681</v>
      </c>
      <c r="B494" s="731" t="s">
        <v>2889</v>
      </c>
      <c r="C494" s="55"/>
      <c r="D494" s="507"/>
      <c r="E494" s="504"/>
      <c r="F494" s="504"/>
      <c r="G494" s="504"/>
      <c r="H494" s="504"/>
      <c r="I494" s="501"/>
      <c r="J494" s="511"/>
      <c r="K494" s="506"/>
      <c r="L494" s="504"/>
      <c r="M494" s="504"/>
      <c r="N494" s="504"/>
      <c r="O494" s="504"/>
      <c r="P494" s="504"/>
    </row>
    <row r="495" spans="1:16" ht="15.75" customHeight="1">
      <c r="A495" s="735" t="s">
        <v>2681</v>
      </c>
      <c r="B495" s="736" t="s">
        <v>2890</v>
      </c>
      <c r="C495" s="55"/>
      <c r="D495" s="507"/>
      <c r="E495" s="504"/>
      <c r="F495" s="504"/>
      <c r="G495" s="504"/>
      <c r="H495" s="504"/>
      <c r="I495" s="501"/>
      <c r="J495" s="511"/>
      <c r="K495" s="506"/>
      <c r="L495" s="504"/>
      <c r="M495" s="504"/>
      <c r="N495" s="504"/>
      <c r="O495" s="504"/>
      <c r="P495" s="504"/>
    </row>
    <row r="496" spans="1:16" ht="15.75" customHeight="1">
      <c r="A496" s="735" t="s">
        <v>2681</v>
      </c>
      <c r="B496" s="731" t="s">
        <v>2891</v>
      </c>
      <c r="C496" s="55"/>
      <c r="D496" s="507"/>
      <c r="E496" s="504"/>
      <c r="F496" s="504"/>
      <c r="G496" s="504"/>
      <c r="H496" s="504"/>
      <c r="I496" s="501"/>
      <c r="J496" s="511"/>
      <c r="K496" s="506"/>
      <c r="L496" s="504"/>
      <c r="M496" s="504"/>
      <c r="N496" s="504"/>
      <c r="O496" s="504"/>
      <c r="P496" s="504"/>
    </row>
    <row r="497" spans="1:16">
      <c r="A497" s="735" t="s">
        <v>2681</v>
      </c>
      <c r="B497" s="731" t="s">
        <v>2680</v>
      </c>
      <c r="C497" s="55"/>
      <c r="D497" s="507"/>
      <c r="E497" s="504"/>
      <c r="F497" s="504"/>
      <c r="G497" s="504"/>
      <c r="H497" s="504"/>
      <c r="I497" s="501"/>
      <c r="J497" s="511"/>
      <c r="K497" s="506"/>
      <c r="L497" s="504"/>
      <c r="M497" s="504"/>
      <c r="N497" s="504"/>
      <c r="O497" s="504"/>
      <c r="P497" s="504"/>
    </row>
    <row r="498" spans="1:16" ht="15.75" customHeight="1">
      <c r="A498" s="737" t="s">
        <v>2686</v>
      </c>
      <c r="B498" s="731" t="s">
        <v>2892</v>
      </c>
      <c r="C498" s="55"/>
      <c r="D498" s="507"/>
      <c r="E498" s="504"/>
      <c r="F498" s="504"/>
      <c r="G498" s="504"/>
      <c r="H498" s="504"/>
      <c r="I498" s="501"/>
      <c r="J498" s="515"/>
      <c r="K498" s="506"/>
      <c r="L498" s="504"/>
      <c r="M498" s="504"/>
      <c r="N498" s="504"/>
      <c r="O498" s="504"/>
      <c r="P498" s="504"/>
    </row>
    <row r="499" spans="1:16" ht="15.75" customHeight="1">
      <c r="A499" s="737" t="s">
        <v>2686</v>
      </c>
      <c r="B499" s="731" t="s">
        <v>2893</v>
      </c>
      <c r="C499" s="55"/>
      <c r="D499" s="507"/>
      <c r="E499" s="504"/>
      <c r="F499" s="504"/>
      <c r="G499" s="504"/>
      <c r="H499" s="504"/>
      <c r="I499" s="501"/>
      <c r="J499" s="515"/>
      <c r="K499" s="506"/>
      <c r="L499" s="504"/>
      <c r="M499" s="504"/>
      <c r="N499" s="504"/>
      <c r="O499" s="504"/>
      <c r="P499" s="504"/>
    </row>
    <row r="500" spans="1:16" ht="15.75" customHeight="1">
      <c r="A500" s="737" t="s">
        <v>2686</v>
      </c>
      <c r="B500" s="731" t="s">
        <v>2894</v>
      </c>
      <c r="C500" s="55"/>
      <c r="D500" s="507"/>
      <c r="E500" s="504"/>
      <c r="F500" s="504"/>
      <c r="G500" s="504"/>
      <c r="H500" s="504"/>
      <c r="I500" s="501"/>
      <c r="J500" s="516"/>
      <c r="K500" s="506"/>
      <c r="L500" s="504"/>
      <c r="M500" s="504"/>
      <c r="N500" s="504"/>
      <c r="O500" s="504"/>
      <c r="P500" s="504"/>
    </row>
    <row r="501" spans="1:16" ht="15.75" customHeight="1">
      <c r="A501" s="737" t="s">
        <v>2686</v>
      </c>
      <c r="B501" s="731" t="s">
        <v>2680</v>
      </c>
      <c r="C501" s="55"/>
      <c r="D501" s="507"/>
      <c r="E501" s="504"/>
      <c r="F501" s="504"/>
      <c r="G501" s="504"/>
      <c r="H501" s="504"/>
      <c r="I501" s="501"/>
      <c r="J501" s="505"/>
      <c r="K501" s="506"/>
      <c r="L501" s="504"/>
      <c r="M501" s="504"/>
      <c r="N501" s="504"/>
      <c r="O501" s="504"/>
      <c r="P501" s="504"/>
    </row>
    <row r="502" spans="1:16" ht="15.45">
      <c r="A502" s="737" t="s">
        <v>2686</v>
      </c>
      <c r="B502" s="731" t="s">
        <v>2680</v>
      </c>
      <c r="C502" s="55"/>
      <c r="D502" s="507"/>
      <c r="E502" s="504"/>
      <c r="F502" s="504"/>
      <c r="G502" s="504"/>
      <c r="H502" s="504"/>
      <c r="I502" s="501"/>
      <c r="J502" s="517"/>
      <c r="K502" s="506"/>
      <c r="L502" s="504"/>
      <c r="M502" s="504"/>
      <c r="N502" s="504"/>
      <c r="O502" s="504"/>
      <c r="P502" s="504"/>
    </row>
    <row r="503" spans="1:16" ht="15.75" customHeight="1">
      <c r="A503" s="738" t="s">
        <v>2691</v>
      </c>
      <c r="B503" s="731" t="s">
        <v>2895</v>
      </c>
      <c r="C503" s="55"/>
      <c r="D503" s="507"/>
      <c r="E503" s="504"/>
      <c r="F503" s="504"/>
      <c r="G503" s="504"/>
      <c r="H503" s="504"/>
      <c r="I503" s="501"/>
      <c r="J503" s="512"/>
      <c r="K503" s="506"/>
      <c r="L503" s="504"/>
      <c r="M503" s="504"/>
      <c r="N503" s="504"/>
      <c r="O503" s="504"/>
      <c r="P503" s="504"/>
    </row>
    <row r="504" spans="1:16" ht="15.75" customHeight="1">
      <c r="A504" s="738" t="s">
        <v>2691</v>
      </c>
      <c r="B504" s="731" t="s">
        <v>2680</v>
      </c>
      <c r="C504" s="55"/>
      <c r="D504" s="507"/>
      <c r="E504" s="504"/>
      <c r="F504" s="504"/>
      <c r="G504" s="504"/>
      <c r="H504" s="504"/>
      <c r="I504" s="501"/>
      <c r="J504" s="512"/>
      <c r="K504" s="506"/>
      <c r="L504" s="504"/>
      <c r="M504" s="504"/>
      <c r="N504" s="504"/>
      <c r="O504" s="504"/>
      <c r="P504" s="504"/>
    </row>
    <row r="505" spans="1:16" ht="15.75" customHeight="1">
      <c r="A505" s="739" t="s">
        <v>2693</v>
      </c>
      <c r="B505" s="731" t="s">
        <v>2680</v>
      </c>
      <c r="C505" s="55"/>
      <c r="D505" s="507"/>
      <c r="E505" s="504"/>
      <c r="F505" s="504"/>
      <c r="G505" s="504"/>
      <c r="H505" s="504"/>
      <c r="I505" s="501"/>
      <c r="J505" s="513"/>
      <c r="K505" s="506"/>
      <c r="L505" s="504"/>
      <c r="M505" s="504"/>
      <c r="N505" s="504"/>
      <c r="O505" s="504"/>
      <c r="P505" s="504"/>
    </row>
    <row r="506" spans="1:16" ht="15.75" customHeight="1">
      <c r="A506" s="730"/>
      <c r="B506" s="559"/>
      <c r="C506" s="55"/>
      <c r="D506" s="507"/>
      <c r="E506" s="504"/>
      <c r="F506" s="504"/>
      <c r="G506" s="504"/>
      <c r="H506" s="504"/>
      <c r="I506" s="501"/>
      <c r="J506" s="513"/>
      <c r="K506" s="506"/>
      <c r="L506" s="504"/>
      <c r="M506" s="504"/>
      <c r="N506" s="504"/>
      <c r="O506" s="504"/>
      <c r="P506" s="504"/>
    </row>
    <row r="507" spans="1:16" ht="15.75" customHeight="1">
      <c r="A507" s="729" t="s">
        <v>2896</v>
      </c>
      <c r="B507" s="731" t="s">
        <v>2674</v>
      </c>
      <c r="C507" s="55"/>
      <c r="D507" s="507"/>
      <c r="E507" s="504"/>
      <c r="F507" s="504"/>
      <c r="G507" s="504"/>
      <c r="H507" s="504"/>
      <c r="I507" s="501"/>
      <c r="J507" s="513"/>
      <c r="K507" s="506"/>
      <c r="L507" s="504"/>
      <c r="M507" s="504"/>
      <c r="N507" s="504"/>
      <c r="O507" s="504"/>
      <c r="P507" s="504"/>
    </row>
    <row r="508" spans="1:16" ht="15.75" customHeight="1">
      <c r="A508" s="732" t="s">
        <v>2675</v>
      </c>
      <c r="B508" s="731" t="s">
        <v>2897</v>
      </c>
      <c r="C508" s="55"/>
      <c r="D508" s="507"/>
      <c r="E508" s="504"/>
      <c r="F508" s="504"/>
      <c r="G508" s="504"/>
      <c r="H508" s="504"/>
      <c r="I508" s="501"/>
      <c r="J508" s="514"/>
      <c r="K508" s="506"/>
      <c r="L508" s="504"/>
      <c r="M508" s="504"/>
      <c r="N508" s="504"/>
      <c r="O508" s="504"/>
      <c r="P508" s="504"/>
    </row>
    <row r="509" spans="1:16" ht="15.75" customHeight="1">
      <c r="A509" s="732" t="s">
        <v>2675</v>
      </c>
      <c r="B509" s="731" t="s">
        <v>2680</v>
      </c>
      <c r="C509" s="55"/>
      <c r="D509" s="507"/>
      <c r="E509" s="504"/>
      <c r="F509" s="504"/>
      <c r="G509" s="504"/>
      <c r="H509" s="504"/>
      <c r="I509" s="501"/>
      <c r="J509" s="514"/>
      <c r="K509" s="506"/>
      <c r="L509" s="504"/>
      <c r="M509" s="504"/>
      <c r="N509" s="504"/>
      <c r="O509" s="504"/>
      <c r="P509" s="504"/>
    </row>
    <row r="510" spans="1:16" ht="15.75" customHeight="1">
      <c r="A510" s="733" t="s">
        <v>5723</v>
      </c>
      <c r="B510" s="731" t="s">
        <v>5760</v>
      </c>
      <c r="C510" s="55"/>
      <c r="D510" s="507"/>
      <c r="E510" s="504"/>
      <c r="F510" s="504"/>
      <c r="G510" s="504"/>
      <c r="H510" s="504"/>
      <c r="I510" s="501"/>
      <c r="J510" s="514"/>
      <c r="K510" s="506"/>
      <c r="L510" s="504"/>
      <c r="M510" s="504"/>
      <c r="N510" s="504"/>
      <c r="O510" s="504"/>
      <c r="P510" s="504"/>
    </row>
    <row r="511" spans="1:16" ht="15.75" customHeight="1">
      <c r="A511" s="733" t="s">
        <v>5723</v>
      </c>
      <c r="B511" s="731" t="s">
        <v>2680</v>
      </c>
      <c r="C511" s="55"/>
      <c r="D511" s="507"/>
      <c r="E511" s="504"/>
      <c r="F511" s="504"/>
      <c r="G511" s="504"/>
      <c r="H511" s="504"/>
      <c r="I511" s="501"/>
      <c r="J511" s="514"/>
      <c r="K511" s="506"/>
      <c r="L511" s="504"/>
      <c r="M511" s="504"/>
      <c r="N511" s="504"/>
      <c r="O511" s="504"/>
      <c r="P511" s="504"/>
    </row>
    <row r="512" spans="1:16" ht="15.75" customHeight="1">
      <c r="A512" s="734" t="s">
        <v>2677</v>
      </c>
      <c r="B512" s="731" t="s">
        <v>2898</v>
      </c>
      <c r="C512" s="55"/>
      <c r="D512" s="507"/>
      <c r="E512" s="504"/>
      <c r="F512" s="504"/>
      <c r="G512" s="504"/>
      <c r="H512" s="504"/>
      <c r="I512" s="501"/>
      <c r="J512" s="511"/>
      <c r="K512" s="506"/>
      <c r="L512" s="504"/>
      <c r="M512" s="504"/>
      <c r="N512" s="504"/>
      <c r="O512" s="504"/>
      <c r="P512" s="504"/>
    </row>
    <row r="513" spans="1:16" ht="15.75" customHeight="1">
      <c r="A513" s="734" t="s">
        <v>2677</v>
      </c>
      <c r="B513" s="731" t="s">
        <v>2899</v>
      </c>
      <c r="C513" s="55"/>
      <c r="D513" s="507"/>
      <c r="E513" s="504"/>
      <c r="F513" s="504"/>
      <c r="G513" s="504"/>
      <c r="H513" s="504"/>
      <c r="I513" s="501"/>
      <c r="J513" s="511"/>
      <c r="K513" s="506"/>
      <c r="L513" s="504"/>
      <c r="M513" s="504"/>
      <c r="N513" s="504"/>
      <c r="O513" s="504"/>
      <c r="P513" s="504"/>
    </row>
    <row r="514" spans="1:16" ht="15.75" customHeight="1">
      <c r="A514" s="734" t="s">
        <v>2677</v>
      </c>
      <c r="B514" s="731" t="s">
        <v>2680</v>
      </c>
      <c r="C514" s="55"/>
      <c r="D514" s="507"/>
      <c r="E514" s="504"/>
      <c r="F514" s="504"/>
      <c r="G514" s="504"/>
      <c r="H514" s="504"/>
      <c r="I514" s="501"/>
      <c r="J514" s="511"/>
      <c r="K514" s="506"/>
      <c r="L514" s="504"/>
      <c r="M514" s="504"/>
      <c r="N514" s="504"/>
      <c r="O514" s="504"/>
      <c r="P514" s="504"/>
    </row>
    <row r="515" spans="1:16" ht="15.75" customHeight="1">
      <c r="A515" s="735" t="s">
        <v>2681</v>
      </c>
      <c r="B515" s="731" t="s">
        <v>2900</v>
      </c>
      <c r="C515" s="55"/>
      <c r="D515" s="507"/>
      <c r="E515" s="504"/>
      <c r="F515" s="504"/>
      <c r="G515" s="504"/>
      <c r="H515" s="504"/>
      <c r="I515" s="501"/>
      <c r="J515" s="511"/>
      <c r="K515" s="506"/>
      <c r="L515" s="504"/>
      <c r="M515" s="504"/>
      <c r="N515" s="504"/>
      <c r="O515" s="504"/>
      <c r="P515" s="504"/>
    </row>
    <row r="516" spans="1:16" ht="15.75" customHeight="1">
      <c r="A516" s="735" t="s">
        <v>2681</v>
      </c>
      <c r="B516" s="731" t="s">
        <v>2901</v>
      </c>
      <c r="C516" s="55"/>
      <c r="D516" s="507"/>
      <c r="E516" s="504"/>
      <c r="F516" s="504"/>
      <c r="G516" s="504"/>
      <c r="H516" s="504"/>
      <c r="I516" s="501"/>
      <c r="J516" s="511"/>
      <c r="K516" s="506"/>
      <c r="L516" s="504"/>
      <c r="M516" s="504"/>
      <c r="N516" s="504"/>
      <c r="O516" s="504"/>
      <c r="P516" s="504"/>
    </row>
    <row r="517" spans="1:16" ht="15.75" customHeight="1">
      <c r="A517" s="735" t="s">
        <v>2681</v>
      </c>
      <c r="B517" s="731" t="s">
        <v>2680</v>
      </c>
      <c r="C517" s="55"/>
      <c r="D517" s="507"/>
      <c r="E517" s="504"/>
      <c r="F517" s="504"/>
      <c r="G517" s="504"/>
      <c r="H517" s="504"/>
      <c r="I517" s="501"/>
      <c r="J517" s="511"/>
      <c r="K517" s="506"/>
      <c r="L517" s="504"/>
      <c r="M517" s="504"/>
      <c r="N517" s="504"/>
      <c r="O517" s="504"/>
      <c r="P517" s="504"/>
    </row>
    <row r="518" spans="1:16" ht="15.75" customHeight="1">
      <c r="A518" s="735" t="s">
        <v>2681</v>
      </c>
      <c r="B518" s="731" t="s">
        <v>2680</v>
      </c>
      <c r="C518" s="55"/>
      <c r="D518" s="507"/>
      <c r="E518" s="504"/>
      <c r="F518" s="504"/>
      <c r="G518" s="504"/>
      <c r="H518" s="504"/>
      <c r="I518" s="501"/>
      <c r="J518" s="511"/>
      <c r="K518" s="506"/>
      <c r="L518" s="504"/>
      <c r="M518" s="504"/>
      <c r="N518" s="504"/>
      <c r="O518" s="504"/>
      <c r="P518" s="504"/>
    </row>
    <row r="519" spans="1:16" ht="15.75" customHeight="1">
      <c r="A519" s="737" t="s">
        <v>2686</v>
      </c>
      <c r="B519" s="731" t="s">
        <v>2902</v>
      </c>
      <c r="C519" s="55"/>
      <c r="D519" s="507"/>
      <c r="E519" s="504"/>
      <c r="F519" s="504"/>
      <c r="G519" s="504"/>
      <c r="H519" s="504"/>
      <c r="I519" s="501"/>
      <c r="J519" s="511"/>
      <c r="K519" s="506"/>
      <c r="L519" s="504"/>
      <c r="M519" s="504"/>
      <c r="N519" s="504"/>
      <c r="O519" s="504"/>
      <c r="P519" s="504"/>
    </row>
    <row r="520" spans="1:16" ht="15.75" customHeight="1">
      <c r="A520" s="737" t="s">
        <v>2686</v>
      </c>
      <c r="B520" s="731" t="s">
        <v>2903</v>
      </c>
      <c r="C520" s="55"/>
      <c r="D520" s="507"/>
      <c r="E520" s="504"/>
      <c r="F520" s="504"/>
      <c r="G520" s="504"/>
      <c r="H520" s="504"/>
      <c r="I520" s="501"/>
      <c r="J520" s="511"/>
      <c r="K520" s="506"/>
      <c r="L520" s="504"/>
      <c r="M520" s="504"/>
      <c r="N520" s="504"/>
      <c r="O520" s="504"/>
      <c r="P520" s="504"/>
    </row>
    <row r="521" spans="1:16" ht="15.75" customHeight="1">
      <c r="A521" s="737" t="s">
        <v>2686</v>
      </c>
      <c r="B521" s="731" t="s">
        <v>2904</v>
      </c>
      <c r="C521" s="55"/>
      <c r="D521" s="507"/>
      <c r="E521" s="504"/>
      <c r="F521" s="504"/>
      <c r="G521" s="504"/>
      <c r="H521" s="504"/>
      <c r="I521" s="501"/>
      <c r="J521" s="511"/>
      <c r="K521" s="506"/>
      <c r="L521" s="504"/>
      <c r="M521" s="504"/>
      <c r="N521" s="504"/>
      <c r="O521" s="504"/>
      <c r="P521" s="504"/>
    </row>
    <row r="522" spans="1:16" ht="15.75" customHeight="1">
      <c r="A522" s="737" t="s">
        <v>2686</v>
      </c>
      <c r="B522" s="731" t="s">
        <v>2905</v>
      </c>
      <c r="C522" s="55"/>
      <c r="D522" s="507"/>
      <c r="E522" s="504"/>
      <c r="F522" s="504"/>
      <c r="G522" s="504"/>
      <c r="H522" s="504"/>
      <c r="I522" s="501"/>
      <c r="J522" s="511"/>
      <c r="K522" s="506"/>
      <c r="L522" s="504"/>
      <c r="M522" s="504"/>
      <c r="N522" s="504"/>
      <c r="O522" s="504"/>
      <c r="P522" s="504"/>
    </row>
    <row r="523" spans="1:16" ht="15.75" customHeight="1">
      <c r="A523" s="737" t="s">
        <v>2686</v>
      </c>
      <c r="B523" s="731" t="s">
        <v>2680</v>
      </c>
      <c r="C523" s="55"/>
      <c r="D523" s="507"/>
      <c r="E523" s="504"/>
      <c r="F523" s="504"/>
      <c r="G523" s="504"/>
      <c r="H523" s="504"/>
      <c r="I523" s="501"/>
      <c r="J523" s="511"/>
      <c r="K523" s="506"/>
      <c r="L523" s="504"/>
      <c r="M523" s="504"/>
      <c r="N523" s="504"/>
      <c r="O523" s="504"/>
      <c r="P523" s="504"/>
    </row>
    <row r="524" spans="1:16" ht="15.75" customHeight="1">
      <c r="A524" s="738" t="s">
        <v>2691</v>
      </c>
      <c r="B524" s="731" t="s">
        <v>2906</v>
      </c>
      <c r="C524" s="55"/>
      <c r="D524" s="507"/>
      <c r="E524" s="504"/>
      <c r="F524" s="504"/>
      <c r="G524" s="504"/>
      <c r="H524" s="504"/>
      <c r="I524" s="501"/>
      <c r="J524" s="511"/>
      <c r="K524" s="506"/>
      <c r="L524" s="504"/>
      <c r="M524" s="504"/>
      <c r="N524" s="504"/>
      <c r="O524" s="504"/>
      <c r="P524" s="504"/>
    </row>
    <row r="525" spans="1:16" ht="15.75" customHeight="1">
      <c r="A525" s="738" t="s">
        <v>2691</v>
      </c>
      <c r="B525" s="731" t="s">
        <v>2907</v>
      </c>
      <c r="C525" s="55"/>
      <c r="D525" s="507"/>
      <c r="E525" s="504"/>
      <c r="F525" s="504"/>
      <c r="G525" s="504"/>
      <c r="H525" s="504"/>
      <c r="I525" s="501"/>
      <c r="J525" s="511"/>
      <c r="K525" s="506"/>
      <c r="L525" s="504"/>
      <c r="M525" s="504"/>
      <c r="N525" s="504"/>
      <c r="O525" s="504"/>
      <c r="P525" s="504"/>
    </row>
    <row r="526" spans="1:16" ht="15.75" customHeight="1">
      <c r="A526" s="739" t="s">
        <v>2693</v>
      </c>
      <c r="B526" s="731" t="s">
        <v>2680</v>
      </c>
      <c r="C526" s="55"/>
      <c r="D526" s="507"/>
      <c r="E526" s="504"/>
      <c r="F526" s="504"/>
      <c r="G526" s="504"/>
      <c r="H526" s="504"/>
      <c r="I526" s="501"/>
      <c r="J526" s="511"/>
      <c r="K526" s="506"/>
      <c r="L526" s="504"/>
      <c r="M526" s="504"/>
      <c r="N526" s="504"/>
      <c r="O526" s="504"/>
      <c r="P526" s="504"/>
    </row>
    <row r="527" spans="1:16" ht="15.75" customHeight="1">
      <c r="A527" s="730"/>
      <c r="B527" s="559"/>
      <c r="C527" s="55"/>
      <c r="D527" s="507"/>
      <c r="E527" s="504"/>
      <c r="F527" s="504"/>
      <c r="G527" s="504"/>
      <c r="H527" s="504"/>
      <c r="I527" s="501"/>
      <c r="J527" s="511"/>
      <c r="K527" s="506"/>
      <c r="L527" s="504"/>
      <c r="M527" s="504"/>
      <c r="N527" s="504"/>
      <c r="O527" s="504"/>
      <c r="P527" s="504"/>
    </row>
    <row r="528" spans="1:16" ht="15.75" customHeight="1">
      <c r="A528" s="729" t="s">
        <v>2908</v>
      </c>
      <c r="B528" s="731" t="s">
        <v>2674</v>
      </c>
      <c r="C528" s="55"/>
      <c r="D528" s="507"/>
      <c r="E528" s="504"/>
      <c r="F528" s="504"/>
      <c r="G528" s="504"/>
      <c r="H528" s="504"/>
      <c r="I528" s="501"/>
      <c r="J528" s="511"/>
      <c r="K528" s="506"/>
      <c r="L528" s="504"/>
      <c r="M528" s="504"/>
      <c r="N528" s="504"/>
      <c r="O528" s="504"/>
      <c r="P528" s="504"/>
    </row>
    <row r="529" spans="1:16" ht="15.75" customHeight="1">
      <c r="A529" s="732" t="s">
        <v>2675</v>
      </c>
      <c r="B529" s="731" t="s">
        <v>2909</v>
      </c>
      <c r="C529" s="55"/>
      <c r="D529" s="507"/>
      <c r="E529" s="504"/>
      <c r="F529" s="504"/>
      <c r="G529" s="504"/>
      <c r="H529" s="504"/>
      <c r="I529" s="501"/>
      <c r="J529" s="511"/>
      <c r="K529" s="506"/>
      <c r="L529" s="504"/>
      <c r="M529" s="504"/>
      <c r="N529" s="504"/>
      <c r="O529" s="504"/>
      <c r="P529" s="504"/>
    </row>
    <row r="530" spans="1:16" ht="15.75" customHeight="1">
      <c r="A530" s="732" t="s">
        <v>2675</v>
      </c>
      <c r="B530" s="731" t="s">
        <v>2910</v>
      </c>
      <c r="C530" s="55"/>
      <c r="D530" s="507"/>
      <c r="E530" s="504"/>
      <c r="F530" s="504"/>
      <c r="G530" s="504"/>
      <c r="H530" s="504"/>
      <c r="I530" s="501"/>
      <c r="J530" s="511"/>
      <c r="K530" s="506"/>
      <c r="L530" s="504"/>
      <c r="M530" s="504"/>
      <c r="N530" s="504"/>
      <c r="O530" s="504"/>
      <c r="P530" s="504"/>
    </row>
    <row r="531" spans="1:16" ht="15.75" customHeight="1">
      <c r="A531" s="733" t="s">
        <v>5723</v>
      </c>
      <c r="B531" s="731" t="s">
        <v>5761</v>
      </c>
      <c r="C531" s="55"/>
      <c r="D531" s="507"/>
      <c r="E531" s="504"/>
      <c r="F531" s="504"/>
      <c r="G531" s="504"/>
      <c r="H531" s="504"/>
      <c r="I531" s="501"/>
      <c r="J531" s="511"/>
      <c r="K531" s="506"/>
      <c r="L531" s="504"/>
      <c r="M531" s="504"/>
      <c r="N531" s="504"/>
      <c r="O531" s="504"/>
      <c r="P531" s="504"/>
    </row>
    <row r="532" spans="1:16" ht="15.75" customHeight="1">
      <c r="A532" s="733" t="s">
        <v>5723</v>
      </c>
      <c r="B532" s="731" t="s">
        <v>2680</v>
      </c>
      <c r="C532" s="55"/>
      <c r="D532" s="507"/>
      <c r="E532" s="504"/>
      <c r="F532" s="504"/>
      <c r="G532" s="504"/>
      <c r="H532" s="504"/>
      <c r="I532" s="501"/>
      <c r="J532" s="511"/>
      <c r="K532" s="506"/>
      <c r="L532" s="504"/>
      <c r="M532" s="504"/>
      <c r="N532" s="504"/>
      <c r="O532" s="504"/>
      <c r="P532" s="504"/>
    </row>
    <row r="533" spans="1:16" ht="15.75" customHeight="1">
      <c r="A533" s="734" t="s">
        <v>2677</v>
      </c>
      <c r="B533" s="731" t="s">
        <v>2911</v>
      </c>
      <c r="C533" s="55"/>
      <c r="D533" s="507"/>
      <c r="E533" s="504"/>
      <c r="F533" s="504"/>
      <c r="G533" s="504"/>
      <c r="H533" s="504"/>
      <c r="I533" s="501"/>
      <c r="J533" s="511"/>
      <c r="K533" s="506"/>
      <c r="L533" s="504"/>
      <c r="M533" s="504"/>
      <c r="N533" s="504"/>
      <c r="O533" s="504"/>
      <c r="P533" s="504"/>
    </row>
    <row r="534" spans="1:16" ht="15.75" customHeight="1">
      <c r="A534" s="734" t="s">
        <v>2677</v>
      </c>
      <c r="B534" s="731" t="s">
        <v>2912</v>
      </c>
      <c r="C534" s="55"/>
      <c r="D534" s="507"/>
      <c r="E534" s="504"/>
      <c r="F534" s="504"/>
      <c r="G534" s="504"/>
      <c r="H534" s="504"/>
      <c r="I534" s="501"/>
      <c r="J534" s="511"/>
      <c r="K534" s="506"/>
      <c r="L534" s="504"/>
      <c r="M534" s="504"/>
      <c r="N534" s="504"/>
      <c r="O534" s="504"/>
      <c r="P534" s="504"/>
    </row>
    <row r="535" spans="1:16" ht="15.75" customHeight="1">
      <c r="A535" s="734" t="s">
        <v>2677</v>
      </c>
      <c r="B535" s="731" t="s">
        <v>2680</v>
      </c>
      <c r="C535" s="55"/>
      <c r="D535" s="507"/>
      <c r="E535" s="504"/>
      <c r="F535" s="504"/>
      <c r="G535" s="504"/>
      <c r="H535" s="504"/>
      <c r="I535" s="501"/>
      <c r="J535" s="511"/>
      <c r="K535" s="506"/>
      <c r="L535" s="504"/>
      <c r="M535" s="504"/>
      <c r="N535" s="504"/>
      <c r="O535" s="504"/>
      <c r="P535" s="504"/>
    </row>
    <row r="536" spans="1:16">
      <c r="A536" s="735" t="s">
        <v>2681</v>
      </c>
      <c r="B536" s="731" t="s">
        <v>2913</v>
      </c>
      <c r="C536" s="55"/>
      <c r="D536" s="507"/>
      <c r="E536" s="504"/>
      <c r="F536" s="504"/>
      <c r="G536" s="504"/>
      <c r="H536" s="504"/>
      <c r="I536" s="501"/>
      <c r="J536" s="515"/>
      <c r="K536" s="506"/>
      <c r="L536" s="504"/>
      <c r="M536" s="504"/>
      <c r="N536" s="504"/>
      <c r="O536" s="504"/>
      <c r="P536" s="504"/>
    </row>
    <row r="537" spans="1:16">
      <c r="A537" s="735" t="s">
        <v>2681</v>
      </c>
      <c r="B537" s="731" t="s">
        <v>2914</v>
      </c>
      <c r="C537" s="55"/>
      <c r="D537" s="507"/>
      <c r="E537" s="504"/>
      <c r="F537" s="504"/>
      <c r="G537" s="504"/>
      <c r="H537" s="504"/>
      <c r="I537" s="501"/>
      <c r="J537" s="515"/>
      <c r="K537" s="506"/>
      <c r="L537" s="504"/>
      <c r="M537" s="504"/>
      <c r="N537" s="504"/>
      <c r="O537" s="504"/>
      <c r="P537" s="504"/>
    </row>
    <row r="538" spans="1:16" ht="15.75" customHeight="1">
      <c r="A538" s="735" t="s">
        <v>2681</v>
      </c>
      <c r="B538" s="731" t="s">
        <v>2915</v>
      </c>
      <c r="C538" s="55"/>
      <c r="D538" s="507"/>
      <c r="E538" s="504"/>
      <c r="F538" s="504"/>
      <c r="G538" s="504"/>
      <c r="H538" s="504"/>
      <c r="I538" s="501"/>
      <c r="J538" s="516"/>
      <c r="K538" s="506"/>
      <c r="L538" s="504"/>
      <c r="M538" s="504"/>
      <c r="N538" s="504"/>
      <c r="O538" s="504"/>
      <c r="P538" s="504"/>
    </row>
    <row r="539" spans="1:16" ht="15.75" customHeight="1">
      <c r="A539" s="735" t="s">
        <v>2681</v>
      </c>
      <c r="B539" s="731" t="s">
        <v>2680</v>
      </c>
      <c r="C539" s="55"/>
      <c r="D539" s="507"/>
      <c r="E539" s="504"/>
      <c r="F539" s="504"/>
      <c r="G539" s="504"/>
      <c r="H539" s="504"/>
      <c r="I539" s="501"/>
      <c r="J539" s="511"/>
      <c r="K539" s="506"/>
      <c r="L539" s="504"/>
      <c r="M539" s="504"/>
      <c r="N539" s="504"/>
      <c r="O539" s="504"/>
      <c r="P539" s="504"/>
    </row>
    <row r="540" spans="1:16" ht="15.75" customHeight="1">
      <c r="A540" s="737" t="s">
        <v>2686</v>
      </c>
      <c r="B540" s="731" t="s">
        <v>2916</v>
      </c>
      <c r="C540" s="55"/>
      <c r="D540" s="507"/>
      <c r="E540" s="504"/>
      <c r="F540" s="504"/>
      <c r="G540" s="504"/>
      <c r="H540" s="504"/>
      <c r="I540" s="518"/>
      <c r="J540" s="519"/>
      <c r="K540" s="506"/>
      <c r="L540" s="504"/>
      <c r="M540" s="504"/>
      <c r="N540" s="504"/>
      <c r="O540" s="504"/>
      <c r="P540" s="504"/>
    </row>
    <row r="541" spans="1:16" ht="15.45">
      <c r="A541" s="737" t="s">
        <v>2686</v>
      </c>
      <c r="B541" s="731" t="s">
        <v>2917</v>
      </c>
      <c r="C541" s="55"/>
      <c r="D541" s="507"/>
      <c r="E541" s="504"/>
      <c r="F541" s="504"/>
      <c r="G541" s="504"/>
      <c r="H541" s="504"/>
      <c r="I541" s="501"/>
      <c r="J541" s="517"/>
      <c r="K541" s="506"/>
      <c r="L541" s="504"/>
      <c r="M541" s="504"/>
      <c r="N541" s="504"/>
      <c r="O541" s="504"/>
      <c r="P541" s="504"/>
    </row>
    <row r="542" spans="1:16" ht="15.45">
      <c r="A542" s="737" t="s">
        <v>2686</v>
      </c>
      <c r="B542" s="731" t="s">
        <v>2918</v>
      </c>
      <c r="C542" s="55"/>
      <c r="D542" s="507"/>
      <c r="E542" s="504"/>
      <c r="F542" s="504"/>
      <c r="G542" s="504"/>
      <c r="H542" s="504"/>
      <c r="I542" s="501"/>
      <c r="J542" s="517"/>
      <c r="K542" s="506"/>
      <c r="L542" s="504"/>
      <c r="M542" s="504"/>
      <c r="N542" s="504"/>
      <c r="O542" s="504"/>
      <c r="P542" s="504"/>
    </row>
    <row r="543" spans="1:16" ht="15.75" customHeight="1">
      <c r="A543" s="737" t="s">
        <v>2686</v>
      </c>
      <c r="B543" s="731" t="s">
        <v>2919</v>
      </c>
      <c r="C543" s="55"/>
      <c r="D543" s="507"/>
      <c r="E543" s="504"/>
      <c r="F543" s="504"/>
      <c r="G543" s="504"/>
      <c r="H543" s="504"/>
      <c r="I543" s="501"/>
      <c r="J543" s="512"/>
      <c r="K543" s="506"/>
      <c r="L543" s="504"/>
      <c r="M543" s="504"/>
      <c r="N543" s="504"/>
      <c r="O543" s="504"/>
      <c r="P543" s="504"/>
    </row>
    <row r="544" spans="1:16" ht="15.75" customHeight="1">
      <c r="A544" s="737" t="s">
        <v>2686</v>
      </c>
      <c r="B544" s="731" t="s">
        <v>2680</v>
      </c>
      <c r="C544" s="55"/>
      <c r="D544" s="507"/>
      <c r="E544" s="504"/>
      <c r="F544" s="504"/>
      <c r="G544" s="504"/>
      <c r="H544" s="504"/>
      <c r="I544" s="501"/>
      <c r="J544" s="512"/>
      <c r="K544" s="506"/>
      <c r="L544" s="504"/>
      <c r="M544" s="504"/>
      <c r="N544" s="504"/>
      <c r="O544" s="504"/>
      <c r="P544" s="504"/>
    </row>
    <row r="545" spans="1:16" ht="15.75" customHeight="1">
      <c r="A545" s="738" t="s">
        <v>2691</v>
      </c>
      <c r="B545" s="731" t="s">
        <v>2377</v>
      </c>
      <c r="C545" s="55"/>
      <c r="D545" s="507"/>
      <c r="E545" s="504"/>
      <c r="F545" s="504"/>
      <c r="G545" s="504"/>
      <c r="H545" s="504"/>
      <c r="I545" s="501"/>
      <c r="J545" s="513"/>
      <c r="K545" s="506"/>
      <c r="L545" s="504"/>
      <c r="M545" s="504"/>
      <c r="N545" s="504"/>
      <c r="O545" s="504"/>
      <c r="P545" s="504"/>
    </row>
    <row r="546" spans="1:16" ht="15.75" customHeight="1">
      <c r="A546" s="738" t="s">
        <v>2691</v>
      </c>
      <c r="B546" s="731" t="s">
        <v>2680</v>
      </c>
      <c r="C546" s="55"/>
      <c r="D546" s="507"/>
      <c r="E546" s="504"/>
      <c r="F546" s="504"/>
      <c r="G546" s="504"/>
      <c r="H546" s="504"/>
      <c r="I546" s="501"/>
      <c r="J546" s="513"/>
      <c r="K546" s="506"/>
      <c r="L546" s="504"/>
      <c r="M546" s="504"/>
      <c r="N546" s="504"/>
      <c r="O546" s="504"/>
      <c r="P546" s="504"/>
    </row>
    <row r="547" spans="1:16" ht="15.75" customHeight="1">
      <c r="A547" s="739" t="s">
        <v>2693</v>
      </c>
      <c r="B547" s="731" t="s">
        <v>2920</v>
      </c>
      <c r="C547" s="55"/>
      <c r="D547" s="507"/>
      <c r="E547" s="504"/>
      <c r="F547" s="504"/>
      <c r="G547" s="504"/>
      <c r="H547" s="504"/>
      <c r="I547" s="501"/>
      <c r="J547" s="513"/>
      <c r="K547" s="506"/>
      <c r="L547" s="504"/>
      <c r="M547" s="504"/>
      <c r="N547" s="504"/>
      <c r="O547" s="504"/>
      <c r="P547" s="504"/>
    </row>
    <row r="548" spans="1:16" ht="15.75" customHeight="1">
      <c r="A548" s="730"/>
      <c r="B548" s="559"/>
      <c r="C548" s="55"/>
      <c r="D548" s="507"/>
      <c r="E548" s="504"/>
      <c r="F548" s="504"/>
      <c r="G548" s="504"/>
      <c r="H548" s="504"/>
      <c r="I548" s="501"/>
      <c r="J548" s="514"/>
      <c r="K548" s="506"/>
      <c r="L548" s="504"/>
      <c r="M548" s="504"/>
      <c r="N548" s="504"/>
      <c r="O548" s="504"/>
      <c r="P548" s="504"/>
    </row>
    <row r="549" spans="1:16" ht="15.75" customHeight="1">
      <c r="A549" s="729" t="s">
        <v>2921</v>
      </c>
      <c r="B549" s="731" t="s">
        <v>2674</v>
      </c>
      <c r="C549" s="55"/>
      <c r="D549" s="507"/>
      <c r="E549" s="504"/>
      <c r="F549" s="504"/>
      <c r="G549" s="504"/>
      <c r="H549" s="504"/>
      <c r="I549" s="501"/>
      <c r="J549" s="514"/>
      <c r="K549" s="506"/>
      <c r="L549" s="504"/>
      <c r="M549" s="504"/>
      <c r="N549" s="504"/>
      <c r="O549" s="504"/>
      <c r="P549" s="504"/>
    </row>
    <row r="550" spans="1:16" ht="15.75" customHeight="1">
      <c r="A550" s="732" t="s">
        <v>2675</v>
      </c>
      <c r="B550" s="731" t="s">
        <v>2922</v>
      </c>
      <c r="C550" s="55"/>
      <c r="D550" s="507"/>
      <c r="E550" s="504"/>
      <c r="F550" s="504"/>
      <c r="G550" s="504"/>
      <c r="H550" s="504"/>
      <c r="I550" s="501"/>
      <c r="J550" s="514"/>
      <c r="K550" s="506"/>
      <c r="L550" s="504"/>
      <c r="M550" s="504"/>
      <c r="N550" s="504"/>
      <c r="O550" s="504"/>
      <c r="P550" s="504"/>
    </row>
    <row r="551" spans="1:16" ht="15.75" customHeight="1">
      <c r="A551" s="732" t="s">
        <v>2675</v>
      </c>
      <c r="B551" s="731" t="s">
        <v>2923</v>
      </c>
      <c r="C551" s="55"/>
      <c r="D551" s="507"/>
      <c r="E551" s="504"/>
      <c r="F551" s="504"/>
      <c r="G551" s="504"/>
      <c r="H551" s="504"/>
      <c r="I551" s="501"/>
      <c r="J551" s="514"/>
      <c r="K551" s="506"/>
      <c r="L551" s="504"/>
      <c r="M551" s="504"/>
      <c r="N551" s="504"/>
      <c r="O551" s="504"/>
      <c r="P551" s="504"/>
    </row>
    <row r="552" spans="1:16" ht="15.75" customHeight="1">
      <c r="A552" s="733" t="s">
        <v>5723</v>
      </c>
      <c r="B552" s="731" t="s">
        <v>5762</v>
      </c>
      <c r="C552" s="55"/>
      <c r="D552" s="507"/>
      <c r="E552" s="504"/>
      <c r="F552" s="504"/>
      <c r="G552" s="504"/>
      <c r="H552" s="504"/>
      <c r="I552" s="501"/>
      <c r="J552" s="511"/>
      <c r="K552" s="506"/>
      <c r="L552" s="504"/>
      <c r="M552" s="504"/>
      <c r="N552" s="504"/>
      <c r="O552" s="504"/>
      <c r="P552" s="504"/>
    </row>
    <row r="553" spans="1:16" ht="15.75" customHeight="1">
      <c r="A553" s="733" t="s">
        <v>5723</v>
      </c>
      <c r="B553" s="731" t="s">
        <v>2680</v>
      </c>
      <c r="C553" s="55"/>
      <c r="D553" s="507"/>
      <c r="E553" s="504"/>
      <c r="F553" s="504"/>
      <c r="G553" s="504"/>
      <c r="H553" s="504"/>
      <c r="I553" s="501"/>
      <c r="J553" s="511"/>
      <c r="K553" s="506"/>
      <c r="L553" s="504"/>
      <c r="M553" s="504"/>
      <c r="N553" s="504"/>
      <c r="O553" s="504"/>
      <c r="P553" s="504"/>
    </row>
    <row r="554" spans="1:16" ht="15.75" customHeight="1">
      <c r="A554" s="734" t="s">
        <v>2677</v>
      </c>
      <c r="B554" s="731" t="s">
        <v>2924</v>
      </c>
      <c r="C554" s="55"/>
      <c r="D554" s="507"/>
      <c r="E554" s="504"/>
      <c r="F554" s="504"/>
      <c r="G554" s="504"/>
      <c r="H554" s="504"/>
      <c r="I554" s="501"/>
      <c r="J554" s="511"/>
      <c r="K554" s="506"/>
      <c r="L554" s="504"/>
      <c r="M554" s="504"/>
      <c r="N554" s="504"/>
      <c r="O554" s="504"/>
      <c r="P554" s="504"/>
    </row>
    <row r="555" spans="1:16" ht="15.75" customHeight="1">
      <c r="A555" s="734" t="s">
        <v>2677</v>
      </c>
      <c r="B555" s="731" t="s">
        <v>2925</v>
      </c>
      <c r="C555" s="55"/>
      <c r="D555" s="507"/>
      <c r="E555" s="504"/>
      <c r="F555" s="504"/>
      <c r="G555" s="504"/>
      <c r="H555" s="504"/>
      <c r="I555" s="501"/>
      <c r="J555" s="511"/>
      <c r="K555" s="506"/>
      <c r="L555" s="504"/>
      <c r="M555" s="504"/>
      <c r="N555" s="504"/>
      <c r="O555" s="504"/>
      <c r="P555" s="504"/>
    </row>
    <row r="556" spans="1:16">
      <c r="A556" s="734" t="s">
        <v>2677</v>
      </c>
      <c r="B556" s="731" t="s">
        <v>2680</v>
      </c>
      <c r="C556" s="55"/>
      <c r="D556" s="507"/>
      <c r="E556" s="504"/>
      <c r="F556" s="504"/>
      <c r="G556" s="520"/>
      <c r="H556" s="521"/>
      <c r="I556" s="501"/>
      <c r="J556" s="511"/>
      <c r="K556" s="506"/>
      <c r="L556" s="504"/>
      <c r="M556" s="504"/>
      <c r="N556" s="504"/>
      <c r="O556" s="504"/>
      <c r="P556" s="504"/>
    </row>
    <row r="557" spans="1:16" ht="15.75" customHeight="1">
      <c r="A557" s="735" t="s">
        <v>2681</v>
      </c>
      <c r="B557" s="731" t="s">
        <v>2926</v>
      </c>
      <c r="C557" s="55"/>
      <c r="D557" s="507"/>
      <c r="E557" s="504"/>
      <c r="F557" s="504"/>
      <c r="G557" s="520"/>
      <c r="H557" s="521"/>
      <c r="I557" s="501"/>
      <c r="J557" s="515"/>
      <c r="K557" s="506"/>
      <c r="L557" s="504"/>
      <c r="M557" s="504"/>
      <c r="N557" s="504"/>
      <c r="O557" s="504"/>
      <c r="P557" s="504"/>
    </row>
    <row r="558" spans="1:16" ht="15.75" customHeight="1">
      <c r="A558" s="735" t="s">
        <v>2681</v>
      </c>
      <c r="B558" s="731" t="s">
        <v>2680</v>
      </c>
      <c r="C558" s="55"/>
      <c r="D558" s="507"/>
      <c r="E558" s="504"/>
      <c r="F558" s="504"/>
      <c r="G558" s="520"/>
      <c r="H558" s="521"/>
      <c r="I558" s="501"/>
      <c r="J558" s="515"/>
      <c r="K558" s="506"/>
      <c r="L558" s="504"/>
      <c r="M558" s="504"/>
      <c r="N558" s="504"/>
      <c r="O558" s="504"/>
      <c r="P558" s="504"/>
    </row>
    <row r="559" spans="1:16" ht="15.75" customHeight="1">
      <c r="A559" s="735" t="s">
        <v>2681</v>
      </c>
      <c r="B559" s="731" t="s">
        <v>2680</v>
      </c>
      <c r="C559" s="55"/>
      <c r="D559" s="507"/>
      <c r="E559" s="504"/>
      <c r="F559" s="504"/>
      <c r="G559" s="520"/>
      <c r="H559" s="521"/>
      <c r="I559" s="501"/>
      <c r="J559" s="516"/>
      <c r="K559" s="506"/>
      <c r="L559" s="504"/>
      <c r="M559" s="504"/>
      <c r="N559" s="504"/>
      <c r="O559" s="504"/>
      <c r="P559" s="504"/>
    </row>
    <row r="560" spans="1:16" ht="15.75" customHeight="1">
      <c r="A560" s="735" t="s">
        <v>2681</v>
      </c>
      <c r="B560" s="731" t="s">
        <v>2680</v>
      </c>
      <c r="C560" s="55"/>
      <c r="D560" s="507"/>
      <c r="E560" s="504"/>
      <c r="F560" s="504"/>
      <c r="G560" s="520"/>
      <c r="H560" s="521"/>
      <c r="I560" s="501"/>
      <c r="J560" s="505"/>
      <c r="K560" s="506"/>
      <c r="L560" s="504"/>
      <c r="M560" s="504"/>
      <c r="N560" s="504"/>
      <c r="O560" s="504"/>
      <c r="P560" s="504"/>
    </row>
    <row r="561" spans="1:16" ht="15.45">
      <c r="A561" s="737" t="s">
        <v>2686</v>
      </c>
      <c r="B561" s="731" t="s">
        <v>2927</v>
      </c>
      <c r="C561" s="55"/>
      <c r="D561" s="507"/>
      <c r="E561" s="504"/>
      <c r="F561" s="504"/>
      <c r="G561" s="520"/>
      <c r="H561" s="521"/>
      <c r="I561" s="501"/>
      <c r="J561" s="517"/>
      <c r="K561" s="506"/>
      <c r="L561" s="504"/>
      <c r="M561" s="504"/>
      <c r="N561" s="504"/>
      <c r="O561" s="504"/>
      <c r="P561" s="504"/>
    </row>
    <row r="562" spans="1:16" ht="15.75" customHeight="1">
      <c r="A562" s="737" t="s">
        <v>2686</v>
      </c>
      <c r="B562" s="731" t="s">
        <v>2928</v>
      </c>
      <c r="C562" s="55"/>
      <c r="D562" s="507"/>
      <c r="E562" s="504"/>
      <c r="F562" s="504"/>
      <c r="G562" s="520"/>
      <c r="H562" s="521"/>
      <c r="I562" s="501"/>
      <c r="J562" s="512"/>
      <c r="K562" s="506"/>
      <c r="L562" s="504"/>
      <c r="M562" s="504"/>
      <c r="N562" s="504"/>
      <c r="O562" s="504"/>
      <c r="P562" s="504"/>
    </row>
    <row r="563" spans="1:16" ht="15.75" customHeight="1">
      <c r="A563" s="737" t="s">
        <v>2686</v>
      </c>
      <c r="B563" s="731" t="s">
        <v>2929</v>
      </c>
      <c r="C563" s="55"/>
      <c r="D563" s="507"/>
      <c r="E563" s="504"/>
      <c r="F563" s="504"/>
      <c r="G563" s="520"/>
      <c r="H563" s="521"/>
      <c r="I563" s="501"/>
      <c r="J563" s="512"/>
      <c r="K563" s="506"/>
      <c r="L563" s="504"/>
      <c r="M563" s="504"/>
      <c r="N563" s="504"/>
      <c r="O563" s="504"/>
      <c r="P563" s="504"/>
    </row>
    <row r="564" spans="1:16" ht="15.75" customHeight="1">
      <c r="A564" s="737" t="s">
        <v>2686</v>
      </c>
      <c r="B564" s="731" t="s">
        <v>2930</v>
      </c>
      <c r="C564" s="55"/>
      <c r="D564" s="507"/>
      <c r="E564" s="504"/>
      <c r="F564" s="504"/>
      <c r="G564" s="520"/>
      <c r="H564" s="521"/>
      <c r="I564" s="501"/>
      <c r="J564" s="513"/>
      <c r="K564" s="506"/>
      <c r="L564" s="504"/>
      <c r="M564" s="504"/>
      <c r="N564" s="504"/>
      <c r="O564" s="504"/>
      <c r="P564" s="504"/>
    </row>
    <row r="565" spans="1:16" ht="15.75" customHeight="1">
      <c r="A565" s="737" t="s">
        <v>2686</v>
      </c>
      <c r="B565" s="731" t="s">
        <v>2680</v>
      </c>
      <c r="C565" s="55"/>
      <c r="D565" s="507"/>
      <c r="E565" s="504"/>
      <c r="F565" s="504"/>
      <c r="G565" s="520"/>
      <c r="H565" s="521"/>
      <c r="I565" s="501"/>
      <c r="J565" s="513"/>
      <c r="K565" s="506"/>
      <c r="L565" s="504"/>
      <c r="M565" s="504"/>
      <c r="N565" s="504"/>
      <c r="O565" s="504"/>
      <c r="P565" s="504"/>
    </row>
    <row r="566" spans="1:16" ht="15.75" customHeight="1">
      <c r="A566" s="738" t="s">
        <v>2691</v>
      </c>
      <c r="B566" s="731" t="s">
        <v>2931</v>
      </c>
      <c r="C566" s="55"/>
      <c r="D566" s="507"/>
      <c r="E566" s="504"/>
      <c r="F566" s="504"/>
      <c r="G566" s="520"/>
      <c r="H566" s="521"/>
      <c r="I566" s="501"/>
      <c r="J566" s="513"/>
      <c r="K566" s="506"/>
      <c r="L566" s="504"/>
      <c r="M566" s="504"/>
      <c r="N566" s="504"/>
      <c r="O566" s="504"/>
      <c r="P566" s="504"/>
    </row>
    <row r="567" spans="1:16" ht="15.75" customHeight="1">
      <c r="A567" s="738" t="s">
        <v>2691</v>
      </c>
      <c r="B567" s="731" t="s">
        <v>2680</v>
      </c>
      <c r="C567" s="55"/>
      <c r="D567" s="507"/>
      <c r="E567" s="504"/>
      <c r="F567" s="504"/>
      <c r="G567" s="520"/>
      <c r="H567" s="521"/>
      <c r="I567" s="501"/>
      <c r="J567" s="514"/>
      <c r="K567" s="506"/>
      <c r="L567" s="504"/>
      <c r="M567" s="504"/>
      <c r="N567" s="504"/>
      <c r="O567" s="504"/>
      <c r="P567" s="504"/>
    </row>
    <row r="568" spans="1:16" ht="15.75" customHeight="1">
      <c r="A568" s="739" t="s">
        <v>2693</v>
      </c>
      <c r="B568" s="731" t="s">
        <v>2680</v>
      </c>
      <c r="C568" s="55"/>
      <c r="D568" s="507"/>
      <c r="E568" s="504"/>
      <c r="F568" s="504"/>
      <c r="G568" s="520"/>
      <c r="H568" s="521"/>
      <c r="I568" s="501"/>
      <c r="J568" s="514"/>
      <c r="K568" s="506"/>
      <c r="L568" s="504"/>
      <c r="M568" s="504"/>
      <c r="N568" s="504"/>
      <c r="O568" s="504"/>
      <c r="P568" s="504"/>
    </row>
    <row r="569" spans="1:16" ht="15.75" customHeight="1">
      <c r="A569" s="740"/>
      <c r="B569" s="559"/>
      <c r="C569" s="55"/>
      <c r="D569" s="507"/>
      <c r="E569" s="504"/>
      <c r="F569" s="504"/>
      <c r="G569" s="520"/>
      <c r="H569" s="521"/>
      <c r="I569" s="501"/>
      <c r="J569" s="514"/>
      <c r="K569" s="506"/>
      <c r="L569" s="504"/>
      <c r="M569" s="504"/>
      <c r="N569" s="504"/>
      <c r="O569" s="504"/>
      <c r="P569" s="504"/>
    </row>
    <row r="570" spans="1:16" ht="15.75" customHeight="1">
      <c r="A570" s="729" t="s">
        <v>2932</v>
      </c>
      <c r="B570" s="731" t="s">
        <v>2674</v>
      </c>
      <c r="C570" s="55"/>
      <c r="D570" s="507"/>
      <c r="E570" s="504"/>
      <c r="F570" s="504"/>
      <c r="G570" s="520"/>
      <c r="H570" s="521"/>
      <c r="I570" s="501"/>
      <c r="J570" s="514"/>
      <c r="K570" s="506"/>
      <c r="L570" s="504"/>
      <c r="M570" s="504"/>
      <c r="N570" s="504"/>
      <c r="O570" s="504"/>
      <c r="P570" s="504"/>
    </row>
    <row r="571" spans="1:16" ht="15.75" customHeight="1">
      <c r="A571" s="732" t="s">
        <v>2675</v>
      </c>
      <c r="B571" s="731" t="s">
        <v>2933</v>
      </c>
      <c r="C571" s="55"/>
      <c r="D571" s="507"/>
      <c r="E571" s="504"/>
      <c r="F571" s="504"/>
      <c r="G571" s="520"/>
      <c r="H571" s="521"/>
      <c r="I571" s="501"/>
      <c r="J571" s="511"/>
      <c r="K571" s="506"/>
      <c r="L571" s="504"/>
      <c r="M571" s="504"/>
      <c r="N571" s="504"/>
      <c r="O571" s="504"/>
      <c r="P571" s="504"/>
    </row>
    <row r="572" spans="1:16" ht="15.75" customHeight="1">
      <c r="A572" s="732" t="s">
        <v>2675</v>
      </c>
      <c r="B572" s="731" t="s">
        <v>2680</v>
      </c>
      <c r="C572" s="55"/>
      <c r="D572" s="507"/>
      <c r="E572" s="504"/>
      <c r="F572" s="504"/>
      <c r="G572" s="520"/>
      <c r="H572" s="521"/>
      <c r="I572" s="501"/>
      <c r="J572" s="511"/>
      <c r="K572" s="506"/>
      <c r="L572" s="504"/>
      <c r="M572" s="504"/>
      <c r="N572" s="504"/>
      <c r="O572" s="504"/>
      <c r="P572" s="504"/>
    </row>
    <row r="573" spans="1:16" ht="15.75" customHeight="1">
      <c r="A573" s="733" t="s">
        <v>5723</v>
      </c>
      <c r="B573" s="731" t="s">
        <v>5763</v>
      </c>
      <c r="C573" s="55"/>
      <c r="D573" s="507"/>
      <c r="E573" s="504"/>
      <c r="F573" s="504"/>
      <c r="G573" s="520"/>
      <c r="H573" s="521"/>
      <c r="I573" s="501"/>
      <c r="J573" s="511"/>
      <c r="K573" s="506"/>
      <c r="L573" s="504"/>
      <c r="M573" s="504"/>
      <c r="N573" s="504"/>
      <c r="O573" s="504"/>
      <c r="P573" s="504"/>
    </row>
    <row r="574" spans="1:16" ht="15.75" customHeight="1">
      <c r="A574" s="733" t="s">
        <v>5723</v>
      </c>
      <c r="B574" s="731" t="s">
        <v>2680</v>
      </c>
      <c r="C574" s="55"/>
      <c r="D574" s="507"/>
      <c r="E574" s="504"/>
      <c r="F574" s="504"/>
      <c r="G574" s="520"/>
      <c r="H574" s="521"/>
      <c r="I574" s="501"/>
      <c r="J574" s="511"/>
      <c r="K574" s="506"/>
      <c r="L574" s="504"/>
      <c r="M574" s="504"/>
      <c r="N574" s="504"/>
      <c r="O574" s="504"/>
      <c r="P574" s="504"/>
    </row>
    <row r="575" spans="1:16">
      <c r="A575" s="734" t="s">
        <v>2677</v>
      </c>
      <c r="B575" s="731" t="s">
        <v>2934</v>
      </c>
      <c r="C575" s="55"/>
      <c r="D575" s="507"/>
      <c r="E575" s="504"/>
      <c r="F575" s="504"/>
      <c r="G575" s="504"/>
      <c r="H575" s="504"/>
      <c r="I575" s="501"/>
      <c r="J575" s="511"/>
      <c r="K575" s="506"/>
      <c r="L575" s="504"/>
      <c r="M575" s="504"/>
      <c r="N575" s="504"/>
      <c r="O575" s="504"/>
      <c r="P575" s="504"/>
    </row>
    <row r="576" spans="1:16" ht="15.75" customHeight="1">
      <c r="A576" s="734" t="s">
        <v>2677</v>
      </c>
      <c r="B576" s="731" t="s">
        <v>2935</v>
      </c>
      <c r="C576" s="55"/>
      <c r="D576" s="507"/>
      <c r="E576" s="504"/>
      <c r="F576" s="504"/>
      <c r="G576" s="504"/>
      <c r="H576" s="504"/>
      <c r="I576" s="501"/>
      <c r="J576" s="515"/>
      <c r="K576" s="506"/>
      <c r="L576" s="504"/>
      <c r="M576" s="504"/>
      <c r="N576" s="504"/>
      <c r="O576" s="504"/>
      <c r="P576" s="504"/>
    </row>
    <row r="577" spans="1:16" ht="15.75" customHeight="1">
      <c r="A577" s="734" t="s">
        <v>2677</v>
      </c>
      <c r="B577" s="731" t="s">
        <v>2680</v>
      </c>
      <c r="C577" s="55"/>
      <c r="D577" s="507"/>
      <c r="E577" s="504"/>
      <c r="F577" s="504"/>
      <c r="G577" s="504"/>
      <c r="H577" s="504"/>
      <c r="I577" s="501"/>
      <c r="J577" s="515"/>
      <c r="K577" s="506"/>
      <c r="L577" s="504"/>
      <c r="M577" s="504"/>
      <c r="N577" s="504"/>
      <c r="O577" s="504"/>
      <c r="P577" s="504"/>
    </row>
    <row r="578" spans="1:16" ht="15.75" customHeight="1">
      <c r="A578" s="735" t="s">
        <v>2681</v>
      </c>
      <c r="B578" s="731" t="s">
        <v>2936</v>
      </c>
      <c r="C578" s="55"/>
      <c r="D578" s="507"/>
      <c r="E578" s="504"/>
      <c r="F578" s="504"/>
      <c r="G578" s="504"/>
      <c r="H578" s="504"/>
      <c r="I578" s="501"/>
      <c r="J578" s="516"/>
      <c r="K578" s="506"/>
      <c r="L578" s="504"/>
      <c r="M578" s="504"/>
      <c r="N578" s="504"/>
      <c r="O578" s="504"/>
      <c r="P578" s="504"/>
    </row>
    <row r="579" spans="1:16" ht="15.75" customHeight="1">
      <c r="A579" s="735" t="s">
        <v>2681</v>
      </c>
      <c r="B579" s="731" t="s">
        <v>2937</v>
      </c>
      <c r="C579" s="55"/>
      <c r="D579" s="507"/>
      <c r="E579" s="504"/>
      <c r="F579" s="504"/>
      <c r="G579" s="504"/>
      <c r="H579" s="504"/>
      <c r="I579" s="501"/>
      <c r="J579" s="505"/>
      <c r="K579" s="506"/>
      <c r="L579" s="504"/>
      <c r="M579" s="504"/>
      <c r="N579" s="504"/>
      <c r="O579" s="504"/>
      <c r="P579" s="504"/>
    </row>
    <row r="580" spans="1:16" ht="15.45">
      <c r="A580" s="735" t="s">
        <v>2681</v>
      </c>
      <c r="B580" s="731" t="s">
        <v>2680</v>
      </c>
      <c r="C580" s="55"/>
      <c r="D580" s="507"/>
      <c r="E580" s="504"/>
      <c r="F580" s="504"/>
      <c r="G580" s="504"/>
      <c r="H580" s="504"/>
      <c r="I580" s="501"/>
      <c r="J580" s="517"/>
      <c r="K580" s="506"/>
      <c r="L580" s="504"/>
      <c r="M580" s="504"/>
      <c r="N580" s="504"/>
      <c r="O580" s="504"/>
      <c r="P580" s="504"/>
    </row>
    <row r="581" spans="1:16" ht="15.75" customHeight="1">
      <c r="A581" s="735" t="s">
        <v>2681</v>
      </c>
      <c r="B581" s="731" t="s">
        <v>2680</v>
      </c>
      <c r="C581" s="55"/>
      <c r="D581" s="507"/>
      <c r="E581" s="504"/>
      <c r="F581" s="504"/>
      <c r="G581" s="504"/>
      <c r="H581" s="504"/>
      <c r="I581" s="501"/>
      <c r="J581" s="512"/>
      <c r="K581" s="506"/>
      <c r="L581" s="504"/>
      <c r="M581" s="504"/>
      <c r="N581" s="504"/>
      <c r="O581" s="504"/>
      <c r="P581" s="504"/>
    </row>
    <row r="582" spans="1:16" ht="15.75" customHeight="1">
      <c r="A582" s="737" t="s">
        <v>2686</v>
      </c>
      <c r="B582" s="731" t="s">
        <v>5944</v>
      </c>
      <c r="C582" s="55"/>
      <c r="D582" s="507"/>
      <c r="E582" s="504"/>
      <c r="F582" s="504"/>
      <c r="G582" s="504"/>
      <c r="H582" s="504"/>
      <c r="I582" s="501"/>
      <c r="J582" s="512"/>
      <c r="K582" s="506"/>
      <c r="L582" s="504"/>
      <c r="M582" s="504"/>
      <c r="N582" s="504"/>
      <c r="O582" s="504"/>
      <c r="P582" s="504"/>
    </row>
    <row r="583" spans="1:16" ht="15.75" customHeight="1">
      <c r="A583" s="737" t="s">
        <v>2686</v>
      </c>
      <c r="B583" s="731" t="s">
        <v>2938</v>
      </c>
      <c r="C583" s="55"/>
      <c r="D583" s="507"/>
      <c r="E583" s="504"/>
      <c r="F583" s="504"/>
      <c r="G583" s="504"/>
      <c r="H583" s="504"/>
      <c r="I583" s="501"/>
      <c r="J583" s="513"/>
      <c r="K583" s="506"/>
      <c r="L583" s="504"/>
      <c r="M583" s="504"/>
      <c r="N583" s="504"/>
      <c r="O583" s="504"/>
      <c r="P583" s="504"/>
    </row>
    <row r="584" spans="1:16" ht="15.75" customHeight="1">
      <c r="A584" s="737" t="s">
        <v>2686</v>
      </c>
      <c r="B584" s="731" t="s">
        <v>2939</v>
      </c>
      <c r="C584" s="55"/>
      <c r="D584" s="507"/>
      <c r="E584" s="504"/>
      <c r="F584" s="504"/>
      <c r="G584" s="504"/>
      <c r="H584" s="504"/>
      <c r="I584" s="501"/>
      <c r="J584" s="513"/>
      <c r="K584" s="506"/>
      <c r="L584" s="504"/>
      <c r="M584" s="504"/>
      <c r="N584" s="504"/>
      <c r="O584" s="504"/>
      <c r="P584" s="504"/>
    </row>
    <row r="585" spans="1:16" ht="15.75" customHeight="1">
      <c r="A585" s="737" t="s">
        <v>2686</v>
      </c>
      <c r="B585" s="731" t="s">
        <v>2940</v>
      </c>
      <c r="C585" s="55"/>
      <c r="D585" s="507"/>
      <c r="E585" s="504"/>
      <c r="F585" s="504"/>
      <c r="G585" s="504"/>
      <c r="H585" s="504"/>
      <c r="I585" s="501"/>
      <c r="J585" s="513"/>
      <c r="K585" s="506"/>
      <c r="L585" s="504"/>
      <c r="M585" s="504"/>
      <c r="N585" s="504"/>
      <c r="O585" s="504"/>
      <c r="P585" s="504"/>
    </row>
    <row r="586" spans="1:16" ht="15.75" customHeight="1">
      <c r="A586" s="737" t="s">
        <v>2686</v>
      </c>
      <c r="B586" s="731" t="s">
        <v>2680</v>
      </c>
      <c r="C586" s="55"/>
      <c r="D586" s="507"/>
      <c r="E586" s="504"/>
      <c r="F586" s="504"/>
      <c r="G586" s="504"/>
      <c r="H586" s="504"/>
      <c r="I586" s="501"/>
      <c r="J586" s="514"/>
      <c r="K586" s="506"/>
      <c r="L586" s="504"/>
      <c r="M586" s="504"/>
      <c r="N586" s="504"/>
      <c r="O586" s="504"/>
      <c r="P586" s="504"/>
    </row>
    <row r="587" spans="1:16" ht="15.75" customHeight="1">
      <c r="A587" s="738" t="s">
        <v>2691</v>
      </c>
      <c r="B587" s="731" t="s">
        <v>2680</v>
      </c>
      <c r="C587" s="55"/>
      <c r="D587" s="507"/>
      <c r="E587" s="504"/>
      <c r="F587" s="504"/>
      <c r="G587" s="504"/>
      <c r="H587" s="504"/>
      <c r="I587" s="501"/>
      <c r="J587" s="514"/>
      <c r="K587" s="506"/>
      <c r="L587" s="504"/>
      <c r="M587" s="504"/>
      <c r="N587" s="504"/>
      <c r="O587" s="504"/>
      <c r="P587" s="504"/>
    </row>
    <row r="588" spans="1:16" ht="15.75" customHeight="1">
      <c r="A588" s="738" t="s">
        <v>2691</v>
      </c>
      <c r="B588" s="731" t="s">
        <v>2680</v>
      </c>
      <c r="C588" s="55"/>
      <c r="D588" s="507"/>
      <c r="E588" s="504"/>
      <c r="F588" s="504"/>
      <c r="G588" s="504"/>
      <c r="H588" s="504"/>
      <c r="I588" s="501"/>
      <c r="J588" s="514"/>
      <c r="K588" s="506"/>
      <c r="L588" s="504"/>
      <c r="M588" s="504"/>
      <c r="N588" s="504"/>
      <c r="O588" s="504"/>
      <c r="P588" s="504"/>
    </row>
    <row r="589" spans="1:16" ht="15.75" customHeight="1">
      <c r="A589" s="739" t="s">
        <v>2693</v>
      </c>
      <c r="B589" s="731" t="s">
        <v>2680</v>
      </c>
      <c r="C589" s="55"/>
      <c r="D589" s="507"/>
      <c r="E589" s="504"/>
      <c r="F589" s="504"/>
      <c r="G589" s="504"/>
      <c r="H589" s="504"/>
      <c r="I589" s="501"/>
      <c r="J589" s="514"/>
      <c r="K589" s="506"/>
      <c r="L589" s="504"/>
      <c r="M589" s="504"/>
      <c r="N589" s="504"/>
      <c r="O589" s="504"/>
      <c r="P589" s="504"/>
    </row>
    <row r="590" spans="1:16" ht="15.75" customHeight="1">
      <c r="A590" s="533"/>
      <c r="B590" s="559"/>
      <c r="C590" s="55"/>
      <c r="D590" s="507"/>
      <c r="E590" s="504"/>
      <c r="F590" s="504"/>
      <c r="G590" s="504"/>
      <c r="H590" s="504"/>
      <c r="I590" s="501"/>
      <c r="J590" s="511"/>
      <c r="K590" s="506"/>
      <c r="L590" s="504"/>
      <c r="M590" s="504"/>
      <c r="N590" s="504"/>
      <c r="O590" s="504"/>
      <c r="P590" s="504"/>
    </row>
    <row r="591" spans="1:16" ht="15.75" customHeight="1">
      <c r="A591" s="728" t="s">
        <v>2941</v>
      </c>
      <c r="B591" s="559"/>
      <c r="C591" s="55"/>
      <c r="D591" s="507"/>
      <c r="E591" s="504"/>
      <c r="F591" s="504"/>
      <c r="G591" s="504"/>
      <c r="H591" s="504"/>
      <c r="I591" s="501"/>
      <c r="J591" s="511"/>
      <c r="K591" s="506"/>
      <c r="L591" s="504"/>
      <c r="M591" s="504"/>
      <c r="N591" s="504"/>
      <c r="O591" s="504"/>
      <c r="P591" s="504"/>
    </row>
    <row r="592" spans="1:16" ht="15.75" customHeight="1">
      <c r="A592" s="741"/>
      <c r="B592" s="559"/>
      <c r="C592" s="55"/>
      <c r="D592" s="507"/>
      <c r="E592" s="504"/>
      <c r="F592" s="504"/>
      <c r="G592" s="504"/>
      <c r="H592" s="504"/>
      <c r="I592" s="501"/>
      <c r="J592" s="511"/>
      <c r="K592" s="506"/>
      <c r="L592" s="504"/>
      <c r="M592" s="504"/>
      <c r="N592" s="504"/>
      <c r="O592" s="504"/>
      <c r="P592" s="504"/>
    </row>
    <row r="593" spans="1:16" ht="15.75" customHeight="1">
      <c r="A593" s="729" t="s">
        <v>2942</v>
      </c>
      <c r="B593" s="731" t="s">
        <v>2943</v>
      </c>
      <c r="C593" s="55"/>
      <c r="D593" s="507"/>
      <c r="E593" s="504"/>
      <c r="F593" s="504"/>
      <c r="G593" s="504"/>
      <c r="H593" s="504"/>
      <c r="I593" s="501"/>
      <c r="J593" s="511"/>
      <c r="K593" s="506"/>
      <c r="L593" s="504"/>
      <c r="M593" s="504"/>
      <c r="N593" s="504"/>
      <c r="O593" s="504"/>
      <c r="P593" s="504"/>
    </row>
    <row r="594" spans="1:16">
      <c r="A594" s="732" t="s">
        <v>2675</v>
      </c>
      <c r="B594" s="731" t="s">
        <v>5764</v>
      </c>
      <c r="C594" s="55"/>
      <c r="D594" s="507"/>
      <c r="E594" s="504"/>
      <c r="F594" s="504"/>
      <c r="G594" s="504"/>
      <c r="H594" s="504"/>
      <c r="I594" s="501"/>
      <c r="J594" s="511"/>
      <c r="K594" s="506"/>
      <c r="L594" s="504"/>
      <c r="M594" s="504"/>
      <c r="N594" s="504"/>
      <c r="O594" s="504"/>
      <c r="P594" s="504"/>
    </row>
    <row r="595" spans="1:16" ht="15.75" customHeight="1">
      <c r="A595" s="732" t="s">
        <v>2675</v>
      </c>
      <c r="B595" s="731" t="s">
        <v>2680</v>
      </c>
      <c r="C595" s="55"/>
      <c r="D595" s="507"/>
      <c r="E595" s="504"/>
      <c r="F595" s="504"/>
      <c r="G595" s="504"/>
      <c r="H595" s="504"/>
      <c r="I595" s="501"/>
      <c r="J595" s="515"/>
      <c r="K595" s="506"/>
      <c r="L595" s="504"/>
      <c r="M595" s="504"/>
      <c r="N595" s="504"/>
      <c r="O595" s="504"/>
      <c r="P595" s="504"/>
    </row>
    <row r="596" spans="1:16" ht="15.75" customHeight="1">
      <c r="A596" s="733" t="s">
        <v>5723</v>
      </c>
      <c r="B596" s="731" t="s">
        <v>5765</v>
      </c>
      <c r="C596" s="55"/>
      <c r="D596" s="507"/>
      <c r="E596" s="504"/>
      <c r="F596" s="504"/>
      <c r="G596" s="504"/>
      <c r="H596" s="504"/>
      <c r="I596" s="501"/>
      <c r="J596" s="515"/>
      <c r="K596" s="506"/>
      <c r="L596" s="504"/>
      <c r="M596" s="504"/>
      <c r="N596" s="504"/>
      <c r="O596" s="504"/>
      <c r="P596" s="504"/>
    </row>
    <row r="597" spans="1:16" ht="15.75" customHeight="1">
      <c r="A597" s="733" t="s">
        <v>5723</v>
      </c>
      <c r="B597" s="731" t="s">
        <v>2680</v>
      </c>
      <c r="C597" s="55"/>
      <c r="D597" s="507"/>
      <c r="E597" s="504"/>
      <c r="F597" s="504"/>
      <c r="G597" s="504"/>
      <c r="H597" s="504"/>
      <c r="I597" s="501"/>
      <c r="J597" s="516"/>
      <c r="K597" s="506"/>
      <c r="L597" s="504"/>
      <c r="M597" s="504"/>
      <c r="N597" s="504"/>
      <c r="O597" s="504"/>
      <c r="P597" s="504"/>
    </row>
    <row r="598" spans="1:16" ht="15.75" customHeight="1">
      <c r="A598" s="734" t="s">
        <v>2677</v>
      </c>
      <c r="B598" s="731" t="s">
        <v>2944</v>
      </c>
      <c r="C598" s="55"/>
      <c r="D598" s="507"/>
      <c r="E598" s="504"/>
      <c r="F598" s="504"/>
      <c r="G598" s="504"/>
      <c r="H598" s="504"/>
      <c r="I598" s="501"/>
      <c r="J598" s="505"/>
      <c r="K598" s="506"/>
      <c r="L598" s="504"/>
      <c r="M598" s="504"/>
      <c r="N598" s="504"/>
      <c r="O598" s="504"/>
      <c r="P598" s="504"/>
    </row>
    <row r="599" spans="1:16" ht="15.45">
      <c r="A599" s="734" t="s">
        <v>2677</v>
      </c>
      <c r="B599" s="731" t="s">
        <v>2945</v>
      </c>
      <c r="C599" s="55"/>
      <c r="D599" s="507"/>
      <c r="E599" s="504"/>
      <c r="F599" s="504"/>
      <c r="G599" s="504"/>
      <c r="H599" s="504"/>
      <c r="I599" s="501"/>
      <c r="J599" s="517"/>
      <c r="K599" s="506"/>
      <c r="L599" s="504"/>
      <c r="M599" s="504"/>
      <c r="N599" s="504"/>
      <c r="O599" s="504"/>
      <c r="P599" s="504"/>
    </row>
    <row r="600" spans="1:16" ht="15.75" customHeight="1">
      <c r="A600" s="734" t="s">
        <v>2677</v>
      </c>
      <c r="B600" s="731" t="s">
        <v>2680</v>
      </c>
      <c r="C600" s="55"/>
      <c r="D600" s="507"/>
      <c r="E600" s="504"/>
      <c r="F600" s="504"/>
      <c r="G600" s="504"/>
      <c r="H600" s="504"/>
      <c r="I600" s="501"/>
      <c r="J600" s="512"/>
      <c r="K600" s="506"/>
      <c r="L600" s="504"/>
      <c r="M600" s="504"/>
      <c r="N600" s="504"/>
      <c r="O600" s="504"/>
      <c r="P600" s="504"/>
    </row>
    <row r="601" spans="1:16" ht="15.75" customHeight="1">
      <c r="A601" s="735" t="s">
        <v>2681</v>
      </c>
      <c r="B601" s="731" t="s">
        <v>2946</v>
      </c>
      <c r="C601" s="55"/>
      <c r="D601" s="507"/>
      <c r="E601" s="504"/>
      <c r="F601" s="504"/>
      <c r="G601" s="504"/>
      <c r="H601" s="504"/>
      <c r="I601" s="501"/>
      <c r="J601" s="512"/>
      <c r="K601" s="506"/>
      <c r="L601" s="504"/>
      <c r="M601" s="504"/>
      <c r="N601" s="504"/>
      <c r="O601" s="504"/>
      <c r="P601" s="504"/>
    </row>
    <row r="602" spans="1:16" ht="15.75" customHeight="1">
      <c r="A602" s="735" t="s">
        <v>2681</v>
      </c>
      <c r="B602" s="731" t="s">
        <v>2947</v>
      </c>
      <c r="C602" s="55"/>
      <c r="D602" s="507"/>
      <c r="E602" s="504"/>
      <c r="F602" s="504"/>
      <c r="G602" s="504"/>
      <c r="H602" s="504"/>
      <c r="I602" s="501"/>
      <c r="J602" s="513"/>
      <c r="K602" s="506"/>
      <c r="L602" s="504"/>
      <c r="M602" s="504"/>
      <c r="N602" s="504"/>
      <c r="O602" s="504"/>
      <c r="P602" s="504"/>
    </row>
    <row r="603" spans="1:16" ht="15.75" customHeight="1">
      <c r="A603" s="735" t="s">
        <v>2681</v>
      </c>
      <c r="B603" s="731" t="s">
        <v>2680</v>
      </c>
      <c r="C603" s="55"/>
      <c r="D603" s="507"/>
      <c r="E603" s="504"/>
      <c r="F603" s="504"/>
      <c r="G603" s="504"/>
      <c r="H603" s="504"/>
      <c r="I603" s="501"/>
      <c r="J603" s="513"/>
      <c r="K603" s="506"/>
      <c r="L603" s="504"/>
      <c r="M603" s="504"/>
      <c r="N603" s="504"/>
      <c r="O603" s="504"/>
      <c r="P603" s="504"/>
    </row>
    <row r="604" spans="1:16" ht="15.75" customHeight="1">
      <c r="A604" s="735" t="s">
        <v>2681</v>
      </c>
      <c r="B604" s="731" t="s">
        <v>2680</v>
      </c>
      <c r="C604" s="55"/>
      <c r="D604" s="507"/>
      <c r="E604" s="504"/>
      <c r="F604" s="504"/>
      <c r="G604" s="504"/>
      <c r="H604" s="504"/>
      <c r="I604" s="501"/>
      <c r="J604" s="513"/>
      <c r="K604" s="506"/>
      <c r="L604" s="504"/>
      <c r="M604" s="504"/>
      <c r="N604" s="504"/>
      <c r="O604" s="504"/>
      <c r="P604" s="504"/>
    </row>
    <row r="605" spans="1:16" ht="15.75" customHeight="1">
      <c r="A605" s="737" t="s">
        <v>2686</v>
      </c>
      <c r="B605" s="731" t="s">
        <v>2948</v>
      </c>
      <c r="C605" s="55"/>
      <c r="D605" s="507"/>
      <c r="E605" s="504"/>
      <c r="F605" s="504"/>
      <c r="G605" s="504"/>
      <c r="H605" s="504"/>
      <c r="I605" s="501"/>
      <c r="J605" s="514"/>
      <c r="K605" s="506"/>
      <c r="L605" s="504"/>
      <c r="M605" s="504"/>
      <c r="N605" s="504"/>
      <c r="O605" s="504"/>
      <c r="P605" s="504"/>
    </row>
    <row r="606" spans="1:16" ht="15.75" customHeight="1">
      <c r="A606" s="737" t="s">
        <v>2686</v>
      </c>
      <c r="B606" s="731" t="s">
        <v>2949</v>
      </c>
      <c r="C606" s="55"/>
      <c r="D606" s="507"/>
      <c r="E606" s="504"/>
      <c r="F606" s="504"/>
      <c r="G606" s="504"/>
      <c r="H606" s="504"/>
      <c r="I606" s="501"/>
      <c r="J606" s="514"/>
      <c r="K606" s="506"/>
      <c r="L606" s="504"/>
      <c r="M606" s="504"/>
      <c r="N606" s="504"/>
      <c r="O606" s="504"/>
      <c r="P606" s="504"/>
    </row>
    <row r="607" spans="1:16" ht="15.75" customHeight="1">
      <c r="A607" s="737" t="s">
        <v>2686</v>
      </c>
      <c r="B607" s="731" t="s">
        <v>2950</v>
      </c>
      <c r="C607" s="55"/>
      <c r="D607" s="507"/>
      <c r="E607" s="504"/>
      <c r="F607" s="504"/>
      <c r="G607" s="504"/>
      <c r="H607" s="504"/>
      <c r="I607" s="501"/>
      <c r="J607" s="514"/>
      <c r="K607" s="506"/>
      <c r="L607" s="504"/>
      <c r="M607" s="504"/>
      <c r="N607" s="504"/>
      <c r="O607" s="504"/>
      <c r="P607" s="504"/>
    </row>
    <row r="608" spans="1:16" ht="15.75" customHeight="1">
      <c r="A608" s="737" t="s">
        <v>2686</v>
      </c>
      <c r="B608" s="731" t="s">
        <v>2680</v>
      </c>
      <c r="C608" s="55"/>
      <c r="D608" s="507"/>
      <c r="E608" s="504"/>
      <c r="F608" s="504"/>
      <c r="G608" s="504"/>
      <c r="H608" s="504"/>
      <c r="I608" s="501"/>
      <c r="J608" s="514"/>
      <c r="K608" s="506"/>
      <c r="L608" s="504"/>
      <c r="M608" s="504"/>
      <c r="N608" s="504"/>
      <c r="O608" s="504"/>
      <c r="P608" s="504"/>
    </row>
    <row r="609" spans="1:16" ht="15.75" customHeight="1">
      <c r="A609" s="737" t="s">
        <v>2686</v>
      </c>
      <c r="B609" s="731" t="s">
        <v>2951</v>
      </c>
      <c r="C609" s="55"/>
      <c r="D609" s="507"/>
      <c r="E609" s="504"/>
      <c r="F609" s="504"/>
      <c r="G609" s="504"/>
      <c r="H609" s="504"/>
      <c r="I609" s="501"/>
      <c r="J609" s="511"/>
      <c r="K609" s="506"/>
      <c r="L609" s="504"/>
      <c r="M609" s="504"/>
      <c r="N609" s="504"/>
      <c r="O609" s="504"/>
      <c r="P609" s="504"/>
    </row>
    <row r="610" spans="1:16" ht="15.75" customHeight="1">
      <c r="A610" s="738" t="s">
        <v>2691</v>
      </c>
      <c r="B610" s="731" t="s">
        <v>2952</v>
      </c>
      <c r="C610" s="55"/>
      <c r="D610" s="507"/>
      <c r="E610" s="504"/>
      <c r="F610" s="504"/>
      <c r="G610" s="504"/>
      <c r="H610" s="504"/>
      <c r="I610" s="501"/>
      <c r="J610" s="511"/>
      <c r="K610" s="506"/>
      <c r="L610" s="504"/>
      <c r="M610" s="504"/>
      <c r="N610" s="504"/>
      <c r="O610" s="504"/>
      <c r="P610" s="504"/>
    </row>
    <row r="611" spans="1:16" ht="15.75" customHeight="1">
      <c r="A611" s="738" t="s">
        <v>2691</v>
      </c>
      <c r="B611" s="731" t="s">
        <v>2953</v>
      </c>
      <c r="C611" s="55"/>
      <c r="D611" s="507"/>
      <c r="E611" s="504"/>
      <c r="F611" s="504"/>
      <c r="G611" s="504"/>
      <c r="H611" s="504"/>
      <c r="I611" s="501"/>
      <c r="J611" s="511"/>
      <c r="K611" s="506"/>
      <c r="L611" s="504"/>
      <c r="M611" s="504"/>
      <c r="N611" s="504"/>
      <c r="O611" s="504"/>
      <c r="P611" s="504"/>
    </row>
    <row r="612" spans="1:16" ht="15.75" customHeight="1">
      <c r="A612" s="739" t="s">
        <v>2693</v>
      </c>
      <c r="B612" s="731" t="s">
        <v>2680</v>
      </c>
      <c r="C612" s="55"/>
      <c r="D612" s="507"/>
      <c r="E612" s="504"/>
      <c r="F612" s="504"/>
      <c r="G612" s="504"/>
      <c r="H612" s="504"/>
      <c r="I612" s="501"/>
      <c r="J612" s="511"/>
      <c r="K612" s="506"/>
      <c r="L612" s="504"/>
      <c r="M612" s="504"/>
      <c r="N612" s="504"/>
      <c r="O612" s="504"/>
      <c r="P612" s="504"/>
    </row>
    <row r="613" spans="1:16">
      <c r="A613" s="730"/>
      <c r="B613" s="559"/>
      <c r="C613" s="55"/>
      <c r="D613" s="507"/>
      <c r="E613" s="504"/>
      <c r="F613" s="504"/>
      <c r="G613" s="504"/>
      <c r="H613" s="504"/>
      <c r="I613" s="501"/>
      <c r="J613" s="515"/>
      <c r="K613" s="506"/>
      <c r="L613" s="504"/>
      <c r="M613" s="504"/>
      <c r="N613" s="504"/>
      <c r="O613" s="504"/>
      <c r="P613" s="504"/>
    </row>
    <row r="614" spans="1:16" ht="15.75" customHeight="1">
      <c r="A614" s="729" t="s">
        <v>2954</v>
      </c>
      <c r="B614" s="731" t="s">
        <v>2943</v>
      </c>
      <c r="C614" s="55"/>
      <c r="D614" s="507"/>
      <c r="E614" s="504"/>
      <c r="F614" s="504"/>
      <c r="G614" s="504"/>
      <c r="H614" s="504"/>
      <c r="I614" s="501"/>
      <c r="J614" s="515"/>
      <c r="K614" s="506"/>
      <c r="L614" s="504"/>
      <c r="M614" s="504"/>
      <c r="N614" s="504"/>
      <c r="O614" s="504"/>
      <c r="P614" s="504"/>
    </row>
    <row r="615" spans="1:16" ht="15.75" customHeight="1">
      <c r="A615" s="732" t="s">
        <v>2675</v>
      </c>
      <c r="B615" s="731" t="s">
        <v>2955</v>
      </c>
      <c r="C615" s="55"/>
      <c r="D615" s="507"/>
      <c r="E615" s="504"/>
      <c r="F615" s="504"/>
      <c r="G615" s="504"/>
      <c r="H615" s="504"/>
      <c r="I615" s="501"/>
      <c r="J615" s="516"/>
      <c r="K615" s="506"/>
      <c r="L615" s="504"/>
      <c r="M615" s="504"/>
      <c r="N615" s="504"/>
      <c r="O615" s="504"/>
      <c r="P615" s="504"/>
    </row>
    <row r="616" spans="1:16" ht="15.75" customHeight="1">
      <c r="A616" s="732" t="s">
        <v>2675</v>
      </c>
      <c r="B616" s="731" t="s">
        <v>2680</v>
      </c>
      <c r="C616" s="55"/>
      <c r="D616" s="507"/>
      <c r="E616" s="504"/>
      <c r="F616" s="504"/>
      <c r="G616" s="504"/>
      <c r="H616" s="504"/>
      <c r="I616" s="501"/>
      <c r="J616" s="505"/>
      <c r="K616" s="506"/>
      <c r="L616" s="504"/>
      <c r="M616" s="504"/>
      <c r="N616" s="504"/>
      <c r="O616" s="504"/>
      <c r="P616" s="504"/>
    </row>
    <row r="617" spans="1:16" ht="15.75" customHeight="1">
      <c r="A617" s="733" t="s">
        <v>5723</v>
      </c>
      <c r="B617" s="731" t="s">
        <v>5766</v>
      </c>
      <c r="C617" s="55"/>
      <c r="D617" s="507"/>
      <c r="E617" s="504"/>
      <c r="F617" s="504"/>
      <c r="G617" s="504"/>
      <c r="H617" s="504"/>
      <c r="I617" s="518"/>
      <c r="J617" s="519"/>
      <c r="K617" s="506"/>
      <c r="L617" s="504"/>
      <c r="M617" s="504"/>
      <c r="N617" s="504"/>
      <c r="O617" s="504"/>
      <c r="P617" s="504"/>
    </row>
    <row r="618" spans="1:16" ht="15.45">
      <c r="A618" s="733" t="s">
        <v>5723</v>
      </c>
      <c r="B618" s="731" t="s">
        <v>2680</v>
      </c>
      <c r="C618" s="55"/>
      <c r="D618" s="507"/>
      <c r="E618" s="504"/>
      <c r="F618" s="504"/>
      <c r="G618" s="504"/>
      <c r="H618" s="504"/>
      <c r="I618" s="501"/>
      <c r="J618" s="517"/>
      <c r="K618" s="506"/>
      <c r="L618" s="504"/>
      <c r="M618" s="504"/>
      <c r="N618" s="504"/>
      <c r="O618" s="504"/>
      <c r="P618" s="504"/>
    </row>
    <row r="619" spans="1:16" ht="15.75" customHeight="1">
      <c r="A619" s="734" t="s">
        <v>2677</v>
      </c>
      <c r="B619" s="731" t="s">
        <v>5767</v>
      </c>
      <c r="C619" s="55"/>
      <c r="D619" s="507"/>
      <c r="E619" s="504"/>
      <c r="F619" s="504"/>
      <c r="G619" s="504"/>
      <c r="H619" s="504"/>
      <c r="I619" s="501"/>
      <c r="J619" s="512"/>
      <c r="K619" s="506"/>
      <c r="L619" s="504"/>
      <c r="M619" s="504"/>
      <c r="N619" s="504"/>
      <c r="O619" s="504"/>
      <c r="P619" s="504"/>
    </row>
    <row r="620" spans="1:16" ht="15.75" customHeight="1">
      <c r="A620" s="734" t="s">
        <v>2677</v>
      </c>
      <c r="B620" s="731" t="s">
        <v>5768</v>
      </c>
      <c r="C620" s="55"/>
      <c r="D620" s="507"/>
      <c r="E620" s="504"/>
      <c r="F620" s="504"/>
      <c r="G620" s="504"/>
      <c r="H620" s="504"/>
      <c r="I620" s="501"/>
      <c r="J620" s="512"/>
      <c r="K620" s="506"/>
      <c r="L620" s="504"/>
      <c r="M620" s="504"/>
      <c r="N620" s="504"/>
      <c r="O620" s="504"/>
      <c r="P620" s="504"/>
    </row>
    <row r="621" spans="1:16" ht="15.75" customHeight="1">
      <c r="A621" s="734" t="s">
        <v>2677</v>
      </c>
      <c r="B621" s="731" t="s">
        <v>5769</v>
      </c>
      <c r="C621" s="55"/>
      <c r="D621" s="507"/>
      <c r="E621" s="504"/>
      <c r="F621" s="504"/>
      <c r="G621" s="504"/>
      <c r="H621" s="504"/>
      <c r="I621" s="501"/>
      <c r="J621" s="513"/>
      <c r="K621" s="506"/>
      <c r="L621" s="504"/>
      <c r="M621" s="504"/>
      <c r="N621" s="504"/>
      <c r="O621" s="504"/>
      <c r="P621" s="504"/>
    </row>
    <row r="622" spans="1:16" ht="15.75" customHeight="1">
      <c r="A622" s="735" t="s">
        <v>2681</v>
      </c>
      <c r="B622" s="731" t="s">
        <v>2956</v>
      </c>
      <c r="C622" s="55"/>
      <c r="D622" s="507"/>
      <c r="E622" s="504"/>
      <c r="F622" s="504"/>
      <c r="G622" s="504"/>
      <c r="H622" s="504"/>
      <c r="I622" s="501"/>
      <c r="J622" s="513"/>
      <c r="K622" s="506"/>
      <c r="L622" s="504"/>
      <c r="M622" s="504"/>
      <c r="N622" s="504"/>
      <c r="O622" s="504"/>
      <c r="P622" s="504"/>
    </row>
    <row r="623" spans="1:16" ht="15.75" customHeight="1">
      <c r="A623" s="735" t="s">
        <v>2681</v>
      </c>
      <c r="B623" s="731" t="s">
        <v>2957</v>
      </c>
      <c r="C623" s="55"/>
      <c r="D623" s="507"/>
      <c r="E623" s="504"/>
      <c r="F623" s="504"/>
      <c r="G623" s="504"/>
      <c r="H623" s="504"/>
      <c r="I623" s="501"/>
      <c r="J623" s="513"/>
      <c r="K623" s="506"/>
      <c r="L623" s="504"/>
      <c r="M623" s="504"/>
      <c r="N623" s="504"/>
      <c r="O623" s="504"/>
      <c r="P623" s="504"/>
    </row>
    <row r="624" spans="1:16" ht="15.75" customHeight="1">
      <c r="A624" s="735" t="s">
        <v>2681</v>
      </c>
      <c r="B624" s="731" t="s">
        <v>2680</v>
      </c>
      <c r="C624" s="55"/>
      <c r="D624" s="507"/>
      <c r="E624" s="504"/>
      <c r="F624" s="504"/>
      <c r="G624" s="504"/>
      <c r="H624" s="504"/>
      <c r="I624" s="501"/>
      <c r="J624" s="514"/>
      <c r="K624" s="506"/>
      <c r="L624" s="504"/>
      <c r="M624" s="504"/>
      <c r="N624" s="504"/>
      <c r="O624" s="504"/>
      <c r="P624" s="504"/>
    </row>
    <row r="625" spans="1:16" ht="29.25" customHeight="1">
      <c r="A625" s="735" t="s">
        <v>2681</v>
      </c>
      <c r="B625" s="731" t="s">
        <v>2680</v>
      </c>
      <c r="C625" s="55"/>
      <c r="D625" s="507"/>
      <c r="E625" s="504"/>
      <c r="F625" s="504"/>
      <c r="G625" s="504"/>
      <c r="H625" s="504"/>
      <c r="I625" s="501"/>
      <c r="J625" s="514"/>
      <c r="K625" s="506"/>
      <c r="L625" s="504"/>
      <c r="M625" s="504"/>
      <c r="N625" s="504"/>
      <c r="O625" s="504"/>
      <c r="P625" s="504"/>
    </row>
    <row r="626" spans="1:16" ht="15.75" customHeight="1">
      <c r="A626" s="737" t="s">
        <v>2686</v>
      </c>
      <c r="B626" s="731" t="s">
        <v>2958</v>
      </c>
      <c r="C626" s="55"/>
      <c r="D626" s="507"/>
      <c r="E626" s="504"/>
      <c r="F626" s="504"/>
      <c r="G626" s="504"/>
      <c r="H626" s="504"/>
      <c r="I626" s="501"/>
      <c r="J626" s="514"/>
      <c r="K626" s="506"/>
      <c r="L626" s="504"/>
      <c r="M626" s="504"/>
      <c r="N626" s="504"/>
      <c r="O626" s="504"/>
      <c r="P626" s="504"/>
    </row>
    <row r="627" spans="1:16" ht="15.75" customHeight="1">
      <c r="A627" s="737" t="s">
        <v>2686</v>
      </c>
      <c r="B627" s="731" t="s">
        <v>2959</v>
      </c>
      <c r="C627" s="55"/>
      <c r="D627" s="507"/>
      <c r="E627" s="504"/>
      <c r="F627" s="504"/>
      <c r="G627" s="504"/>
      <c r="H627" s="504"/>
      <c r="I627" s="501"/>
      <c r="J627" s="514"/>
      <c r="K627" s="506"/>
      <c r="L627" s="504"/>
      <c r="M627" s="504"/>
      <c r="N627" s="504"/>
      <c r="O627" s="504"/>
      <c r="P627" s="504"/>
    </row>
    <row r="628" spans="1:16" ht="15.75" customHeight="1">
      <c r="A628" s="737" t="s">
        <v>2686</v>
      </c>
      <c r="B628" s="731" t="s">
        <v>2680</v>
      </c>
      <c r="C628" s="55"/>
      <c r="D628" s="507"/>
      <c r="E628" s="504"/>
      <c r="F628" s="504"/>
      <c r="G628" s="504"/>
      <c r="H628" s="504"/>
      <c r="I628" s="501"/>
      <c r="J628" s="511"/>
      <c r="K628" s="506"/>
      <c r="L628" s="504"/>
      <c r="M628" s="504"/>
      <c r="N628" s="504"/>
      <c r="O628" s="504"/>
      <c r="P628" s="504"/>
    </row>
    <row r="629" spans="1:16" ht="15.75" customHeight="1">
      <c r="A629" s="737" t="s">
        <v>2686</v>
      </c>
      <c r="B629" s="731" t="s">
        <v>2680</v>
      </c>
      <c r="C629" s="55"/>
      <c r="D629" s="507"/>
      <c r="E629" s="504"/>
      <c r="F629" s="504"/>
      <c r="G629" s="504"/>
      <c r="H629" s="504"/>
      <c r="I629" s="501"/>
      <c r="J629" s="511"/>
      <c r="K629" s="506"/>
      <c r="L629" s="504"/>
      <c r="M629" s="504"/>
      <c r="N629" s="504"/>
      <c r="O629" s="504"/>
      <c r="P629" s="504"/>
    </row>
    <row r="630" spans="1:16" ht="15.75" customHeight="1">
      <c r="A630" s="737" t="s">
        <v>2686</v>
      </c>
      <c r="B630" s="731" t="s">
        <v>2680</v>
      </c>
      <c r="C630" s="55"/>
      <c r="D630" s="507"/>
      <c r="E630" s="504"/>
      <c r="F630" s="504"/>
      <c r="G630" s="504"/>
      <c r="H630" s="504"/>
      <c r="I630" s="501"/>
      <c r="J630" s="511"/>
      <c r="K630" s="506"/>
      <c r="L630" s="504"/>
      <c r="M630" s="504"/>
      <c r="N630" s="504"/>
      <c r="O630" s="504"/>
      <c r="P630" s="504"/>
    </row>
    <row r="631" spans="1:16" ht="15.75" customHeight="1">
      <c r="A631" s="738" t="s">
        <v>2691</v>
      </c>
      <c r="B631" s="731" t="s">
        <v>2960</v>
      </c>
      <c r="C631" s="55"/>
      <c r="D631" s="507"/>
      <c r="E631" s="504"/>
      <c r="F631" s="504"/>
      <c r="G631" s="504"/>
      <c r="H631" s="504"/>
      <c r="I631" s="501"/>
      <c r="J631" s="511"/>
      <c r="K631" s="506"/>
      <c r="L631" s="504"/>
      <c r="M631" s="504"/>
      <c r="N631" s="504"/>
      <c r="O631" s="504"/>
      <c r="P631" s="504"/>
    </row>
    <row r="632" spans="1:16">
      <c r="A632" s="738" t="s">
        <v>2691</v>
      </c>
      <c r="B632" s="731" t="s">
        <v>2680</v>
      </c>
      <c r="C632" s="55"/>
      <c r="D632" s="507"/>
      <c r="E632" s="504"/>
      <c r="F632" s="504"/>
      <c r="G632" s="504"/>
      <c r="H632" s="504"/>
      <c r="I632" s="501"/>
      <c r="J632" s="511"/>
      <c r="K632" s="506"/>
      <c r="L632" s="504"/>
      <c r="M632" s="504"/>
      <c r="N632" s="504"/>
      <c r="O632" s="504"/>
      <c r="P632" s="504"/>
    </row>
    <row r="633" spans="1:16" ht="15.75" customHeight="1">
      <c r="A633" s="739" t="s">
        <v>2693</v>
      </c>
      <c r="B633" s="731" t="s">
        <v>2680</v>
      </c>
      <c r="C633" s="55"/>
      <c r="D633" s="507"/>
      <c r="E633" s="504"/>
      <c r="F633" s="504"/>
      <c r="G633" s="504"/>
      <c r="H633" s="504"/>
      <c r="I633" s="501"/>
      <c r="J633" s="515"/>
      <c r="K633" s="506"/>
      <c r="L633" s="504"/>
      <c r="M633" s="504"/>
      <c r="N633" s="504"/>
      <c r="O633" s="504"/>
      <c r="P633" s="504"/>
    </row>
    <row r="634" spans="1:16" ht="15.75" customHeight="1">
      <c r="A634" s="730"/>
      <c r="B634" s="559"/>
      <c r="C634" s="55"/>
      <c r="D634" s="507"/>
      <c r="E634" s="504"/>
      <c r="F634" s="504"/>
      <c r="G634" s="504"/>
      <c r="H634" s="504"/>
      <c r="I634" s="501"/>
      <c r="J634" s="515"/>
      <c r="K634" s="506"/>
      <c r="L634" s="504"/>
      <c r="M634" s="504"/>
      <c r="N634" s="504"/>
      <c r="O634" s="504"/>
      <c r="P634" s="504"/>
    </row>
    <row r="635" spans="1:16" ht="15.75" customHeight="1">
      <c r="A635" s="729" t="s">
        <v>2961</v>
      </c>
      <c r="B635" s="731" t="s">
        <v>2674</v>
      </c>
      <c r="C635" s="55"/>
      <c r="D635" s="507"/>
      <c r="E635" s="504"/>
      <c r="F635" s="504"/>
      <c r="G635" s="504"/>
      <c r="H635" s="504"/>
      <c r="I635" s="501"/>
      <c r="J635" s="516"/>
      <c r="K635" s="506"/>
      <c r="L635" s="504"/>
      <c r="M635" s="504"/>
      <c r="N635" s="504"/>
      <c r="O635" s="504"/>
      <c r="P635" s="504"/>
    </row>
    <row r="636" spans="1:16" ht="15.75" customHeight="1">
      <c r="A636" s="732" t="s">
        <v>2675</v>
      </c>
      <c r="B636" s="731" t="s">
        <v>2962</v>
      </c>
      <c r="C636" s="55"/>
      <c r="D636" s="507"/>
      <c r="E636" s="504"/>
      <c r="F636" s="504"/>
      <c r="G636" s="504"/>
      <c r="H636" s="504"/>
      <c r="I636" s="501"/>
      <c r="J636" s="505"/>
      <c r="K636" s="506"/>
      <c r="L636" s="504"/>
      <c r="M636" s="504"/>
      <c r="N636" s="504"/>
      <c r="O636" s="504"/>
      <c r="P636" s="504"/>
    </row>
    <row r="637" spans="1:16" ht="15.45">
      <c r="A637" s="732" t="s">
        <v>2675</v>
      </c>
      <c r="B637" s="731" t="s">
        <v>2680</v>
      </c>
      <c r="C637" s="55"/>
      <c r="D637" s="507"/>
      <c r="E637" s="504"/>
      <c r="F637" s="504"/>
      <c r="G637" s="504"/>
      <c r="H637" s="504"/>
      <c r="I637" s="501"/>
      <c r="J637" s="517"/>
      <c r="K637" s="506"/>
      <c r="L637" s="504"/>
      <c r="M637" s="504"/>
      <c r="N637" s="504"/>
      <c r="O637" s="504"/>
      <c r="P637" s="504"/>
    </row>
    <row r="638" spans="1:16" ht="15.75" customHeight="1">
      <c r="A638" s="733" t="s">
        <v>5723</v>
      </c>
      <c r="B638" s="731" t="s">
        <v>5770</v>
      </c>
      <c r="C638" s="55"/>
      <c r="D638" s="507"/>
      <c r="E638" s="504"/>
      <c r="F638" s="504"/>
      <c r="G638" s="504"/>
      <c r="H638" s="504"/>
      <c r="I638" s="501"/>
      <c r="J638" s="512"/>
      <c r="K638" s="506"/>
      <c r="L638" s="504"/>
      <c r="M638" s="504"/>
      <c r="N638" s="504"/>
      <c r="O638" s="504"/>
      <c r="P638" s="504"/>
    </row>
    <row r="639" spans="1:16" ht="15.75" customHeight="1">
      <c r="A639" s="733" t="s">
        <v>5723</v>
      </c>
      <c r="B639" s="731" t="s">
        <v>2680</v>
      </c>
      <c r="C639" s="55"/>
      <c r="D639" s="507"/>
      <c r="E639" s="504"/>
      <c r="F639" s="504"/>
      <c r="G639" s="504"/>
      <c r="H639" s="504"/>
      <c r="I639" s="501"/>
      <c r="J639" s="512"/>
      <c r="K639" s="506"/>
      <c r="L639" s="504"/>
      <c r="M639" s="504"/>
      <c r="N639" s="504"/>
      <c r="O639" s="504"/>
      <c r="P639" s="504"/>
    </row>
    <row r="640" spans="1:16" ht="15.75" customHeight="1">
      <c r="A640" s="734" t="s">
        <v>2677</v>
      </c>
      <c r="B640" s="731" t="s">
        <v>2963</v>
      </c>
      <c r="C640" s="55"/>
      <c r="D640" s="507"/>
      <c r="E640" s="504"/>
      <c r="F640" s="504"/>
      <c r="G640" s="504"/>
      <c r="H640" s="504"/>
      <c r="I640" s="501"/>
      <c r="J640" s="513"/>
      <c r="K640" s="506"/>
      <c r="L640" s="504"/>
      <c r="M640" s="504"/>
      <c r="N640" s="504"/>
      <c r="O640" s="504"/>
      <c r="P640" s="504"/>
    </row>
    <row r="641" spans="1:16" ht="15.75" customHeight="1">
      <c r="A641" s="734" t="s">
        <v>2677</v>
      </c>
      <c r="B641" s="731" t="s">
        <v>2964</v>
      </c>
      <c r="C641" s="55"/>
      <c r="D641" s="507"/>
      <c r="E641" s="504"/>
      <c r="F641" s="504"/>
      <c r="G641" s="504"/>
      <c r="H641" s="504"/>
      <c r="I641" s="501"/>
      <c r="J641" s="513"/>
      <c r="K641" s="506"/>
      <c r="L641" s="504"/>
      <c r="M641" s="504"/>
      <c r="N641" s="504"/>
      <c r="O641" s="504"/>
      <c r="P641" s="504"/>
    </row>
    <row r="642" spans="1:16" ht="15.75" customHeight="1">
      <c r="A642" s="734" t="s">
        <v>2677</v>
      </c>
      <c r="B642" s="731" t="s">
        <v>2680</v>
      </c>
      <c r="C642" s="55"/>
      <c r="D642" s="507"/>
      <c r="E642" s="504"/>
      <c r="F642" s="504"/>
      <c r="G642" s="504"/>
      <c r="H642" s="504"/>
      <c r="I642" s="501"/>
      <c r="J642" s="513"/>
      <c r="K642" s="506"/>
      <c r="L642" s="504"/>
      <c r="M642" s="504"/>
      <c r="N642" s="504"/>
      <c r="O642" s="504"/>
      <c r="P642" s="504"/>
    </row>
    <row r="643" spans="1:16" ht="15.75" customHeight="1">
      <c r="A643" s="735" t="s">
        <v>2681</v>
      </c>
      <c r="B643" s="731" t="s">
        <v>2965</v>
      </c>
      <c r="C643" s="55"/>
      <c r="D643" s="507"/>
      <c r="E643" s="504"/>
      <c r="F643" s="504"/>
      <c r="G643" s="504"/>
      <c r="H643" s="504"/>
      <c r="I643" s="501"/>
      <c r="J643" s="514"/>
      <c r="K643" s="506"/>
      <c r="L643" s="504"/>
      <c r="M643" s="504"/>
      <c r="N643" s="504"/>
      <c r="O643" s="504"/>
      <c r="P643" s="504"/>
    </row>
    <row r="644" spans="1:16" ht="15.75" customHeight="1">
      <c r="A644" s="735" t="s">
        <v>2681</v>
      </c>
      <c r="B644" s="731" t="s">
        <v>2966</v>
      </c>
      <c r="C644" s="55"/>
      <c r="D644" s="507"/>
      <c r="E644" s="504"/>
      <c r="F644" s="504"/>
      <c r="G644" s="504"/>
      <c r="H644" s="504"/>
      <c r="I644" s="501"/>
      <c r="J644" s="514"/>
      <c r="K644" s="506"/>
      <c r="L644" s="504"/>
      <c r="M644" s="504"/>
      <c r="N644" s="504"/>
      <c r="O644" s="504"/>
      <c r="P644" s="504"/>
    </row>
    <row r="645" spans="1:16" ht="15.75" customHeight="1">
      <c r="A645" s="735" t="s">
        <v>2681</v>
      </c>
      <c r="B645" s="731" t="s">
        <v>2967</v>
      </c>
      <c r="C645" s="55"/>
      <c r="D645" s="507"/>
      <c r="E645" s="504"/>
      <c r="F645" s="504"/>
      <c r="G645" s="504"/>
      <c r="H645" s="504"/>
      <c r="I645" s="501"/>
      <c r="J645" s="514"/>
      <c r="K645" s="506"/>
      <c r="L645" s="504"/>
      <c r="M645" s="504"/>
      <c r="N645" s="504"/>
      <c r="O645" s="504"/>
      <c r="P645" s="504"/>
    </row>
    <row r="646" spans="1:16" ht="15.75" customHeight="1">
      <c r="A646" s="735" t="s">
        <v>2681</v>
      </c>
      <c r="B646" s="731" t="s">
        <v>2680</v>
      </c>
      <c r="C646" s="55"/>
      <c r="D646" s="507"/>
      <c r="E646" s="504"/>
      <c r="F646" s="504"/>
      <c r="G646" s="504"/>
      <c r="H646" s="504"/>
      <c r="I646" s="501"/>
      <c r="J646" s="514"/>
      <c r="K646" s="506"/>
      <c r="L646" s="504"/>
      <c r="M646" s="504"/>
      <c r="N646" s="504"/>
      <c r="O646" s="504"/>
      <c r="P646" s="504"/>
    </row>
    <row r="647" spans="1:16" ht="15.75" customHeight="1">
      <c r="A647" s="737" t="s">
        <v>2686</v>
      </c>
      <c r="B647" s="731" t="s">
        <v>2968</v>
      </c>
      <c r="C647" s="55"/>
      <c r="D647" s="507"/>
      <c r="E647" s="504"/>
      <c r="F647" s="504"/>
      <c r="G647" s="504"/>
      <c r="H647" s="504"/>
      <c r="I647" s="501"/>
      <c r="J647" s="511"/>
      <c r="K647" s="506"/>
      <c r="L647" s="504"/>
      <c r="M647" s="504"/>
      <c r="N647" s="504"/>
      <c r="O647" s="504"/>
      <c r="P647" s="504"/>
    </row>
    <row r="648" spans="1:16" ht="15.75" customHeight="1">
      <c r="A648" s="737" t="s">
        <v>2686</v>
      </c>
      <c r="B648" s="731" t="s">
        <v>2969</v>
      </c>
      <c r="C648" s="55"/>
      <c r="D648" s="507"/>
      <c r="E648" s="504"/>
      <c r="F648" s="504"/>
      <c r="G648" s="504"/>
      <c r="H648" s="504"/>
      <c r="I648" s="501"/>
      <c r="J648" s="511"/>
      <c r="K648" s="506"/>
      <c r="L648" s="504"/>
      <c r="M648" s="504"/>
      <c r="N648" s="504"/>
      <c r="O648" s="504"/>
      <c r="P648" s="504"/>
    </row>
    <row r="649" spans="1:16" ht="15.75" customHeight="1">
      <c r="A649" s="737" t="s">
        <v>2686</v>
      </c>
      <c r="B649" s="731" t="s">
        <v>2680</v>
      </c>
      <c r="C649" s="55"/>
      <c r="D649" s="507"/>
      <c r="E649" s="504"/>
      <c r="F649" s="504"/>
      <c r="G649" s="504"/>
      <c r="H649" s="504"/>
      <c r="I649" s="501"/>
      <c r="J649" s="511"/>
      <c r="K649" s="506"/>
      <c r="L649" s="504"/>
      <c r="M649" s="504"/>
      <c r="N649" s="504"/>
      <c r="O649" s="504"/>
      <c r="P649" s="504"/>
    </row>
    <row r="650" spans="1:16" ht="15.75" customHeight="1">
      <c r="A650" s="737" t="s">
        <v>2686</v>
      </c>
      <c r="B650" s="731" t="s">
        <v>2680</v>
      </c>
      <c r="C650" s="55"/>
      <c r="D650" s="507"/>
      <c r="E650" s="504"/>
      <c r="F650" s="504"/>
      <c r="G650" s="504"/>
      <c r="H650" s="504"/>
      <c r="I650" s="501"/>
      <c r="J650" s="511"/>
      <c r="K650" s="506"/>
      <c r="L650" s="504"/>
      <c r="M650" s="504"/>
      <c r="N650" s="504"/>
      <c r="O650" s="504"/>
      <c r="P650" s="504"/>
    </row>
    <row r="651" spans="1:16">
      <c r="A651" s="737" t="s">
        <v>2686</v>
      </c>
      <c r="B651" s="731" t="s">
        <v>2680</v>
      </c>
      <c r="C651" s="55"/>
      <c r="D651" s="507"/>
      <c r="E651" s="504"/>
      <c r="F651" s="504"/>
      <c r="G651" s="504"/>
      <c r="H651" s="504"/>
      <c r="I651" s="501"/>
      <c r="J651" s="511"/>
      <c r="K651" s="506"/>
      <c r="L651" s="504"/>
      <c r="M651" s="504"/>
      <c r="N651" s="504"/>
      <c r="O651" s="504"/>
      <c r="P651" s="504"/>
    </row>
    <row r="652" spans="1:16" ht="15.75" customHeight="1">
      <c r="A652" s="738" t="s">
        <v>2691</v>
      </c>
      <c r="B652" s="731" t="s">
        <v>2970</v>
      </c>
      <c r="C652" s="55"/>
      <c r="D652" s="507"/>
      <c r="E652" s="504"/>
      <c r="F652" s="504"/>
      <c r="G652" s="504"/>
      <c r="H652" s="504"/>
      <c r="I652" s="501"/>
      <c r="J652" s="515"/>
      <c r="K652" s="506"/>
      <c r="L652" s="504"/>
      <c r="M652" s="504"/>
      <c r="N652" s="504"/>
      <c r="O652" s="504"/>
      <c r="P652" s="504"/>
    </row>
    <row r="653" spans="1:16" ht="15.75" customHeight="1">
      <c r="A653" s="738" t="s">
        <v>2691</v>
      </c>
      <c r="B653" s="731" t="s">
        <v>2680</v>
      </c>
      <c r="C653" s="55"/>
      <c r="D653" s="507"/>
      <c r="E653" s="504"/>
      <c r="F653" s="504"/>
      <c r="G653" s="504"/>
      <c r="H653" s="504"/>
      <c r="I653" s="501"/>
      <c r="J653" s="515"/>
      <c r="K653" s="506"/>
      <c r="L653" s="504"/>
      <c r="M653" s="504"/>
      <c r="N653" s="504"/>
      <c r="O653" s="504"/>
      <c r="P653" s="504"/>
    </row>
    <row r="654" spans="1:16" ht="15.75" customHeight="1">
      <c r="A654" s="739" t="s">
        <v>2693</v>
      </c>
      <c r="B654" s="731" t="s">
        <v>2680</v>
      </c>
      <c r="C654" s="55"/>
      <c r="D654" s="507"/>
      <c r="E654" s="504"/>
      <c r="F654" s="504"/>
      <c r="G654" s="504"/>
      <c r="H654" s="504"/>
      <c r="I654" s="501"/>
      <c r="J654" s="516"/>
      <c r="K654" s="506"/>
      <c r="L654" s="504"/>
      <c r="M654" s="504"/>
      <c r="N654" s="504"/>
      <c r="O654" s="504"/>
      <c r="P654" s="504"/>
    </row>
    <row r="655" spans="1:16" ht="15.75" customHeight="1">
      <c r="A655" s="730"/>
      <c r="B655" s="559"/>
      <c r="C655" s="55"/>
      <c r="D655" s="507"/>
      <c r="E655" s="504"/>
      <c r="F655" s="504"/>
      <c r="G655" s="504"/>
      <c r="H655" s="504"/>
      <c r="I655" s="501"/>
      <c r="J655" s="515"/>
      <c r="K655" s="506"/>
      <c r="L655" s="504"/>
      <c r="M655" s="504"/>
      <c r="N655" s="504"/>
      <c r="O655" s="504"/>
      <c r="P655" s="504"/>
    </row>
    <row r="656" spans="1:16" ht="15.45">
      <c r="A656" s="729" t="s">
        <v>2971</v>
      </c>
      <c r="B656" s="731" t="s">
        <v>2674</v>
      </c>
      <c r="C656" s="55"/>
      <c r="D656" s="507"/>
      <c r="E656" s="504"/>
      <c r="F656" s="504"/>
      <c r="G656" s="504"/>
      <c r="H656" s="504"/>
      <c r="I656" s="501"/>
      <c r="J656" s="517"/>
      <c r="K656" s="506"/>
      <c r="L656" s="504"/>
      <c r="M656" s="504"/>
      <c r="N656" s="504"/>
      <c r="O656" s="504"/>
      <c r="P656" s="504"/>
    </row>
    <row r="657" spans="1:16" ht="15.75" customHeight="1">
      <c r="A657" s="732" t="s">
        <v>2675</v>
      </c>
      <c r="B657" s="731" t="s">
        <v>2972</v>
      </c>
      <c r="C657" s="55"/>
      <c r="D657" s="507"/>
      <c r="E657" s="504"/>
      <c r="F657" s="504"/>
      <c r="G657" s="504"/>
      <c r="H657" s="504"/>
      <c r="I657" s="501"/>
      <c r="J657" s="512"/>
      <c r="K657" s="506"/>
      <c r="L657" s="504"/>
      <c r="M657" s="504"/>
      <c r="N657" s="504"/>
      <c r="O657" s="504"/>
      <c r="P657" s="504"/>
    </row>
    <row r="658" spans="1:16" ht="15.75" customHeight="1">
      <c r="A658" s="732" t="s">
        <v>2675</v>
      </c>
      <c r="B658" s="731" t="s">
        <v>2973</v>
      </c>
      <c r="C658" s="55"/>
      <c r="D658" s="507"/>
      <c r="E658" s="504"/>
      <c r="F658" s="504"/>
      <c r="G658" s="504"/>
      <c r="H658" s="504"/>
      <c r="I658" s="501"/>
      <c r="J658" s="512"/>
      <c r="K658" s="506"/>
      <c r="L658" s="504"/>
      <c r="M658" s="504"/>
      <c r="N658" s="504"/>
      <c r="O658" s="504"/>
      <c r="P658" s="504"/>
    </row>
    <row r="659" spans="1:16" ht="15.75" customHeight="1">
      <c r="A659" s="733" t="s">
        <v>5723</v>
      </c>
      <c r="B659" s="731" t="s">
        <v>5771</v>
      </c>
      <c r="C659" s="55"/>
      <c r="D659" s="507"/>
      <c r="E659" s="504"/>
      <c r="F659" s="504"/>
      <c r="G659" s="504"/>
      <c r="H659" s="504"/>
      <c r="I659" s="501"/>
      <c r="J659" s="513"/>
      <c r="K659" s="506"/>
      <c r="L659" s="504"/>
      <c r="M659" s="504"/>
      <c r="N659" s="504"/>
      <c r="O659" s="504"/>
      <c r="P659" s="504"/>
    </row>
    <row r="660" spans="1:16" ht="15.75" customHeight="1">
      <c r="A660" s="733" t="s">
        <v>5723</v>
      </c>
      <c r="B660" s="731" t="s">
        <v>2680</v>
      </c>
      <c r="C660" s="55"/>
      <c r="D660" s="507"/>
      <c r="E660" s="504"/>
      <c r="F660" s="504"/>
      <c r="G660" s="504"/>
      <c r="H660" s="504"/>
      <c r="I660" s="501"/>
      <c r="J660" s="513"/>
      <c r="K660" s="506"/>
      <c r="L660" s="504"/>
      <c r="M660" s="504"/>
      <c r="N660" s="504"/>
      <c r="O660" s="504"/>
      <c r="P660" s="504"/>
    </row>
    <row r="661" spans="1:16" ht="15.75" customHeight="1">
      <c r="A661" s="734" t="s">
        <v>2677</v>
      </c>
      <c r="B661" s="731" t="s">
        <v>2974</v>
      </c>
      <c r="C661" s="55"/>
      <c r="D661" s="507"/>
      <c r="E661" s="504"/>
      <c r="F661" s="504"/>
      <c r="G661" s="504"/>
      <c r="H661" s="504"/>
      <c r="I661" s="501"/>
      <c r="J661" s="513"/>
      <c r="K661" s="506"/>
      <c r="L661" s="504"/>
      <c r="M661" s="504"/>
      <c r="N661" s="504"/>
      <c r="O661" s="504"/>
      <c r="P661" s="504"/>
    </row>
    <row r="662" spans="1:16" ht="15.75" customHeight="1">
      <c r="A662" s="734" t="s">
        <v>2677</v>
      </c>
      <c r="B662" s="731" t="s">
        <v>2975</v>
      </c>
      <c r="C662" s="55"/>
      <c r="D662" s="507"/>
      <c r="E662" s="504"/>
      <c r="F662" s="504"/>
      <c r="G662" s="504"/>
      <c r="H662" s="504"/>
      <c r="I662" s="501"/>
      <c r="J662" s="514"/>
      <c r="K662" s="506"/>
      <c r="L662" s="504"/>
      <c r="M662" s="504"/>
      <c r="N662" s="504"/>
      <c r="O662" s="504"/>
      <c r="P662" s="504"/>
    </row>
    <row r="663" spans="1:16" ht="15.75" customHeight="1">
      <c r="A663" s="734" t="s">
        <v>2677</v>
      </c>
      <c r="B663" s="731" t="s">
        <v>2976</v>
      </c>
      <c r="C663" s="55"/>
      <c r="D663" s="507"/>
      <c r="E663" s="504"/>
      <c r="F663" s="504"/>
      <c r="G663" s="504"/>
      <c r="H663" s="504"/>
      <c r="I663" s="501"/>
      <c r="J663" s="514"/>
      <c r="K663" s="506"/>
      <c r="L663" s="504"/>
      <c r="M663" s="504"/>
      <c r="N663" s="504"/>
      <c r="O663" s="504"/>
      <c r="P663" s="504"/>
    </row>
    <row r="664" spans="1:16" ht="15.75" customHeight="1">
      <c r="A664" s="735" t="s">
        <v>2681</v>
      </c>
      <c r="B664" s="731" t="s">
        <v>2977</v>
      </c>
      <c r="C664" s="55"/>
      <c r="D664" s="507"/>
      <c r="E664" s="504"/>
      <c r="F664" s="504"/>
      <c r="G664" s="504"/>
      <c r="H664" s="504"/>
      <c r="I664" s="501"/>
      <c r="J664" s="514"/>
      <c r="K664" s="506"/>
      <c r="L664" s="504"/>
      <c r="M664" s="504"/>
      <c r="N664" s="504"/>
      <c r="O664" s="504"/>
      <c r="P664" s="504"/>
    </row>
    <row r="665" spans="1:16" ht="15.75" customHeight="1">
      <c r="A665" s="735" t="s">
        <v>2681</v>
      </c>
      <c r="B665" s="731" t="s">
        <v>2978</v>
      </c>
      <c r="C665" s="55"/>
      <c r="D665" s="507"/>
      <c r="E665" s="504"/>
      <c r="F665" s="504"/>
      <c r="G665" s="504"/>
      <c r="H665" s="504"/>
      <c r="I665" s="501"/>
      <c r="J665" s="514"/>
      <c r="K665" s="506"/>
      <c r="L665" s="504"/>
      <c r="M665" s="504"/>
      <c r="N665" s="504"/>
      <c r="O665" s="504"/>
      <c r="P665" s="504"/>
    </row>
    <row r="666" spans="1:16" ht="15.75" customHeight="1">
      <c r="A666" s="735" t="s">
        <v>2681</v>
      </c>
      <c r="B666" s="731" t="s">
        <v>2979</v>
      </c>
      <c r="C666" s="55"/>
      <c r="D666" s="507"/>
      <c r="E666" s="504"/>
      <c r="F666" s="504"/>
      <c r="G666" s="504"/>
      <c r="H666" s="504"/>
      <c r="I666" s="501"/>
      <c r="J666" s="511"/>
      <c r="K666" s="506"/>
      <c r="L666" s="504"/>
      <c r="M666" s="504"/>
      <c r="N666" s="504"/>
      <c r="O666" s="504"/>
      <c r="P666" s="504"/>
    </row>
    <row r="667" spans="1:16" ht="15.75" customHeight="1">
      <c r="A667" s="735" t="s">
        <v>2681</v>
      </c>
      <c r="B667" s="731" t="s">
        <v>2680</v>
      </c>
      <c r="C667" s="55"/>
      <c r="D667" s="507"/>
      <c r="E667" s="504"/>
      <c r="F667" s="504"/>
      <c r="G667" s="504"/>
      <c r="H667" s="504"/>
      <c r="I667" s="501"/>
      <c r="J667" s="511"/>
      <c r="K667" s="506"/>
      <c r="L667" s="504"/>
      <c r="M667" s="504"/>
      <c r="N667" s="504"/>
      <c r="O667" s="504"/>
      <c r="P667" s="504"/>
    </row>
    <row r="668" spans="1:16" ht="15.75" customHeight="1">
      <c r="A668" s="737" t="s">
        <v>2686</v>
      </c>
      <c r="B668" s="736" t="s">
        <v>2980</v>
      </c>
      <c r="C668" s="55"/>
      <c r="D668" s="507"/>
      <c r="E668" s="504"/>
      <c r="F668" s="504"/>
      <c r="G668" s="504"/>
      <c r="H668" s="504"/>
      <c r="I668" s="501"/>
      <c r="J668" s="511"/>
      <c r="K668" s="506"/>
      <c r="L668" s="504"/>
      <c r="M668" s="504"/>
      <c r="N668" s="504"/>
      <c r="O668" s="504"/>
      <c r="P668" s="504"/>
    </row>
    <row r="669" spans="1:16" ht="15.75" customHeight="1">
      <c r="A669" s="737" t="s">
        <v>2686</v>
      </c>
      <c r="B669" s="731" t="s">
        <v>2981</v>
      </c>
      <c r="C669" s="55"/>
      <c r="D669" s="507"/>
      <c r="E669" s="504"/>
      <c r="F669" s="504"/>
      <c r="G669" s="504"/>
      <c r="H669" s="504"/>
      <c r="I669" s="501"/>
      <c r="J669" s="511"/>
      <c r="K669" s="506"/>
      <c r="L669" s="504"/>
      <c r="M669" s="504"/>
      <c r="N669" s="504"/>
      <c r="O669" s="504"/>
      <c r="P669" s="504"/>
    </row>
    <row r="670" spans="1:16">
      <c r="A670" s="737" t="s">
        <v>2686</v>
      </c>
      <c r="B670" s="731" t="s">
        <v>2982</v>
      </c>
      <c r="C670" s="55"/>
      <c r="D670" s="507"/>
      <c r="E670" s="504"/>
      <c r="F670" s="504"/>
      <c r="G670" s="504"/>
      <c r="H670" s="504"/>
      <c r="I670" s="501"/>
      <c r="J670" s="511"/>
      <c r="K670" s="506"/>
      <c r="L670" s="504"/>
      <c r="M670" s="504"/>
      <c r="N670" s="504"/>
      <c r="O670" s="504"/>
      <c r="P670" s="504"/>
    </row>
    <row r="671" spans="1:16" ht="15.75" customHeight="1">
      <c r="A671" s="737" t="s">
        <v>2686</v>
      </c>
      <c r="B671" s="731" t="s">
        <v>2983</v>
      </c>
      <c r="C671" s="55"/>
      <c r="D671" s="507"/>
      <c r="E671" s="504"/>
      <c r="F671" s="504"/>
      <c r="G671" s="504"/>
      <c r="H671" s="504"/>
      <c r="I671" s="501"/>
      <c r="J671" s="515"/>
      <c r="K671" s="506"/>
      <c r="L671" s="504"/>
      <c r="M671" s="504"/>
      <c r="N671" s="504"/>
      <c r="O671" s="504"/>
      <c r="P671" s="504"/>
    </row>
    <row r="672" spans="1:16" ht="15.75" customHeight="1">
      <c r="A672" s="737" t="s">
        <v>2686</v>
      </c>
      <c r="B672" s="731" t="s">
        <v>2984</v>
      </c>
      <c r="C672" s="55"/>
      <c r="D672" s="507"/>
      <c r="E672" s="504"/>
      <c r="F672" s="504"/>
      <c r="G672" s="504"/>
      <c r="H672" s="504"/>
      <c r="I672" s="501"/>
      <c r="J672" s="515"/>
      <c r="K672" s="506"/>
      <c r="L672" s="504"/>
      <c r="M672" s="504"/>
      <c r="N672" s="504"/>
      <c r="O672" s="504"/>
      <c r="P672" s="504"/>
    </row>
    <row r="673" spans="1:16" ht="15.75" customHeight="1">
      <c r="A673" s="738" t="s">
        <v>2691</v>
      </c>
      <c r="B673" s="731" t="s">
        <v>2985</v>
      </c>
      <c r="C673" s="55"/>
      <c r="D673" s="507"/>
      <c r="E673" s="504"/>
      <c r="F673" s="504"/>
      <c r="G673" s="504"/>
      <c r="H673" s="504"/>
      <c r="I673" s="501"/>
      <c r="J673" s="516"/>
      <c r="K673" s="506"/>
      <c r="L673" s="504"/>
      <c r="M673" s="504"/>
      <c r="N673" s="504"/>
      <c r="O673" s="504"/>
      <c r="P673" s="504"/>
    </row>
    <row r="674" spans="1:16" ht="15.75" customHeight="1">
      <c r="A674" s="738" t="s">
        <v>2691</v>
      </c>
      <c r="B674" s="731" t="s">
        <v>2680</v>
      </c>
      <c r="C674" s="55"/>
      <c r="D674" s="507"/>
      <c r="E674" s="504"/>
      <c r="F674" s="504"/>
      <c r="G674" s="504"/>
      <c r="H674" s="504"/>
      <c r="I674" s="501"/>
      <c r="J674" s="505"/>
      <c r="K674" s="506"/>
      <c r="L674" s="504"/>
      <c r="M674" s="504"/>
      <c r="N674" s="504"/>
      <c r="O674" s="504"/>
      <c r="P674" s="504"/>
    </row>
    <row r="675" spans="1:16" ht="15.45">
      <c r="A675" s="739" t="s">
        <v>2693</v>
      </c>
      <c r="B675" s="731" t="s">
        <v>2680</v>
      </c>
      <c r="C675" s="55"/>
      <c r="D675" s="507"/>
      <c r="E675" s="504"/>
      <c r="F675" s="504"/>
      <c r="G675" s="504"/>
      <c r="H675" s="504"/>
      <c r="I675" s="501"/>
      <c r="J675" s="517"/>
      <c r="K675" s="506"/>
      <c r="L675" s="504"/>
      <c r="M675" s="504"/>
      <c r="N675" s="504"/>
      <c r="O675" s="504"/>
      <c r="P675" s="504"/>
    </row>
    <row r="676" spans="1:16" ht="15.75" customHeight="1">
      <c r="A676" s="730"/>
      <c r="B676" s="559"/>
      <c r="C676" s="55"/>
      <c r="D676" s="507"/>
      <c r="E676" s="504"/>
      <c r="F676" s="504"/>
      <c r="G676" s="504"/>
      <c r="H676" s="504"/>
      <c r="I676" s="501"/>
      <c r="J676" s="512"/>
      <c r="K676" s="506"/>
      <c r="L676" s="504"/>
      <c r="M676" s="504"/>
      <c r="N676" s="504"/>
      <c r="O676" s="504"/>
      <c r="P676" s="504"/>
    </row>
    <row r="677" spans="1:16" ht="15.75" customHeight="1">
      <c r="A677" s="729" t="s">
        <v>2986</v>
      </c>
      <c r="B677" s="731" t="s">
        <v>2943</v>
      </c>
      <c r="C677" s="55"/>
      <c r="D677" s="507"/>
      <c r="E677" s="504"/>
      <c r="F677" s="504"/>
      <c r="G677" s="504"/>
      <c r="H677" s="504"/>
      <c r="I677" s="501"/>
      <c r="J677" s="512"/>
      <c r="K677" s="506"/>
      <c r="L677" s="504"/>
      <c r="M677" s="504"/>
      <c r="N677" s="504"/>
      <c r="O677" s="504"/>
      <c r="P677" s="504"/>
    </row>
    <row r="678" spans="1:16" ht="15.75" customHeight="1">
      <c r="A678" s="732" t="s">
        <v>2675</v>
      </c>
      <c r="B678" s="731" t="s">
        <v>2987</v>
      </c>
      <c r="C678" s="55"/>
      <c r="D678" s="507"/>
      <c r="E678" s="504"/>
      <c r="F678" s="504"/>
      <c r="G678" s="504"/>
      <c r="H678" s="504"/>
      <c r="I678" s="501"/>
      <c r="J678" s="513"/>
      <c r="K678" s="506"/>
      <c r="L678" s="504"/>
      <c r="M678" s="504"/>
      <c r="N678" s="504"/>
      <c r="O678" s="504"/>
      <c r="P678" s="504"/>
    </row>
    <row r="679" spans="1:16" ht="15.75" customHeight="1">
      <c r="A679" s="732" t="s">
        <v>2675</v>
      </c>
      <c r="B679" s="731" t="s">
        <v>2680</v>
      </c>
      <c r="C679" s="55"/>
      <c r="D679" s="507"/>
      <c r="E679" s="504"/>
      <c r="F679" s="504"/>
      <c r="G679" s="504"/>
      <c r="H679" s="504"/>
      <c r="I679" s="501"/>
      <c r="J679" s="513"/>
      <c r="K679" s="506"/>
      <c r="L679" s="504"/>
      <c r="M679" s="504"/>
      <c r="N679" s="504"/>
      <c r="O679" s="504"/>
      <c r="P679" s="504"/>
    </row>
    <row r="680" spans="1:16" ht="15.75" customHeight="1">
      <c r="A680" s="733" t="s">
        <v>5723</v>
      </c>
      <c r="B680" s="731" t="s">
        <v>5772</v>
      </c>
      <c r="C680" s="55"/>
      <c r="D680" s="507"/>
      <c r="E680" s="504"/>
      <c r="F680" s="504"/>
      <c r="G680" s="504"/>
      <c r="H680" s="504"/>
      <c r="I680" s="501"/>
      <c r="J680" s="513"/>
      <c r="K680" s="506"/>
      <c r="L680" s="504"/>
      <c r="M680" s="504"/>
      <c r="N680" s="504"/>
      <c r="O680" s="504"/>
      <c r="P680" s="504"/>
    </row>
    <row r="681" spans="1:16" ht="15.75" customHeight="1">
      <c r="A681" s="733" t="s">
        <v>5723</v>
      </c>
      <c r="B681" s="731" t="s">
        <v>2680</v>
      </c>
      <c r="C681" s="55"/>
      <c r="D681" s="507"/>
      <c r="E681" s="504"/>
      <c r="F681" s="504"/>
      <c r="G681" s="504"/>
      <c r="H681" s="504"/>
      <c r="I681" s="501"/>
      <c r="J681" s="514"/>
      <c r="K681" s="506"/>
      <c r="L681" s="504"/>
      <c r="M681" s="504"/>
      <c r="N681" s="504"/>
      <c r="O681" s="504"/>
      <c r="P681" s="504"/>
    </row>
    <row r="682" spans="1:16" ht="15.75" customHeight="1">
      <c r="A682" s="734" t="s">
        <v>2677</v>
      </c>
      <c r="B682" s="731" t="s">
        <v>2988</v>
      </c>
      <c r="C682" s="55"/>
      <c r="D682" s="507"/>
      <c r="E682" s="504"/>
      <c r="F682" s="504"/>
      <c r="G682" s="504"/>
      <c r="H682" s="504"/>
      <c r="I682" s="501"/>
      <c r="J682" s="514"/>
      <c r="K682" s="506"/>
      <c r="L682" s="504"/>
      <c r="M682" s="504"/>
      <c r="N682" s="504"/>
      <c r="O682" s="504"/>
      <c r="P682" s="504"/>
    </row>
    <row r="683" spans="1:16" ht="15.75" customHeight="1">
      <c r="A683" s="734" t="s">
        <v>2677</v>
      </c>
      <c r="B683" s="731" t="s">
        <v>2989</v>
      </c>
      <c r="C683" s="55"/>
      <c r="D683" s="507"/>
      <c r="E683" s="504"/>
      <c r="F683" s="504"/>
      <c r="G683" s="504"/>
      <c r="H683" s="504"/>
      <c r="I683" s="501"/>
      <c r="J683" s="514"/>
      <c r="K683" s="506"/>
      <c r="L683" s="504"/>
      <c r="M683" s="504"/>
      <c r="N683" s="504"/>
      <c r="O683" s="504"/>
      <c r="P683" s="504"/>
    </row>
    <row r="684" spans="1:16" ht="15.75" customHeight="1">
      <c r="A684" s="734" t="s">
        <v>2677</v>
      </c>
      <c r="B684" s="731" t="s">
        <v>2680</v>
      </c>
      <c r="C684" s="55"/>
      <c r="D684" s="507"/>
      <c r="E684" s="504"/>
      <c r="F684" s="504"/>
      <c r="G684" s="504"/>
      <c r="H684" s="504"/>
      <c r="I684" s="501"/>
      <c r="J684" s="514"/>
      <c r="K684" s="506"/>
      <c r="L684" s="504"/>
      <c r="M684" s="504"/>
      <c r="N684" s="504"/>
      <c r="O684" s="504"/>
      <c r="P684" s="504"/>
    </row>
    <row r="685" spans="1:16" ht="15.75" customHeight="1">
      <c r="A685" s="735" t="s">
        <v>2681</v>
      </c>
      <c r="B685" s="731" t="s">
        <v>2990</v>
      </c>
      <c r="C685" s="55"/>
      <c r="D685" s="507"/>
      <c r="E685" s="504"/>
      <c r="F685" s="504"/>
      <c r="G685" s="504"/>
      <c r="H685" s="504"/>
      <c r="I685" s="501"/>
      <c r="J685" s="511"/>
      <c r="K685" s="506"/>
      <c r="L685" s="504"/>
      <c r="M685" s="504"/>
      <c r="N685" s="504"/>
      <c r="O685" s="504"/>
      <c r="P685" s="504"/>
    </row>
    <row r="686" spans="1:16" ht="15.75" customHeight="1">
      <c r="A686" s="735" t="s">
        <v>2681</v>
      </c>
      <c r="B686" s="731" t="s">
        <v>2991</v>
      </c>
      <c r="C686" s="55"/>
      <c r="D686" s="507"/>
      <c r="E686" s="504"/>
      <c r="F686" s="504"/>
      <c r="G686" s="504"/>
      <c r="H686" s="504"/>
      <c r="I686" s="501"/>
      <c r="J686" s="511"/>
      <c r="K686" s="506"/>
      <c r="L686" s="504"/>
      <c r="M686" s="504"/>
      <c r="N686" s="504"/>
      <c r="O686" s="504"/>
      <c r="P686" s="504"/>
    </row>
    <row r="687" spans="1:16" ht="15.75" customHeight="1">
      <c r="A687" s="735" t="s">
        <v>2681</v>
      </c>
      <c r="B687" s="731" t="s">
        <v>2680</v>
      </c>
      <c r="C687" s="55"/>
      <c r="D687" s="507"/>
      <c r="E687" s="504"/>
      <c r="F687" s="504"/>
      <c r="G687" s="504"/>
      <c r="H687" s="504"/>
      <c r="I687" s="501"/>
      <c r="J687" s="511"/>
      <c r="K687" s="506"/>
      <c r="L687" s="504"/>
      <c r="M687" s="504"/>
      <c r="N687" s="504"/>
      <c r="O687" s="504"/>
      <c r="P687" s="504"/>
    </row>
    <row r="688" spans="1:16" ht="15.75" customHeight="1">
      <c r="A688" s="735" t="s">
        <v>2681</v>
      </c>
      <c r="B688" s="731" t="s">
        <v>2680</v>
      </c>
      <c r="C688" s="55"/>
      <c r="D688" s="507"/>
      <c r="E688" s="504"/>
      <c r="F688" s="504"/>
      <c r="G688" s="504"/>
      <c r="H688" s="504"/>
      <c r="I688" s="501"/>
      <c r="J688" s="511"/>
      <c r="K688" s="506"/>
      <c r="L688" s="504"/>
      <c r="M688" s="504"/>
      <c r="N688" s="504"/>
      <c r="O688" s="504"/>
      <c r="P688" s="504"/>
    </row>
    <row r="689" spans="1:16">
      <c r="A689" s="737" t="s">
        <v>2686</v>
      </c>
      <c r="B689" s="731" t="s">
        <v>2992</v>
      </c>
      <c r="C689" s="55"/>
      <c r="D689" s="507"/>
      <c r="E689" s="504"/>
      <c r="F689" s="504"/>
      <c r="G689" s="504"/>
      <c r="H689" s="504"/>
      <c r="I689" s="501"/>
      <c r="J689" s="511"/>
      <c r="K689" s="506"/>
      <c r="L689" s="504"/>
      <c r="M689" s="504"/>
      <c r="N689" s="504"/>
      <c r="O689" s="504"/>
      <c r="P689" s="504"/>
    </row>
    <row r="690" spans="1:16" ht="15.75" customHeight="1">
      <c r="A690" s="737" t="s">
        <v>2686</v>
      </c>
      <c r="B690" s="731" t="s">
        <v>2993</v>
      </c>
      <c r="C690" s="55"/>
      <c r="D690" s="507"/>
      <c r="E690" s="504"/>
      <c r="F690" s="504"/>
      <c r="G690" s="504"/>
      <c r="H690" s="504"/>
      <c r="I690" s="501"/>
      <c r="J690" s="515"/>
      <c r="K690" s="506"/>
      <c r="L690" s="504"/>
      <c r="M690" s="504"/>
      <c r="N690" s="504"/>
      <c r="O690" s="504"/>
      <c r="P690" s="504"/>
    </row>
    <row r="691" spans="1:16" ht="15.75" customHeight="1">
      <c r="A691" s="737" t="s">
        <v>2686</v>
      </c>
      <c r="B691" s="736" t="s">
        <v>2994</v>
      </c>
      <c r="C691" s="55"/>
      <c r="D691" s="507"/>
      <c r="E691" s="504"/>
      <c r="F691" s="504"/>
      <c r="G691" s="504"/>
      <c r="H691" s="504"/>
      <c r="I691" s="501"/>
      <c r="J691" s="515"/>
      <c r="K691" s="506"/>
      <c r="L691" s="504"/>
      <c r="M691" s="504"/>
      <c r="N691" s="504"/>
      <c r="O691" s="504"/>
      <c r="P691" s="504"/>
    </row>
    <row r="692" spans="1:16" ht="15.75" customHeight="1">
      <c r="A692" s="737" t="s">
        <v>2686</v>
      </c>
      <c r="B692" s="731" t="s">
        <v>2680</v>
      </c>
      <c r="C692" s="55"/>
      <c r="D692" s="507"/>
      <c r="E692" s="504"/>
      <c r="F692" s="504"/>
      <c r="G692" s="504"/>
      <c r="H692" s="504"/>
      <c r="I692" s="501"/>
      <c r="J692" s="516"/>
      <c r="K692" s="506"/>
      <c r="L692" s="504"/>
      <c r="M692" s="504"/>
      <c r="N692" s="504"/>
      <c r="O692" s="504"/>
      <c r="P692" s="504"/>
    </row>
    <row r="693" spans="1:16" ht="15.75" customHeight="1">
      <c r="A693" s="737" t="s">
        <v>2686</v>
      </c>
      <c r="B693" s="731" t="s">
        <v>2680</v>
      </c>
      <c r="C693" s="55"/>
      <c r="D693" s="507"/>
      <c r="E693" s="504"/>
      <c r="F693" s="504"/>
      <c r="G693" s="504"/>
      <c r="H693" s="504"/>
      <c r="I693" s="501"/>
      <c r="J693" s="522"/>
      <c r="K693" s="506"/>
      <c r="L693" s="504"/>
      <c r="M693" s="504"/>
      <c r="N693" s="504"/>
      <c r="O693" s="504"/>
      <c r="P693" s="504"/>
    </row>
    <row r="694" spans="1:16" ht="30.45">
      <c r="A694" s="738" t="s">
        <v>2691</v>
      </c>
      <c r="B694" s="736" t="s">
        <v>2995</v>
      </c>
      <c r="C694" s="55"/>
      <c r="D694" s="507"/>
      <c r="E694" s="504"/>
      <c r="F694" s="504"/>
      <c r="G694" s="504"/>
      <c r="H694" s="504"/>
      <c r="I694" s="501"/>
      <c r="J694" s="517"/>
      <c r="K694" s="506"/>
      <c r="L694" s="504"/>
      <c r="M694" s="504"/>
      <c r="N694" s="504"/>
      <c r="O694" s="504"/>
      <c r="P694" s="504"/>
    </row>
    <row r="695" spans="1:16" ht="15.75" customHeight="1">
      <c r="A695" s="738" t="s">
        <v>2691</v>
      </c>
      <c r="B695" s="731" t="s">
        <v>2680</v>
      </c>
      <c r="C695" s="55"/>
      <c r="D695" s="507"/>
      <c r="E695" s="504"/>
      <c r="F695" s="504"/>
      <c r="G695" s="504"/>
      <c r="H695" s="504"/>
      <c r="I695" s="501"/>
      <c r="J695" s="512"/>
      <c r="K695" s="506"/>
      <c r="L695" s="504"/>
      <c r="M695" s="504"/>
      <c r="N695" s="504"/>
      <c r="O695" s="504"/>
      <c r="P695" s="504"/>
    </row>
    <row r="696" spans="1:16" ht="15.75" customHeight="1">
      <c r="A696" s="739" t="s">
        <v>2693</v>
      </c>
      <c r="B696" s="731" t="s">
        <v>2680</v>
      </c>
      <c r="C696" s="55"/>
      <c r="D696" s="507"/>
      <c r="E696" s="504"/>
      <c r="F696" s="504"/>
      <c r="G696" s="504"/>
      <c r="H696" s="504"/>
      <c r="I696" s="501"/>
      <c r="J696" s="512"/>
      <c r="K696" s="506"/>
      <c r="L696" s="504"/>
      <c r="M696" s="504"/>
      <c r="N696" s="504"/>
      <c r="O696" s="504"/>
      <c r="P696" s="504"/>
    </row>
    <row r="697" spans="1:16" ht="15.75" customHeight="1">
      <c r="A697" s="730"/>
      <c r="B697" s="559"/>
      <c r="C697" s="55"/>
      <c r="D697" s="507"/>
      <c r="E697" s="504"/>
      <c r="F697" s="504"/>
      <c r="G697" s="504"/>
      <c r="H697" s="504"/>
      <c r="I697" s="501"/>
      <c r="J697" s="513"/>
      <c r="K697" s="506"/>
      <c r="L697" s="504"/>
      <c r="M697" s="504"/>
      <c r="N697" s="504"/>
      <c r="O697" s="504"/>
      <c r="P697" s="504"/>
    </row>
    <row r="698" spans="1:16" ht="15.75" customHeight="1">
      <c r="A698" s="729" t="s">
        <v>2996</v>
      </c>
      <c r="B698" s="731" t="s">
        <v>2943</v>
      </c>
      <c r="C698" s="55"/>
      <c r="D698" s="507"/>
      <c r="E698" s="504"/>
      <c r="F698" s="504"/>
      <c r="G698" s="504"/>
      <c r="H698" s="504"/>
      <c r="I698" s="501"/>
      <c r="J698" s="513"/>
      <c r="K698" s="506"/>
      <c r="L698" s="504"/>
      <c r="M698" s="504"/>
      <c r="N698" s="504"/>
      <c r="O698" s="504"/>
      <c r="P698" s="504"/>
    </row>
    <row r="699" spans="1:16" ht="15.75" customHeight="1">
      <c r="A699" s="732" t="s">
        <v>2675</v>
      </c>
      <c r="B699" s="731" t="s">
        <v>2997</v>
      </c>
      <c r="C699" s="55"/>
      <c r="D699" s="507"/>
      <c r="E699" s="504"/>
      <c r="F699" s="504"/>
      <c r="G699" s="504"/>
      <c r="H699" s="504"/>
      <c r="I699" s="501"/>
      <c r="J699" s="513"/>
      <c r="K699" s="506"/>
      <c r="L699" s="504"/>
      <c r="M699" s="504"/>
      <c r="N699" s="504"/>
      <c r="O699" s="504"/>
      <c r="P699" s="504"/>
    </row>
    <row r="700" spans="1:16" ht="15.75" customHeight="1">
      <c r="A700" s="732" t="s">
        <v>2675</v>
      </c>
      <c r="B700" s="731" t="s">
        <v>2680</v>
      </c>
      <c r="C700" s="55"/>
      <c r="D700" s="507"/>
      <c r="E700" s="504"/>
      <c r="F700" s="504"/>
      <c r="G700" s="504"/>
      <c r="H700" s="504"/>
      <c r="I700" s="501"/>
      <c r="J700" s="514"/>
      <c r="K700" s="506"/>
      <c r="L700" s="504"/>
      <c r="M700" s="504"/>
      <c r="N700" s="504"/>
      <c r="O700" s="504"/>
      <c r="P700" s="504"/>
    </row>
    <row r="701" spans="1:16" ht="15.75" customHeight="1">
      <c r="A701" s="733" t="s">
        <v>5723</v>
      </c>
      <c r="B701" s="731" t="s">
        <v>5773</v>
      </c>
      <c r="C701" s="55"/>
      <c r="D701" s="507"/>
      <c r="E701" s="504"/>
      <c r="F701" s="504"/>
      <c r="G701" s="504"/>
      <c r="H701" s="504"/>
      <c r="I701" s="501"/>
      <c r="J701" s="514"/>
      <c r="K701" s="506"/>
      <c r="L701" s="504"/>
      <c r="M701" s="504"/>
      <c r="N701" s="504"/>
      <c r="O701" s="504"/>
      <c r="P701" s="504"/>
    </row>
    <row r="702" spans="1:16" ht="15.75" customHeight="1">
      <c r="A702" s="733" t="s">
        <v>5723</v>
      </c>
      <c r="B702" s="731" t="s">
        <v>2680</v>
      </c>
      <c r="C702" s="55"/>
      <c r="D702" s="507"/>
      <c r="E702" s="504"/>
      <c r="F702" s="504"/>
      <c r="G702" s="504"/>
      <c r="H702" s="504"/>
      <c r="I702" s="501"/>
      <c r="J702" s="514"/>
      <c r="K702" s="506"/>
      <c r="L702" s="504"/>
      <c r="M702" s="504"/>
      <c r="N702" s="504"/>
      <c r="O702" s="504"/>
      <c r="P702" s="504"/>
    </row>
    <row r="703" spans="1:16" ht="15.75" customHeight="1">
      <c r="A703" s="734" t="s">
        <v>2677</v>
      </c>
      <c r="B703" s="731" t="s">
        <v>2998</v>
      </c>
      <c r="C703" s="55"/>
      <c r="D703" s="507"/>
      <c r="E703" s="504"/>
      <c r="F703" s="504"/>
      <c r="G703" s="504"/>
      <c r="H703" s="504"/>
      <c r="I703" s="501"/>
      <c r="J703" s="514"/>
      <c r="K703" s="506"/>
      <c r="L703" s="504"/>
      <c r="M703" s="504"/>
      <c r="N703" s="504"/>
      <c r="O703" s="504"/>
      <c r="P703" s="504"/>
    </row>
    <row r="704" spans="1:16" ht="15.75" customHeight="1">
      <c r="A704" s="734" t="s">
        <v>2677</v>
      </c>
      <c r="B704" s="731" t="s">
        <v>2999</v>
      </c>
      <c r="C704" s="55"/>
      <c r="D704" s="507"/>
      <c r="E704" s="504"/>
      <c r="F704" s="504"/>
      <c r="G704" s="504"/>
      <c r="H704" s="504"/>
      <c r="I704" s="501"/>
      <c r="J704" s="511"/>
      <c r="K704" s="506"/>
      <c r="L704" s="504"/>
      <c r="M704" s="504"/>
      <c r="N704" s="504"/>
      <c r="O704" s="504"/>
      <c r="P704" s="504"/>
    </row>
    <row r="705" spans="1:16" ht="15.75" customHeight="1">
      <c r="A705" s="734" t="s">
        <v>2677</v>
      </c>
      <c r="B705" s="731" t="s">
        <v>2680</v>
      </c>
      <c r="C705" s="55"/>
      <c r="D705" s="507"/>
      <c r="E705" s="504"/>
      <c r="F705" s="504"/>
      <c r="G705" s="504"/>
      <c r="H705" s="504"/>
      <c r="I705" s="501"/>
      <c r="J705" s="511"/>
      <c r="K705" s="506"/>
      <c r="L705" s="504"/>
      <c r="M705" s="504"/>
      <c r="N705" s="504"/>
      <c r="O705" s="504"/>
      <c r="P705" s="504"/>
    </row>
    <row r="706" spans="1:16" ht="15.75" customHeight="1">
      <c r="A706" s="735" t="s">
        <v>2681</v>
      </c>
      <c r="B706" s="731" t="s">
        <v>2680</v>
      </c>
      <c r="C706" s="55"/>
      <c r="D706" s="507"/>
      <c r="E706" s="504"/>
      <c r="F706" s="504"/>
      <c r="G706" s="504"/>
      <c r="H706" s="504"/>
      <c r="I706" s="501"/>
      <c r="J706" s="511"/>
      <c r="K706" s="506"/>
      <c r="L706" s="504"/>
      <c r="M706" s="504"/>
      <c r="N706" s="504"/>
      <c r="O706" s="504"/>
      <c r="P706" s="504"/>
    </row>
    <row r="707" spans="1:16" ht="15.75" customHeight="1">
      <c r="A707" s="735" t="s">
        <v>2681</v>
      </c>
      <c r="B707" s="731" t="s">
        <v>3000</v>
      </c>
      <c r="C707" s="55"/>
      <c r="D707" s="507"/>
      <c r="E707" s="504"/>
      <c r="F707" s="504"/>
      <c r="G707" s="504"/>
      <c r="H707" s="504"/>
      <c r="I707" s="501"/>
      <c r="J707" s="511"/>
      <c r="K707" s="506"/>
      <c r="L707" s="504"/>
      <c r="M707" s="504"/>
      <c r="N707" s="504"/>
      <c r="O707" s="504"/>
      <c r="P707" s="504"/>
    </row>
    <row r="708" spans="1:16">
      <c r="A708" s="735" t="s">
        <v>2681</v>
      </c>
      <c r="B708" s="731" t="s">
        <v>3001</v>
      </c>
      <c r="C708" s="55"/>
      <c r="D708" s="507"/>
      <c r="E708" s="504"/>
      <c r="F708" s="504"/>
      <c r="G708" s="504"/>
      <c r="H708" s="504"/>
      <c r="I708" s="501"/>
      <c r="J708" s="511"/>
      <c r="K708" s="506"/>
      <c r="L708" s="504"/>
      <c r="M708" s="504"/>
      <c r="N708" s="504"/>
      <c r="O708" s="504"/>
      <c r="P708" s="504"/>
    </row>
    <row r="709" spans="1:16" ht="15.75" customHeight="1">
      <c r="A709" s="735" t="s">
        <v>2681</v>
      </c>
      <c r="B709" s="731" t="s">
        <v>2680</v>
      </c>
      <c r="C709" s="55"/>
      <c r="D709" s="507"/>
      <c r="E709" s="504"/>
      <c r="F709" s="504"/>
      <c r="G709" s="504"/>
      <c r="H709" s="504"/>
      <c r="I709" s="501"/>
      <c r="J709" s="515"/>
      <c r="K709" s="506"/>
      <c r="L709" s="504"/>
      <c r="M709" s="504"/>
      <c r="N709" s="504"/>
      <c r="O709" s="504"/>
      <c r="P709" s="504"/>
    </row>
    <row r="710" spans="1:16" ht="15.75" customHeight="1">
      <c r="A710" s="737" t="s">
        <v>2686</v>
      </c>
      <c r="B710" s="731" t="s">
        <v>2680</v>
      </c>
      <c r="C710" s="55"/>
      <c r="D710" s="507"/>
      <c r="E710" s="504"/>
      <c r="F710" s="504"/>
      <c r="G710" s="504"/>
      <c r="H710" s="504"/>
      <c r="I710" s="501"/>
      <c r="J710" s="515"/>
      <c r="K710" s="506"/>
      <c r="L710" s="504"/>
      <c r="M710" s="504"/>
      <c r="N710" s="504"/>
      <c r="O710" s="504"/>
      <c r="P710" s="504"/>
    </row>
    <row r="711" spans="1:16" ht="15.75" customHeight="1">
      <c r="A711" s="737" t="s">
        <v>2686</v>
      </c>
      <c r="B711" s="731" t="s">
        <v>3002</v>
      </c>
      <c r="C711" s="55"/>
      <c r="D711" s="507"/>
      <c r="E711" s="504"/>
      <c r="F711" s="504"/>
      <c r="G711" s="504"/>
      <c r="H711" s="504"/>
      <c r="I711" s="501"/>
      <c r="J711" s="516"/>
      <c r="K711" s="506"/>
      <c r="L711" s="504"/>
      <c r="M711" s="504"/>
      <c r="N711" s="504"/>
      <c r="O711" s="504"/>
      <c r="P711" s="504"/>
    </row>
    <row r="712" spans="1:16" ht="15.75" customHeight="1">
      <c r="A712" s="737" t="s">
        <v>2686</v>
      </c>
      <c r="B712" s="731" t="s">
        <v>3003</v>
      </c>
      <c r="C712" s="55"/>
      <c r="D712" s="507"/>
      <c r="E712" s="504"/>
      <c r="F712" s="504"/>
      <c r="G712" s="504"/>
      <c r="H712" s="504"/>
      <c r="I712" s="501"/>
      <c r="J712" s="505"/>
      <c r="K712" s="506"/>
      <c r="L712" s="504"/>
      <c r="M712" s="504"/>
      <c r="N712" s="504"/>
      <c r="O712" s="504"/>
      <c r="P712" s="504"/>
    </row>
    <row r="713" spans="1:16" ht="15.45">
      <c r="A713" s="737" t="s">
        <v>2686</v>
      </c>
      <c r="B713" s="731" t="s">
        <v>2680</v>
      </c>
      <c r="C713" s="55"/>
      <c r="D713" s="507"/>
      <c r="E713" s="504"/>
      <c r="F713" s="504"/>
      <c r="G713" s="504"/>
      <c r="H713" s="504"/>
      <c r="I713" s="501"/>
      <c r="J713" s="517"/>
      <c r="K713" s="506"/>
      <c r="L713" s="504"/>
      <c r="M713" s="504"/>
      <c r="N713" s="504"/>
      <c r="O713" s="504"/>
      <c r="P713" s="504"/>
    </row>
    <row r="714" spans="1:16" ht="15.75" customHeight="1">
      <c r="A714" s="737" t="s">
        <v>2686</v>
      </c>
      <c r="B714" s="731" t="s">
        <v>2680</v>
      </c>
      <c r="C714" s="55"/>
      <c r="D714" s="507"/>
      <c r="E714" s="504"/>
      <c r="F714" s="504"/>
      <c r="G714" s="504"/>
      <c r="H714" s="504"/>
      <c r="I714" s="501"/>
      <c r="J714" s="512"/>
      <c r="K714" s="506"/>
      <c r="L714" s="504"/>
      <c r="M714" s="504"/>
      <c r="N714" s="504"/>
      <c r="O714" s="504"/>
      <c r="P714" s="504"/>
    </row>
    <row r="715" spans="1:16" ht="15.75" customHeight="1">
      <c r="A715" s="738" t="s">
        <v>2691</v>
      </c>
      <c r="B715" s="731" t="s">
        <v>2680</v>
      </c>
      <c r="C715" s="55"/>
      <c r="D715" s="507"/>
      <c r="E715" s="504"/>
      <c r="F715" s="504"/>
      <c r="G715" s="504"/>
      <c r="H715" s="504"/>
      <c r="I715" s="501"/>
      <c r="J715" s="512"/>
      <c r="K715" s="506"/>
      <c r="L715" s="504"/>
      <c r="M715" s="504"/>
      <c r="N715" s="504"/>
      <c r="O715" s="504"/>
      <c r="P715" s="504"/>
    </row>
    <row r="716" spans="1:16" ht="15.75" customHeight="1">
      <c r="A716" s="738" t="s">
        <v>2691</v>
      </c>
      <c r="B716" s="731" t="s">
        <v>3004</v>
      </c>
      <c r="C716" s="55"/>
      <c r="D716" s="507"/>
      <c r="E716" s="504"/>
      <c r="F716" s="504"/>
      <c r="G716" s="504"/>
      <c r="H716" s="504"/>
      <c r="I716" s="501"/>
      <c r="J716" s="513"/>
      <c r="K716" s="506"/>
      <c r="L716" s="504"/>
      <c r="M716" s="504"/>
      <c r="N716" s="504"/>
      <c r="O716" s="504"/>
      <c r="P716" s="504"/>
    </row>
    <row r="717" spans="1:16" ht="15.75" customHeight="1">
      <c r="A717" s="739" t="s">
        <v>2693</v>
      </c>
      <c r="B717" s="731" t="s">
        <v>2680</v>
      </c>
      <c r="C717" s="55"/>
      <c r="D717" s="507"/>
      <c r="E717" s="504"/>
      <c r="F717" s="504"/>
      <c r="G717" s="504"/>
      <c r="H717" s="504"/>
      <c r="I717" s="501"/>
      <c r="J717" s="513"/>
      <c r="K717" s="506"/>
      <c r="L717" s="504"/>
      <c r="M717" s="504"/>
      <c r="N717" s="504"/>
      <c r="O717" s="504"/>
      <c r="P717" s="504"/>
    </row>
    <row r="718" spans="1:16" ht="15.75" customHeight="1">
      <c r="A718" s="742"/>
      <c r="B718" s="559"/>
      <c r="C718" s="55"/>
      <c r="D718" s="507"/>
      <c r="E718" s="504"/>
      <c r="F718" s="504"/>
      <c r="G718" s="504"/>
      <c r="H718" s="504"/>
      <c r="I718" s="501"/>
      <c r="J718" s="513"/>
      <c r="K718" s="506"/>
      <c r="L718" s="504"/>
      <c r="M718" s="504"/>
      <c r="N718" s="504"/>
      <c r="O718" s="504"/>
      <c r="P718" s="504"/>
    </row>
    <row r="719" spans="1:16" ht="15.75" customHeight="1">
      <c r="A719" s="729" t="s">
        <v>3005</v>
      </c>
      <c r="B719" s="731" t="s">
        <v>2674</v>
      </c>
      <c r="C719" s="55"/>
      <c r="D719" s="507"/>
      <c r="E719" s="504"/>
      <c r="F719" s="504"/>
      <c r="G719" s="504"/>
      <c r="H719" s="504"/>
      <c r="I719" s="501"/>
      <c r="J719" s="514"/>
      <c r="K719" s="506"/>
      <c r="L719" s="504"/>
      <c r="M719" s="504"/>
      <c r="N719" s="504"/>
      <c r="O719" s="504"/>
      <c r="P719" s="504"/>
    </row>
    <row r="720" spans="1:16" ht="15.75" customHeight="1">
      <c r="A720" s="732" t="s">
        <v>2675</v>
      </c>
      <c r="B720" s="731" t="s">
        <v>3006</v>
      </c>
      <c r="C720" s="55"/>
      <c r="D720" s="507"/>
      <c r="E720" s="504"/>
      <c r="F720" s="504"/>
      <c r="G720" s="504"/>
      <c r="H720" s="504"/>
      <c r="I720" s="501"/>
      <c r="J720" s="514"/>
      <c r="K720" s="506"/>
      <c r="L720" s="504"/>
      <c r="M720" s="504"/>
      <c r="N720" s="504"/>
      <c r="O720" s="504"/>
      <c r="P720" s="504"/>
    </row>
    <row r="721" spans="1:16" ht="15.75" customHeight="1">
      <c r="A721" s="732" t="s">
        <v>2675</v>
      </c>
      <c r="B721" s="731" t="s">
        <v>3007</v>
      </c>
      <c r="C721" s="55"/>
      <c r="D721" s="507"/>
      <c r="E721" s="504"/>
      <c r="F721" s="504"/>
      <c r="G721" s="504"/>
      <c r="H721" s="504"/>
      <c r="I721" s="501"/>
      <c r="J721" s="514"/>
      <c r="K721" s="506"/>
      <c r="L721" s="504"/>
      <c r="M721" s="504"/>
      <c r="N721" s="504"/>
      <c r="O721" s="504"/>
      <c r="P721" s="504"/>
    </row>
    <row r="722" spans="1:16" ht="15.75" customHeight="1">
      <c r="A722" s="733" t="s">
        <v>5723</v>
      </c>
      <c r="B722" s="731" t="s">
        <v>5774</v>
      </c>
      <c r="C722" s="55"/>
      <c r="D722" s="507"/>
      <c r="E722" s="504"/>
      <c r="F722" s="504"/>
      <c r="G722" s="504"/>
      <c r="H722" s="504"/>
      <c r="I722" s="501"/>
      <c r="J722" s="514"/>
      <c r="K722" s="506"/>
      <c r="L722" s="504"/>
      <c r="M722" s="504"/>
      <c r="N722" s="504"/>
      <c r="O722" s="504"/>
      <c r="P722" s="504"/>
    </row>
    <row r="723" spans="1:16" ht="15.75" customHeight="1">
      <c r="A723" s="733" t="s">
        <v>5723</v>
      </c>
      <c r="B723" s="731" t="s">
        <v>2680</v>
      </c>
      <c r="C723" s="55"/>
      <c r="D723" s="507"/>
      <c r="E723" s="504"/>
      <c r="F723" s="504"/>
      <c r="G723" s="504"/>
      <c r="H723" s="504"/>
      <c r="I723" s="501"/>
      <c r="J723" s="511"/>
      <c r="K723" s="506"/>
      <c r="L723" s="504"/>
      <c r="M723" s="504"/>
      <c r="N723" s="504"/>
      <c r="O723" s="504"/>
      <c r="P723" s="504"/>
    </row>
    <row r="724" spans="1:16" ht="15.75" customHeight="1">
      <c r="A724" s="734" t="s">
        <v>2677</v>
      </c>
      <c r="B724" s="731" t="s">
        <v>3008</v>
      </c>
      <c r="C724" s="55"/>
      <c r="D724" s="507"/>
      <c r="E724" s="504"/>
      <c r="F724" s="504"/>
      <c r="G724" s="504"/>
      <c r="H724" s="504"/>
      <c r="I724" s="501"/>
      <c r="J724" s="511"/>
      <c r="K724" s="506"/>
      <c r="L724" s="504"/>
      <c r="M724" s="504"/>
      <c r="N724" s="504"/>
      <c r="O724" s="504"/>
      <c r="P724" s="504"/>
    </row>
    <row r="725" spans="1:16" ht="15.75" customHeight="1">
      <c r="A725" s="734" t="s">
        <v>2677</v>
      </c>
      <c r="B725" s="731" t="s">
        <v>3009</v>
      </c>
      <c r="C725" s="55"/>
      <c r="D725" s="507"/>
      <c r="E725" s="504"/>
      <c r="F725" s="504"/>
      <c r="G725" s="504"/>
      <c r="H725" s="504"/>
      <c r="I725" s="501"/>
      <c r="J725" s="511"/>
      <c r="K725" s="506"/>
      <c r="L725" s="504"/>
      <c r="M725" s="504"/>
      <c r="N725" s="504"/>
      <c r="O725" s="504"/>
      <c r="P725" s="504"/>
    </row>
    <row r="726" spans="1:16" ht="15.75" customHeight="1">
      <c r="A726" s="734" t="s">
        <v>2677</v>
      </c>
      <c r="B726" s="731" t="s">
        <v>3010</v>
      </c>
      <c r="C726" s="55"/>
      <c r="D726" s="507"/>
      <c r="E726" s="504"/>
      <c r="F726" s="504"/>
      <c r="G726" s="504"/>
      <c r="H726" s="504"/>
      <c r="I726" s="501"/>
      <c r="J726" s="511"/>
      <c r="K726" s="506"/>
      <c r="L726" s="504"/>
      <c r="M726" s="504"/>
      <c r="N726" s="504"/>
      <c r="O726" s="504"/>
      <c r="P726" s="504"/>
    </row>
    <row r="727" spans="1:16">
      <c r="A727" s="735" t="s">
        <v>2681</v>
      </c>
      <c r="B727" s="731" t="s">
        <v>3011</v>
      </c>
      <c r="C727" s="55"/>
      <c r="D727" s="507"/>
      <c r="E727" s="504"/>
      <c r="F727" s="504"/>
      <c r="G727" s="504"/>
      <c r="H727" s="504"/>
      <c r="I727" s="501"/>
      <c r="J727" s="511"/>
      <c r="K727" s="506"/>
      <c r="L727" s="504"/>
      <c r="M727" s="504"/>
      <c r="N727" s="504"/>
      <c r="O727" s="504"/>
      <c r="P727" s="504"/>
    </row>
    <row r="728" spans="1:16" ht="15.75" customHeight="1">
      <c r="A728" s="735" t="s">
        <v>2681</v>
      </c>
      <c r="B728" s="731" t="s">
        <v>3012</v>
      </c>
      <c r="C728" s="55"/>
      <c r="D728" s="507"/>
      <c r="E728" s="504"/>
      <c r="F728" s="504"/>
      <c r="G728" s="504"/>
      <c r="H728" s="504"/>
      <c r="I728" s="501"/>
      <c r="J728" s="515"/>
      <c r="K728" s="506"/>
      <c r="L728" s="504"/>
      <c r="M728" s="504"/>
      <c r="N728" s="504"/>
      <c r="O728" s="504"/>
      <c r="P728" s="504"/>
    </row>
    <row r="729" spans="1:16" ht="15.75" customHeight="1">
      <c r="A729" s="735" t="s">
        <v>2681</v>
      </c>
      <c r="B729" s="731" t="s">
        <v>2680</v>
      </c>
      <c r="C729" s="55"/>
      <c r="D729" s="507"/>
      <c r="E729" s="504"/>
      <c r="F729" s="504"/>
      <c r="G729" s="504"/>
      <c r="H729" s="504"/>
      <c r="I729" s="501"/>
      <c r="J729" s="515"/>
      <c r="K729" s="506"/>
      <c r="L729" s="504"/>
      <c r="M729" s="504"/>
      <c r="N729" s="504"/>
      <c r="O729" s="504"/>
      <c r="P729" s="504"/>
    </row>
    <row r="730" spans="1:16" ht="15.75" customHeight="1">
      <c r="A730" s="735" t="s">
        <v>2681</v>
      </c>
      <c r="B730" s="731" t="s">
        <v>2680</v>
      </c>
      <c r="C730" s="55"/>
      <c r="D730" s="507"/>
      <c r="E730" s="504"/>
      <c r="F730" s="504"/>
      <c r="G730" s="504"/>
      <c r="H730" s="504"/>
      <c r="I730" s="501"/>
      <c r="J730" s="516"/>
      <c r="K730" s="506"/>
      <c r="L730" s="504"/>
      <c r="M730" s="504"/>
      <c r="N730" s="504"/>
      <c r="O730" s="504"/>
      <c r="P730" s="504"/>
    </row>
    <row r="731" spans="1:16" ht="15.75" customHeight="1">
      <c r="A731" s="737" t="s">
        <v>2686</v>
      </c>
      <c r="B731" s="731" t="s">
        <v>3013</v>
      </c>
      <c r="C731" s="55"/>
      <c r="D731" s="507"/>
      <c r="E731" s="504"/>
      <c r="F731" s="504"/>
      <c r="G731" s="504"/>
      <c r="H731" s="504"/>
      <c r="I731" s="501"/>
      <c r="J731" s="505"/>
      <c r="K731" s="506"/>
      <c r="L731" s="504"/>
      <c r="M731" s="504"/>
      <c r="N731" s="504"/>
      <c r="O731" s="504"/>
      <c r="P731" s="504"/>
    </row>
    <row r="732" spans="1:16" ht="15.45">
      <c r="A732" s="737" t="s">
        <v>2686</v>
      </c>
      <c r="B732" s="731" t="s">
        <v>3014</v>
      </c>
      <c r="C732" s="55"/>
      <c r="D732" s="507"/>
      <c r="E732" s="504"/>
      <c r="F732" s="504"/>
      <c r="G732" s="504"/>
      <c r="H732" s="504"/>
      <c r="I732" s="501"/>
      <c r="J732" s="517"/>
      <c r="K732" s="506"/>
      <c r="L732" s="504"/>
      <c r="M732" s="504"/>
      <c r="N732" s="504"/>
      <c r="O732" s="504"/>
      <c r="P732" s="504"/>
    </row>
    <row r="733" spans="1:16" ht="15.75" customHeight="1">
      <c r="A733" s="737" t="s">
        <v>2686</v>
      </c>
      <c r="B733" s="731" t="s">
        <v>3015</v>
      </c>
      <c r="C733" s="55"/>
      <c r="D733" s="507"/>
      <c r="E733" s="504"/>
      <c r="F733" s="504"/>
      <c r="G733" s="504"/>
      <c r="H733" s="504"/>
      <c r="I733" s="501"/>
      <c r="J733" s="512"/>
      <c r="K733" s="506"/>
      <c r="L733" s="504"/>
      <c r="M733" s="504"/>
      <c r="N733" s="504"/>
      <c r="O733" s="504"/>
      <c r="P733" s="504"/>
    </row>
    <row r="734" spans="1:16" ht="15.75" customHeight="1">
      <c r="A734" s="737" t="s">
        <v>2686</v>
      </c>
      <c r="B734" s="731" t="s">
        <v>3016</v>
      </c>
      <c r="C734" s="55"/>
      <c r="D734" s="507"/>
      <c r="E734" s="504"/>
      <c r="F734" s="504"/>
      <c r="G734" s="504"/>
      <c r="H734" s="504"/>
      <c r="I734" s="501"/>
      <c r="J734" s="512"/>
      <c r="K734" s="506"/>
      <c r="L734" s="504"/>
      <c r="M734" s="504"/>
      <c r="N734" s="504"/>
      <c r="O734" s="504"/>
      <c r="P734" s="504"/>
    </row>
    <row r="735" spans="1:16" ht="15.75" customHeight="1">
      <c r="A735" s="737" t="s">
        <v>2686</v>
      </c>
      <c r="B735" s="731" t="s">
        <v>2680</v>
      </c>
      <c r="C735" s="55"/>
      <c r="D735" s="507"/>
      <c r="E735" s="504"/>
      <c r="F735" s="504"/>
      <c r="G735" s="504"/>
      <c r="H735" s="504"/>
      <c r="I735" s="501"/>
      <c r="J735" s="513"/>
      <c r="K735" s="506"/>
      <c r="L735" s="504"/>
      <c r="M735" s="504"/>
      <c r="N735" s="504"/>
      <c r="O735" s="504"/>
      <c r="P735" s="504"/>
    </row>
    <row r="736" spans="1:16" ht="15.75" customHeight="1">
      <c r="A736" s="738" t="s">
        <v>2691</v>
      </c>
      <c r="B736" s="731" t="s">
        <v>3017</v>
      </c>
      <c r="C736" s="55"/>
      <c r="D736" s="507"/>
      <c r="E736" s="504"/>
      <c r="F736" s="504"/>
      <c r="G736" s="504"/>
      <c r="H736" s="504"/>
      <c r="I736" s="501"/>
      <c r="J736" s="513"/>
      <c r="K736" s="506"/>
      <c r="L736" s="504"/>
      <c r="M736" s="504"/>
      <c r="N736" s="504"/>
      <c r="O736" s="504"/>
      <c r="P736" s="504"/>
    </row>
    <row r="737" spans="1:16" ht="15.75" customHeight="1">
      <c r="A737" s="738" t="s">
        <v>2691</v>
      </c>
      <c r="B737" s="731" t="s">
        <v>2680</v>
      </c>
      <c r="C737" s="55"/>
      <c r="D737" s="507"/>
      <c r="E737" s="504"/>
      <c r="F737" s="504"/>
      <c r="G737" s="504"/>
      <c r="H737" s="504"/>
      <c r="I737" s="501"/>
      <c r="J737" s="513"/>
      <c r="K737" s="506"/>
      <c r="L737" s="504"/>
      <c r="M737" s="504"/>
      <c r="N737" s="504"/>
      <c r="O737" s="504"/>
      <c r="P737" s="504"/>
    </row>
    <row r="738" spans="1:16" ht="15.75" customHeight="1">
      <c r="A738" s="739" t="s">
        <v>2693</v>
      </c>
      <c r="B738" s="731" t="s">
        <v>2680</v>
      </c>
      <c r="C738" s="55"/>
      <c r="D738" s="507"/>
      <c r="E738" s="504"/>
      <c r="F738" s="504"/>
      <c r="G738" s="504"/>
      <c r="H738" s="504"/>
      <c r="I738" s="501"/>
      <c r="J738" s="514"/>
      <c r="K738" s="506"/>
      <c r="L738" s="504"/>
      <c r="M738" s="504"/>
      <c r="N738" s="504"/>
      <c r="O738" s="504"/>
      <c r="P738" s="504"/>
    </row>
    <row r="739" spans="1:16" ht="15.75" customHeight="1">
      <c r="A739" s="730"/>
      <c r="B739" s="559"/>
      <c r="C739" s="55"/>
      <c r="D739" s="507"/>
      <c r="E739" s="504"/>
      <c r="F739" s="504"/>
      <c r="G739" s="504"/>
      <c r="H739" s="504"/>
      <c r="I739" s="501"/>
      <c r="J739" s="514"/>
      <c r="K739" s="506"/>
      <c r="L739" s="504"/>
      <c r="M739" s="504"/>
      <c r="N739" s="504"/>
      <c r="O739" s="504"/>
      <c r="P739" s="504"/>
    </row>
    <row r="740" spans="1:16" ht="15.75" customHeight="1">
      <c r="A740" s="729" t="s">
        <v>3018</v>
      </c>
      <c r="B740" s="731" t="s">
        <v>2674</v>
      </c>
      <c r="C740" s="55"/>
      <c r="D740" s="507"/>
      <c r="E740" s="504"/>
      <c r="F740" s="504"/>
      <c r="G740" s="504"/>
      <c r="H740" s="504"/>
      <c r="I740" s="501"/>
      <c r="J740" s="514"/>
      <c r="K740" s="506"/>
      <c r="L740" s="504"/>
      <c r="M740" s="504"/>
      <c r="N740" s="504"/>
      <c r="O740" s="504"/>
      <c r="P740" s="504"/>
    </row>
    <row r="741" spans="1:16" ht="15.75" customHeight="1">
      <c r="A741" s="732" t="s">
        <v>2675</v>
      </c>
      <c r="B741" s="731" t="s">
        <v>3019</v>
      </c>
      <c r="C741" s="55"/>
      <c r="D741" s="507"/>
      <c r="E741" s="504"/>
      <c r="F741" s="504"/>
      <c r="G741" s="504"/>
      <c r="H741" s="504"/>
      <c r="I741" s="501"/>
      <c r="J741" s="514"/>
      <c r="K741" s="506"/>
      <c r="L741" s="504"/>
      <c r="M741" s="504"/>
      <c r="N741" s="504"/>
      <c r="O741" s="504"/>
      <c r="P741" s="504"/>
    </row>
    <row r="742" spans="1:16" ht="15.75" customHeight="1">
      <c r="A742" s="732" t="s">
        <v>2675</v>
      </c>
      <c r="B742" s="731" t="s">
        <v>2680</v>
      </c>
      <c r="C742" s="55"/>
      <c r="D742" s="507"/>
      <c r="E742" s="504"/>
      <c r="F742" s="504"/>
      <c r="G742" s="504"/>
      <c r="H742" s="504"/>
      <c r="I742" s="501"/>
      <c r="J742" s="511"/>
      <c r="K742" s="506"/>
      <c r="L742" s="504"/>
      <c r="M742" s="504"/>
      <c r="N742" s="504"/>
      <c r="O742" s="504"/>
      <c r="P742" s="504"/>
    </row>
    <row r="743" spans="1:16" ht="15.75" customHeight="1">
      <c r="A743" s="733" t="s">
        <v>5723</v>
      </c>
      <c r="B743" s="731" t="s">
        <v>5775</v>
      </c>
      <c r="C743" s="55"/>
      <c r="D743" s="507"/>
      <c r="E743" s="504"/>
      <c r="F743" s="504"/>
      <c r="G743" s="504"/>
      <c r="H743" s="504"/>
      <c r="I743" s="501"/>
      <c r="J743" s="511"/>
      <c r="K743" s="506"/>
      <c r="L743" s="504"/>
      <c r="M743" s="504"/>
      <c r="N743" s="504"/>
      <c r="O743" s="504"/>
      <c r="P743" s="504"/>
    </row>
    <row r="744" spans="1:16" ht="15.75" customHeight="1">
      <c r="A744" s="733" t="s">
        <v>5723</v>
      </c>
      <c r="B744" s="731" t="s">
        <v>2680</v>
      </c>
      <c r="C744" s="55"/>
      <c r="D744" s="507"/>
      <c r="E744" s="504"/>
      <c r="F744" s="504"/>
      <c r="G744" s="504"/>
      <c r="H744" s="504"/>
      <c r="I744" s="501"/>
      <c r="J744" s="511"/>
      <c r="K744" s="506"/>
      <c r="L744" s="504"/>
      <c r="M744" s="504"/>
      <c r="N744" s="504"/>
      <c r="O744" s="504"/>
      <c r="P744" s="504"/>
    </row>
    <row r="745" spans="1:16" ht="15.75" customHeight="1">
      <c r="A745" s="734" t="s">
        <v>2677</v>
      </c>
      <c r="B745" s="731" t="s">
        <v>3020</v>
      </c>
      <c r="C745" s="55"/>
      <c r="D745" s="507"/>
      <c r="E745" s="504"/>
      <c r="F745" s="504"/>
      <c r="G745" s="504"/>
      <c r="H745" s="504"/>
      <c r="I745" s="501"/>
      <c r="J745" s="511"/>
      <c r="K745" s="506"/>
      <c r="L745" s="504"/>
      <c r="M745" s="504"/>
      <c r="N745" s="504"/>
      <c r="O745" s="504"/>
      <c r="P745" s="504"/>
    </row>
    <row r="746" spans="1:16">
      <c r="A746" s="734" t="s">
        <v>2677</v>
      </c>
      <c r="B746" s="731" t="s">
        <v>3021</v>
      </c>
      <c r="C746" s="55"/>
      <c r="D746" s="507"/>
      <c r="E746" s="504"/>
      <c r="F746" s="504"/>
      <c r="G746" s="504"/>
      <c r="H746" s="504"/>
      <c r="I746" s="501"/>
      <c r="J746" s="511"/>
      <c r="K746" s="506"/>
      <c r="L746" s="504"/>
      <c r="M746" s="504"/>
      <c r="N746" s="504"/>
      <c r="O746" s="504"/>
      <c r="P746" s="504"/>
    </row>
    <row r="747" spans="1:16" ht="15.75" customHeight="1">
      <c r="A747" s="734" t="s">
        <v>2677</v>
      </c>
      <c r="B747" s="731" t="s">
        <v>2680</v>
      </c>
      <c r="C747" s="55"/>
      <c r="D747" s="507"/>
      <c r="E747" s="504"/>
      <c r="F747" s="504"/>
      <c r="G747" s="504"/>
      <c r="H747" s="504"/>
      <c r="I747" s="501"/>
      <c r="J747" s="515"/>
      <c r="K747" s="506"/>
      <c r="L747" s="504"/>
      <c r="M747" s="504"/>
      <c r="N747" s="504"/>
      <c r="O747" s="504"/>
      <c r="P747" s="504"/>
    </row>
    <row r="748" spans="1:16" ht="15.75" customHeight="1">
      <c r="A748" s="735" t="s">
        <v>2681</v>
      </c>
      <c r="B748" s="731" t="s">
        <v>3022</v>
      </c>
      <c r="C748" s="55"/>
      <c r="D748" s="507"/>
      <c r="E748" s="504"/>
      <c r="F748" s="504"/>
      <c r="G748" s="504"/>
      <c r="H748" s="504"/>
      <c r="I748" s="501"/>
      <c r="J748" s="515"/>
      <c r="K748" s="506"/>
      <c r="L748" s="504"/>
      <c r="M748" s="504"/>
      <c r="N748" s="504"/>
      <c r="O748" s="504"/>
      <c r="P748" s="504"/>
    </row>
    <row r="749" spans="1:16" ht="15.75" customHeight="1">
      <c r="A749" s="735" t="s">
        <v>2681</v>
      </c>
      <c r="B749" s="731" t="s">
        <v>3023</v>
      </c>
      <c r="C749" s="55"/>
      <c r="D749" s="507"/>
      <c r="E749" s="504"/>
      <c r="F749" s="504"/>
      <c r="G749" s="504"/>
      <c r="H749" s="504"/>
      <c r="I749" s="501"/>
      <c r="J749" s="516"/>
      <c r="K749" s="506"/>
      <c r="L749" s="504"/>
      <c r="M749" s="504"/>
      <c r="N749" s="504"/>
      <c r="O749" s="504"/>
      <c r="P749" s="504"/>
    </row>
    <row r="750" spans="1:16" ht="15.75" customHeight="1">
      <c r="A750" s="735" t="s">
        <v>2681</v>
      </c>
      <c r="B750" s="731" t="s">
        <v>3024</v>
      </c>
      <c r="C750" s="55"/>
      <c r="D750" s="507"/>
      <c r="E750" s="504"/>
      <c r="F750" s="504"/>
      <c r="G750" s="504"/>
      <c r="H750" s="504"/>
      <c r="I750" s="501"/>
      <c r="J750" s="516"/>
      <c r="K750" s="506"/>
      <c r="L750" s="504"/>
      <c r="M750" s="504"/>
      <c r="N750" s="504"/>
      <c r="O750" s="504"/>
      <c r="P750" s="504"/>
    </row>
    <row r="751" spans="1:16" ht="15.45">
      <c r="A751" s="735" t="s">
        <v>2681</v>
      </c>
      <c r="B751" s="731" t="s">
        <v>3025</v>
      </c>
      <c r="C751" s="55"/>
      <c r="D751" s="507"/>
      <c r="E751" s="504"/>
      <c r="F751" s="504"/>
      <c r="G751" s="504"/>
      <c r="H751" s="504"/>
      <c r="I751" s="501"/>
      <c r="J751" s="517"/>
      <c r="K751" s="506"/>
      <c r="L751" s="504"/>
      <c r="M751" s="504"/>
      <c r="N751" s="504"/>
      <c r="O751" s="504"/>
      <c r="P751" s="504"/>
    </row>
    <row r="752" spans="1:16" ht="15.75" customHeight="1">
      <c r="A752" s="737" t="s">
        <v>2686</v>
      </c>
      <c r="B752" s="731" t="s">
        <v>3026</v>
      </c>
      <c r="C752" s="55"/>
      <c r="D752" s="507"/>
      <c r="E752" s="504"/>
      <c r="F752" s="504"/>
      <c r="G752" s="504"/>
      <c r="H752" s="504"/>
      <c r="I752" s="501"/>
      <c r="J752" s="512"/>
      <c r="K752" s="506"/>
      <c r="L752" s="504"/>
      <c r="M752" s="504"/>
      <c r="N752" s="504"/>
      <c r="O752" s="504"/>
      <c r="P752" s="504"/>
    </row>
    <row r="753" spans="1:16" ht="15.75" customHeight="1">
      <c r="A753" s="737" t="s">
        <v>2686</v>
      </c>
      <c r="B753" s="731" t="s">
        <v>3027</v>
      </c>
      <c r="C753" s="55"/>
      <c r="D753" s="507"/>
      <c r="E753" s="504"/>
      <c r="F753" s="504"/>
      <c r="G753" s="504"/>
      <c r="H753" s="504"/>
      <c r="I753" s="501"/>
      <c r="J753" s="512"/>
      <c r="K753" s="506"/>
      <c r="L753" s="504"/>
      <c r="M753" s="504"/>
      <c r="N753" s="504"/>
      <c r="O753" s="504"/>
      <c r="P753" s="504"/>
    </row>
    <row r="754" spans="1:16" ht="15.75" customHeight="1">
      <c r="A754" s="737" t="s">
        <v>2686</v>
      </c>
      <c r="B754" s="731" t="s">
        <v>3028</v>
      </c>
      <c r="C754" s="55"/>
      <c r="D754" s="507"/>
      <c r="E754" s="504"/>
      <c r="F754" s="504"/>
      <c r="G754" s="504"/>
      <c r="H754" s="504"/>
      <c r="I754" s="501"/>
      <c r="J754" s="513"/>
      <c r="K754" s="506"/>
      <c r="L754" s="504"/>
      <c r="M754" s="504"/>
      <c r="N754" s="504"/>
      <c r="O754" s="504"/>
      <c r="P754" s="504"/>
    </row>
    <row r="755" spans="1:16" ht="15.75" customHeight="1">
      <c r="A755" s="737" t="s">
        <v>2686</v>
      </c>
      <c r="B755" s="731" t="s">
        <v>3029</v>
      </c>
      <c r="C755" s="55"/>
      <c r="D755" s="507"/>
      <c r="E755" s="504"/>
      <c r="F755" s="504"/>
      <c r="G755" s="504"/>
      <c r="H755" s="504"/>
      <c r="I755" s="501"/>
      <c r="J755" s="513"/>
      <c r="K755" s="506"/>
      <c r="L755" s="504"/>
      <c r="M755" s="504"/>
      <c r="N755" s="504"/>
      <c r="O755" s="504"/>
      <c r="P755" s="504"/>
    </row>
    <row r="756" spans="1:16" ht="15.75" customHeight="1">
      <c r="A756" s="737" t="s">
        <v>2686</v>
      </c>
      <c r="B756" s="731" t="s">
        <v>2680</v>
      </c>
      <c r="C756" s="55"/>
      <c r="D756" s="507"/>
      <c r="E756" s="504"/>
      <c r="F756" s="504"/>
      <c r="G756" s="504"/>
      <c r="H756" s="504"/>
      <c r="I756" s="501"/>
      <c r="J756" s="513"/>
      <c r="K756" s="506"/>
      <c r="L756" s="504"/>
      <c r="M756" s="504"/>
      <c r="N756" s="504"/>
      <c r="O756" s="504"/>
      <c r="P756" s="504"/>
    </row>
    <row r="757" spans="1:16" s="523" customFormat="1" ht="15.75" customHeight="1">
      <c r="A757" s="738" t="s">
        <v>2691</v>
      </c>
      <c r="B757" s="731" t="s">
        <v>3030</v>
      </c>
      <c r="C757" s="55"/>
      <c r="D757" s="507"/>
      <c r="E757" s="504"/>
      <c r="F757" s="504"/>
      <c r="G757" s="524"/>
      <c r="H757" s="524"/>
      <c r="I757" s="525"/>
      <c r="J757" s="514"/>
      <c r="K757" s="524"/>
      <c r="L757" s="524"/>
      <c r="M757" s="524"/>
      <c r="N757" s="524"/>
      <c r="O757" s="524"/>
      <c r="P757" s="524"/>
    </row>
    <row r="758" spans="1:16" ht="15.75" customHeight="1">
      <c r="A758" s="738" t="s">
        <v>2691</v>
      </c>
      <c r="B758" s="731" t="s">
        <v>3031</v>
      </c>
      <c r="C758" s="55"/>
      <c r="D758" s="507"/>
      <c r="E758" s="504"/>
      <c r="F758" s="504"/>
      <c r="G758" s="504"/>
      <c r="H758" s="504"/>
      <c r="I758" s="501"/>
      <c r="J758" s="514"/>
      <c r="K758" s="506"/>
      <c r="L758" s="504"/>
      <c r="M758" s="504"/>
      <c r="N758" s="504"/>
      <c r="O758" s="504"/>
      <c r="P758" s="504"/>
    </row>
    <row r="759" spans="1:16" ht="15.75" customHeight="1">
      <c r="A759" s="739" t="s">
        <v>2693</v>
      </c>
      <c r="B759" s="731" t="s">
        <v>3032</v>
      </c>
      <c r="C759" s="55"/>
      <c r="D759" s="507"/>
      <c r="E759" s="504"/>
      <c r="F759" s="504"/>
      <c r="G759" s="504"/>
      <c r="H759" s="504"/>
      <c r="I759" s="501"/>
      <c r="J759" s="514"/>
      <c r="K759" s="506"/>
      <c r="L759" s="504"/>
      <c r="M759" s="504"/>
      <c r="N759" s="504"/>
      <c r="O759" s="504"/>
      <c r="P759" s="504"/>
    </row>
    <row r="760" spans="1:16" ht="15.75" customHeight="1">
      <c r="A760" s="559"/>
      <c r="B760" s="559"/>
      <c r="C760" s="55"/>
      <c r="D760" s="507"/>
      <c r="E760" s="504"/>
      <c r="F760" s="504"/>
      <c r="G760" s="504"/>
      <c r="H760" s="504"/>
      <c r="I760" s="501"/>
      <c r="J760" s="514"/>
      <c r="K760" s="506"/>
      <c r="L760" s="504"/>
      <c r="M760" s="504"/>
      <c r="N760" s="504"/>
      <c r="O760" s="504"/>
      <c r="P760" s="504"/>
    </row>
    <row r="761" spans="1:16" ht="27" customHeight="1">
      <c r="A761" s="729" t="s">
        <v>3033</v>
      </c>
      <c r="B761" s="731" t="s">
        <v>2943</v>
      </c>
      <c r="C761" s="55"/>
      <c r="D761" s="507"/>
      <c r="E761" s="504"/>
      <c r="F761" s="504"/>
      <c r="G761" s="504"/>
      <c r="H761" s="504"/>
      <c r="I761" s="501"/>
      <c r="J761" s="511"/>
      <c r="K761" s="506"/>
      <c r="L761" s="504"/>
      <c r="M761" s="504"/>
      <c r="N761" s="504"/>
      <c r="O761" s="504"/>
      <c r="P761" s="504"/>
    </row>
    <row r="762" spans="1:16" ht="21.75" customHeight="1">
      <c r="A762" s="732" t="s">
        <v>2675</v>
      </c>
      <c r="B762" s="731" t="s">
        <v>3034</v>
      </c>
      <c r="C762" s="55"/>
      <c r="D762" s="507"/>
      <c r="E762" s="504"/>
      <c r="F762" s="504"/>
      <c r="G762" s="504"/>
      <c r="H762" s="504"/>
      <c r="I762" s="526"/>
      <c r="J762" s="511"/>
      <c r="K762" s="506"/>
      <c r="L762" s="504"/>
      <c r="M762" s="504"/>
      <c r="N762" s="504"/>
      <c r="O762" s="504"/>
      <c r="P762" s="504"/>
    </row>
    <row r="763" spans="1:16" ht="15.75" customHeight="1">
      <c r="A763" s="732" t="s">
        <v>2675</v>
      </c>
      <c r="B763" s="731" t="s">
        <v>3035</v>
      </c>
      <c r="C763" s="55"/>
      <c r="D763" s="507"/>
      <c r="E763" s="504"/>
      <c r="F763" s="504"/>
      <c r="G763" s="504"/>
      <c r="H763" s="504"/>
      <c r="I763" s="501"/>
      <c r="J763" s="511"/>
      <c r="K763" s="506"/>
      <c r="L763" s="504"/>
      <c r="M763" s="504"/>
      <c r="N763" s="504"/>
      <c r="O763" s="504"/>
      <c r="P763" s="504"/>
    </row>
    <row r="764" spans="1:16" ht="15.75" customHeight="1">
      <c r="A764" s="733" t="s">
        <v>5723</v>
      </c>
      <c r="B764" s="731" t="s">
        <v>5776</v>
      </c>
      <c r="C764" s="55"/>
      <c r="D764" s="507"/>
      <c r="E764" s="504"/>
      <c r="F764" s="504"/>
      <c r="G764" s="504"/>
      <c r="H764" s="504"/>
      <c r="I764" s="501"/>
      <c r="J764" s="511"/>
      <c r="K764" s="506"/>
      <c r="L764" s="504"/>
      <c r="M764" s="504"/>
      <c r="N764" s="504"/>
      <c r="O764" s="504"/>
      <c r="P764" s="504"/>
    </row>
    <row r="765" spans="1:16">
      <c r="A765" s="733" t="s">
        <v>5723</v>
      </c>
      <c r="B765" s="731" t="s">
        <v>2680</v>
      </c>
      <c r="C765" s="55"/>
      <c r="D765" s="507"/>
      <c r="E765" s="504"/>
      <c r="F765" s="504"/>
      <c r="G765" s="504"/>
      <c r="H765" s="504"/>
      <c r="I765" s="501"/>
      <c r="J765" s="511"/>
      <c r="K765" s="506"/>
      <c r="L765" s="504"/>
      <c r="M765" s="504"/>
      <c r="N765" s="504"/>
      <c r="O765" s="504"/>
      <c r="P765" s="504"/>
    </row>
    <row r="766" spans="1:16" ht="15.75" customHeight="1">
      <c r="A766" s="734" t="s">
        <v>2677</v>
      </c>
      <c r="B766" s="731" t="s">
        <v>3036</v>
      </c>
      <c r="C766" s="55"/>
      <c r="D766" s="507"/>
      <c r="E766" s="504"/>
      <c r="F766" s="504"/>
      <c r="G766" s="504"/>
      <c r="H766" s="504"/>
      <c r="I766" s="501"/>
      <c r="J766" s="515"/>
      <c r="K766" s="506"/>
      <c r="L766" s="504"/>
      <c r="M766" s="504"/>
      <c r="N766" s="504"/>
      <c r="O766" s="504"/>
      <c r="P766" s="504"/>
    </row>
    <row r="767" spans="1:16" ht="15.75" customHeight="1">
      <c r="A767" s="734" t="s">
        <v>2677</v>
      </c>
      <c r="B767" s="731" t="s">
        <v>3037</v>
      </c>
      <c r="C767" s="55"/>
      <c r="D767" s="507"/>
      <c r="E767" s="504"/>
      <c r="F767" s="504"/>
      <c r="G767" s="504"/>
      <c r="H767" s="504"/>
      <c r="I767" s="501"/>
      <c r="J767" s="515"/>
      <c r="K767" s="506"/>
      <c r="L767" s="504"/>
      <c r="M767" s="504"/>
      <c r="N767" s="504"/>
      <c r="O767" s="504"/>
      <c r="P767" s="504"/>
    </row>
    <row r="768" spans="1:16" ht="15.75" customHeight="1">
      <c r="A768" s="734" t="s">
        <v>2677</v>
      </c>
      <c r="B768" s="731" t="s">
        <v>3038</v>
      </c>
      <c r="C768" s="55"/>
      <c r="D768" s="507"/>
      <c r="E768" s="504"/>
      <c r="F768" s="504"/>
      <c r="G768" s="504"/>
      <c r="H768" s="504"/>
      <c r="I768" s="501"/>
      <c r="J768" s="516"/>
      <c r="K768" s="506"/>
      <c r="L768" s="504"/>
      <c r="M768" s="504"/>
      <c r="N768" s="504"/>
      <c r="O768" s="504"/>
      <c r="P768" s="504"/>
    </row>
    <row r="769" spans="1:16" ht="15.75" customHeight="1">
      <c r="A769" s="735" t="s">
        <v>2681</v>
      </c>
      <c r="B769" s="731" t="s">
        <v>3039</v>
      </c>
      <c r="C769" s="55"/>
      <c r="D769" s="507"/>
      <c r="E769" s="504"/>
      <c r="F769" s="504"/>
      <c r="G769" s="504"/>
      <c r="H769" s="504"/>
      <c r="I769" s="501"/>
      <c r="J769" s="505"/>
      <c r="K769" s="506"/>
      <c r="L769" s="504"/>
      <c r="M769" s="504"/>
      <c r="N769" s="504"/>
      <c r="O769" s="504"/>
      <c r="P769" s="504"/>
    </row>
    <row r="770" spans="1:16" ht="15.45">
      <c r="A770" s="735" t="s">
        <v>2681</v>
      </c>
      <c r="B770" s="731" t="s">
        <v>3040</v>
      </c>
      <c r="C770" s="55"/>
      <c r="D770" s="507"/>
      <c r="E770" s="504"/>
      <c r="F770" s="504"/>
      <c r="G770" s="504"/>
      <c r="H770" s="504"/>
      <c r="I770" s="501"/>
      <c r="J770" s="517"/>
      <c r="K770" s="506"/>
      <c r="L770" s="504"/>
      <c r="M770" s="504"/>
      <c r="N770" s="504"/>
      <c r="O770" s="504"/>
      <c r="P770" s="504"/>
    </row>
    <row r="771" spans="1:16" ht="15.75" customHeight="1">
      <c r="A771" s="735" t="s">
        <v>2681</v>
      </c>
      <c r="B771" s="731" t="s">
        <v>2680</v>
      </c>
      <c r="C771" s="55"/>
      <c r="D771" s="507"/>
      <c r="E771" s="504"/>
      <c r="F771" s="504"/>
      <c r="G771" s="504"/>
      <c r="H771" s="504"/>
      <c r="I771" s="501"/>
      <c r="J771" s="512"/>
      <c r="K771" s="506"/>
      <c r="L771" s="504"/>
      <c r="M771" s="504"/>
      <c r="N771" s="504"/>
      <c r="O771" s="504"/>
      <c r="P771" s="504"/>
    </row>
    <row r="772" spans="1:16" ht="15.75" customHeight="1">
      <c r="A772" s="735" t="s">
        <v>2681</v>
      </c>
      <c r="B772" s="731" t="s">
        <v>2680</v>
      </c>
      <c r="C772" s="55"/>
      <c r="D772" s="507"/>
      <c r="E772" s="504"/>
      <c r="F772" s="504"/>
      <c r="G772" s="504"/>
      <c r="H772" s="504"/>
      <c r="I772" s="501"/>
      <c r="J772" s="512"/>
      <c r="K772" s="506"/>
      <c r="L772" s="504"/>
      <c r="M772" s="504"/>
      <c r="N772" s="504"/>
      <c r="O772" s="504"/>
      <c r="P772" s="504"/>
    </row>
    <row r="773" spans="1:16" ht="15.75" customHeight="1">
      <c r="A773" s="737" t="s">
        <v>2686</v>
      </c>
      <c r="B773" s="731" t="s">
        <v>3041</v>
      </c>
      <c r="C773" s="55"/>
      <c r="D773" s="507"/>
      <c r="E773" s="504"/>
      <c r="F773" s="504"/>
      <c r="G773" s="504"/>
      <c r="H773" s="504"/>
      <c r="I773" s="501"/>
      <c r="J773" s="513"/>
      <c r="K773" s="506"/>
      <c r="L773" s="504"/>
      <c r="M773" s="504"/>
      <c r="N773" s="504"/>
      <c r="O773" s="504"/>
      <c r="P773" s="504"/>
    </row>
    <row r="774" spans="1:16" ht="15.75" customHeight="1">
      <c r="A774" s="737" t="s">
        <v>2686</v>
      </c>
      <c r="B774" s="731" t="s">
        <v>3042</v>
      </c>
      <c r="C774" s="55"/>
      <c r="D774" s="507"/>
      <c r="E774" s="504"/>
      <c r="F774" s="504"/>
      <c r="G774" s="504"/>
      <c r="H774" s="504"/>
      <c r="I774" s="501"/>
      <c r="J774" s="513"/>
      <c r="K774" s="506"/>
      <c r="L774" s="504"/>
      <c r="M774" s="504"/>
      <c r="N774" s="504"/>
      <c r="O774" s="504"/>
      <c r="P774" s="504"/>
    </row>
    <row r="775" spans="1:16" ht="15.75" customHeight="1">
      <c r="A775" s="737" t="s">
        <v>2686</v>
      </c>
      <c r="B775" s="731" t="s">
        <v>2680</v>
      </c>
      <c r="C775" s="55"/>
      <c r="D775" s="507"/>
      <c r="E775" s="504"/>
      <c r="F775" s="504"/>
      <c r="G775" s="504"/>
      <c r="H775" s="504"/>
      <c r="I775" s="501"/>
      <c r="J775" s="513"/>
      <c r="K775" s="506"/>
      <c r="L775" s="504"/>
      <c r="M775" s="504"/>
      <c r="N775" s="504"/>
      <c r="O775" s="504"/>
      <c r="P775" s="504"/>
    </row>
    <row r="776" spans="1:16" ht="15.75" customHeight="1">
      <c r="A776" s="737" t="s">
        <v>2686</v>
      </c>
      <c r="B776" s="731" t="s">
        <v>2680</v>
      </c>
      <c r="C776" s="55"/>
      <c r="D776" s="507"/>
      <c r="E776" s="504"/>
      <c r="F776" s="504"/>
      <c r="G776" s="504"/>
      <c r="H776" s="504"/>
      <c r="I776" s="501"/>
      <c r="J776" s="514"/>
      <c r="K776" s="506"/>
      <c r="L776" s="504"/>
      <c r="M776" s="504"/>
      <c r="N776" s="504"/>
      <c r="O776" s="504"/>
      <c r="P776" s="504"/>
    </row>
    <row r="777" spans="1:16" ht="23.25" customHeight="1">
      <c r="A777" s="737" t="s">
        <v>2686</v>
      </c>
      <c r="B777" s="731" t="s">
        <v>2680</v>
      </c>
      <c r="C777" s="55"/>
      <c r="D777" s="507"/>
      <c r="E777" s="504"/>
      <c r="F777" s="504"/>
      <c r="G777" s="504"/>
      <c r="H777" s="504"/>
      <c r="I777" s="501"/>
      <c r="J777" s="514"/>
      <c r="K777" s="506"/>
      <c r="L777" s="504"/>
      <c r="M777" s="504"/>
      <c r="N777" s="504"/>
      <c r="O777" s="504"/>
      <c r="P777" s="504"/>
    </row>
    <row r="778" spans="1:16" ht="15.75" customHeight="1">
      <c r="A778" s="738" t="s">
        <v>2691</v>
      </c>
      <c r="B778" s="731" t="s">
        <v>3043</v>
      </c>
      <c r="C778" s="55"/>
      <c r="D778" s="507"/>
      <c r="E778" s="504"/>
      <c r="F778" s="504"/>
      <c r="G778" s="504"/>
      <c r="H778" s="504"/>
      <c r="I778" s="501"/>
      <c r="J778" s="514"/>
      <c r="K778" s="506"/>
      <c r="L778" s="504"/>
      <c r="M778" s="504"/>
      <c r="N778" s="504"/>
      <c r="O778" s="504"/>
      <c r="P778" s="504"/>
    </row>
    <row r="779" spans="1:16" ht="20.25" customHeight="1">
      <c r="A779" s="738" t="s">
        <v>2691</v>
      </c>
      <c r="B779" s="731" t="s">
        <v>2680</v>
      </c>
      <c r="C779" s="55"/>
      <c r="D779" s="507"/>
      <c r="E779" s="504"/>
      <c r="F779" s="504"/>
      <c r="G779" s="504"/>
      <c r="H779" s="504"/>
      <c r="I779" s="501"/>
      <c r="J779" s="514"/>
      <c r="K779" s="506"/>
      <c r="L779" s="504"/>
      <c r="M779" s="504"/>
      <c r="N779" s="504"/>
      <c r="O779" s="504"/>
      <c r="P779" s="504"/>
    </row>
    <row r="780" spans="1:16" ht="15.75" customHeight="1">
      <c r="A780" s="739" t="s">
        <v>2693</v>
      </c>
      <c r="B780" s="731" t="s">
        <v>2680</v>
      </c>
      <c r="C780" s="55"/>
      <c r="D780" s="507"/>
      <c r="E780" s="504"/>
      <c r="F780" s="504"/>
      <c r="G780" s="504"/>
      <c r="H780" s="504"/>
      <c r="I780" s="501"/>
      <c r="J780" s="511"/>
      <c r="K780" s="506"/>
      <c r="L780" s="504"/>
      <c r="M780" s="504"/>
      <c r="N780" s="504"/>
      <c r="O780" s="504"/>
      <c r="P780" s="504"/>
    </row>
    <row r="781" spans="1:16" ht="15.75" customHeight="1">
      <c r="A781" s="730"/>
      <c r="B781" s="559"/>
      <c r="C781" s="55"/>
      <c r="D781" s="507"/>
      <c r="E781" s="504"/>
      <c r="F781" s="504"/>
      <c r="G781" s="504"/>
      <c r="H781" s="504"/>
      <c r="I781" s="501"/>
      <c r="J781" s="511"/>
      <c r="K781" s="506"/>
      <c r="L781" s="504"/>
      <c r="M781" s="504"/>
      <c r="N781" s="504"/>
      <c r="O781" s="504"/>
      <c r="P781" s="504"/>
    </row>
    <row r="782" spans="1:16" ht="15.75" customHeight="1">
      <c r="A782" s="729" t="s">
        <v>3044</v>
      </c>
      <c r="B782" s="731" t="s">
        <v>2943</v>
      </c>
      <c r="C782" s="55"/>
      <c r="D782" s="507"/>
      <c r="E782" s="504"/>
      <c r="F782" s="504"/>
      <c r="G782" s="504"/>
      <c r="H782" s="504"/>
      <c r="I782" s="501"/>
      <c r="J782" s="511"/>
      <c r="K782" s="506"/>
      <c r="L782" s="504"/>
      <c r="M782" s="504"/>
      <c r="N782" s="504"/>
      <c r="O782" s="504"/>
      <c r="P782" s="504"/>
    </row>
    <row r="783" spans="1:16" ht="15.75" customHeight="1">
      <c r="A783" s="732" t="s">
        <v>2675</v>
      </c>
      <c r="B783" s="731" t="s">
        <v>3045</v>
      </c>
      <c r="C783" s="55"/>
      <c r="D783" s="507"/>
      <c r="E783" s="504"/>
      <c r="F783" s="504"/>
      <c r="G783" s="504"/>
      <c r="H783" s="504"/>
      <c r="I783" s="501"/>
      <c r="J783" s="511"/>
      <c r="K783" s="506"/>
      <c r="L783" s="504"/>
      <c r="M783" s="504"/>
      <c r="N783" s="504"/>
      <c r="O783" s="504"/>
      <c r="P783" s="504"/>
    </row>
    <row r="784" spans="1:16">
      <c r="A784" s="732" t="s">
        <v>2675</v>
      </c>
      <c r="B784" s="731" t="s">
        <v>3046</v>
      </c>
      <c r="C784" s="55"/>
      <c r="D784" s="507"/>
      <c r="E784" s="504"/>
      <c r="F784" s="504"/>
      <c r="G784" s="504"/>
      <c r="H784" s="504"/>
      <c r="I784" s="501"/>
      <c r="J784" s="511"/>
      <c r="K784" s="506"/>
      <c r="L784" s="504"/>
      <c r="M784" s="504"/>
      <c r="N784" s="504"/>
      <c r="O784" s="504"/>
      <c r="P784" s="504"/>
    </row>
    <row r="785" spans="1:16" ht="15.75" customHeight="1">
      <c r="A785" s="733" t="s">
        <v>5723</v>
      </c>
      <c r="B785" s="731" t="s">
        <v>5777</v>
      </c>
      <c r="C785" s="55"/>
      <c r="D785" s="507"/>
      <c r="E785" s="504"/>
      <c r="F785" s="504"/>
      <c r="G785" s="504"/>
      <c r="H785" s="504"/>
      <c r="I785" s="501"/>
      <c r="J785" s="515"/>
      <c r="K785" s="506"/>
      <c r="L785" s="504"/>
      <c r="M785" s="504"/>
      <c r="N785" s="504"/>
      <c r="O785" s="504"/>
      <c r="P785" s="504"/>
    </row>
    <row r="786" spans="1:16" ht="15.75" customHeight="1">
      <c r="A786" s="733" t="s">
        <v>5723</v>
      </c>
      <c r="B786" s="731" t="s">
        <v>2680</v>
      </c>
      <c r="C786" s="55"/>
      <c r="D786" s="507"/>
      <c r="E786" s="504"/>
      <c r="F786" s="504"/>
      <c r="G786" s="504"/>
      <c r="H786" s="504"/>
      <c r="I786" s="501"/>
      <c r="J786" s="515"/>
      <c r="K786" s="506"/>
      <c r="L786" s="504"/>
      <c r="M786" s="504"/>
      <c r="N786" s="504"/>
      <c r="O786" s="504"/>
      <c r="P786" s="504"/>
    </row>
    <row r="787" spans="1:16" ht="15.75" customHeight="1">
      <c r="A787" s="734" t="s">
        <v>2677</v>
      </c>
      <c r="B787" s="731" t="s">
        <v>3047</v>
      </c>
      <c r="C787" s="55"/>
      <c r="D787" s="507"/>
      <c r="E787" s="504"/>
      <c r="F787" s="504"/>
      <c r="G787" s="504"/>
      <c r="H787" s="504"/>
      <c r="I787" s="501"/>
      <c r="J787" s="516"/>
      <c r="K787" s="506"/>
      <c r="L787" s="504"/>
      <c r="M787" s="504"/>
      <c r="N787" s="504"/>
      <c r="O787" s="504"/>
      <c r="P787" s="504"/>
    </row>
    <row r="788" spans="1:16" ht="15.75" customHeight="1">
      <c r="A788" s="734" t="s">
        <v>2677</v>
      </c>
      <c r="B788" s="731" t="s">
        <v>3048</v>
      </c>
      <c r="C788" s="55"/>
      <c r="D788" s="507"/>
      <c r="E788" s="504"/>
      <c r="F788" s="504"/>
      <c r="G788" s="504"/>
      <c r="H788" s="504"/>
      <c r="I788" s="501"/>
      <c r="J788" s="511"/>
      <c r="K788" s="506"/>
      <c r="L788" s="504"/>
      <c r="M788" s="504"/>
      <c r="N788" s="504"/>
      <c r="O788" s="504"/>
      <c r="P788" s="504"/>
    </row>
    <row r="789" spans="1:16" ht="15.45">
      <c r="A789" s="734" t="s">
        <v>2677</v>
      </c>
      <c r="B789" s="731" t="s">
        <v>2680</v>
      </c>
      <c r="C789" s="55"/>
      <c r="D789" s="507"/>
      <c r="E789" s="504"/>
      <c r="F789" s="504"/>
      <c r="G789" s="504"/>
      <c r="H789" s="504"/>
      <c r="I789" s="501"/>
      <c r="J789" s="517"/>
      <c r="K789" s="506"/>
      <c r="L789" s="504"/>
      <c r="M789" s="504"/>
      <c r="N789" s="504"/>
      <c r="O789" s="504"/>
      <c r="P789" s="504"/>
    </row>
    <row r="790" spans="1:16" s="523" customFormat="1" ht="15.75" customHeight="1">
      <c r="A790" s="735" t="s">
        <v>2681</v>
      </c>
      <c r="B790" s="731" t="s">
        <v>3049</v>
      </c>
      <c r="C790" s="55"/>
      <c r="D790" s="507"/>
      <c r="E790" s="504"/>
      <c r="F790" s="504"/>
      <c r="G790" s="524"/>
      <c r="H790" s="524"/>
      <c r="I790" s="525"/>
      <c r="J790" s="512"/>
      <c r="K790" s="524"/>
      <c r="L790" s="524"/>
      <c r="M790" s="524"/>
      <c r="N790" s="524"/>
      <c r="O790" s="524"/>
      <c r="P790" s="524"/>
    </row>
    <row r="791" spans="1:16" ht="15.75" customHeight="1">
      <c r="A791" s="735" t="s">
        <v>2681</v>
      </c>
      <c r="B791" s="731" t="s">
        <v>3050</v>
      </c>
      <c r="C791" s="55"/>
      <c r="D791" s="507"/>
      <c r="E791" s="504"/>
      <c r="F791" s="504"/>
      <c r="G791" s="504"/>
      <c r="H791" s="504"/>
      <c r="I791" s="501"/>
      <c r="J791" s="512"/>
      <c r="K791" s="506"/>
      <c r="L791" s="504"/>
      <c r="M791" s="504"/>
      <c r="N791" s="504"/>
      <c r="O791" s="504"/>
      <c r="P791" s="504"/>
    </row>
    <row r="792" spans="1:16" ht="15.75" customHeight="1">
      <c r="A792" s="735" t="s">
        <v>2681</v>
      </c>
      <c r="B792" s="731" t="s">
        <v>2680</v>
      </c>
      <c r="C792" s="55"/>
      <c r="D792" s="507"/>
      <c r="E792" s="504"/>
      <c r="F792" s="504"/>
      <c r="G792" s="504"/>
      <c r="H792" s="504"/>
      <c r="I792" s="501"/>
      <c r="J792" s="513"/>
      <c r="K792" s="506"/>
      <c r="L792" s="504"/>
      <c r="M792" s="504"/>
      <c r="N792" s="504"/>
      <c r="O792" s="504"/>
      <c r="P792" s="504"/>
    </row>
    <row r="793" spans="1:16" ht="15.75" customHeight="1">
      <c r="A793" s="735" t="s">
        <v>2681</v>
      </c>
      <c r="B793" s="731" t="s">
        <v>2680</v>
      </c>
      <c r="C793" s="55"/>
      <c r="D793" s="507"/>
      <c r="E793" s="504"/>
      <c r="F793" s="504"/>
      <c r="G793" s="504"/>
      <c r="H793" s="504"/>
      <c r="I793" s="501"/>
      <c r="J793" s="513"/>
      <c r="K793" s="506"/>
      <c r="L793" s="504"/>
      <c r="M793" s="504"/>
      <c r="N793" s="504"/>
      <c r="O793" s="504"/>
      <c r="P793" s="504"/>
    </row>
    <row r="794" spans="1:16" ht="15.75" customHeight="1">
      <c r="A794" s="737" t="s">
        <v>2686</v>
      </c>
      <c r="B794" s="731" t="s">
        <v>3051</v>
      </c>
      <c r="C794" s="55"/>
      <c r="D794" s="507"/>
      <c r="E794" s="504"/>
      <c r="F794" s="504"/>
      <c r="G794" s="504"/>
      <c r="H794" s="504"/>
      <c r="I794" s="501"/>
      <c r="J794" s="513"/>
      <c r="K794" s="506"/>
      <c r="L794" s="504"/>
      <c r="M794" s="504"/>
      <c r="N794" s="504"/>
      <c r="O794" s="504"/>
      <c r="P794" s="504"/>
    </row>
    <row r="795" spans="1:16" ht="15.75" customHeight="1">
      <c r="A795" s="737" t="s">
        <v>2686</v>
      </c>
      <c r="B795" s="731" t="s">
        <v>3052</v>
      </c>
      <c r="C795" s="55"/>
      <c r="D795" s="507"/>
      <c r="E795" s="504"/>
      <c r="F795" s="504"/>
      <c r="G795" s="504"/>
      <c r="H795" s="504"/>
      <c r="I795" s="526"/>
      <c r="J795" s="514"/>
      <c r="K795" s="506"/>
      <c r="L795" s="504"/>
      <c r="M795" s="504"/>
      <c r="N795" s="504"/>
      <c r="O795" s="504"/>
      <c r="P795" s="504"/>
    </row>
    <row r="796" spans="1:16" ht="15.75" customHeight="1">
      <c r="A796" s="737" t="s">
        <v>2686</v>
      </c>
      <c r="B796" s="731" t="s">
        <v>3053</v>
      </c>
      <c r="C796" s="55"/>
      <c r="D796" s="507"/>
      <c r="E796" s="504"/>
      <c r="F796" s="504"/>
      <c r="G796" s="504"/>
      <c r="H796" s="504"/>
      <c r="I796" s="501"/>
      <c r="J796" s="514"/>
      <c r="K796" s="506"/>
      <c r="L796" s="504"/>
      <c r="M796" s="504"/>
      <c r="N796" s="504"/>
      <c r="O796" s="504"/>
      <c r="P796" s="504"/>
    </row>
    <row r="797" spans="1:16" ht="15.75" customHeight="1">
      <c r="A797" s="737" t="s">
        <v>2686</v>
      </c>
      <c r="B797" s="731" t="s">
        <v>3054</v>
      </c>
      <c r="C797" s="55"/>
      <c r="D797" s="507"/>
      <c r="E797" s="504"/>
      <c r="F797" s="504"/>
      <c r="G797" s="504"/>
      <c r="H797" s="504"/>
      <c r="I797" s="501"/>
      <c r="J797" s="514"/>
      <c r="K797" s="506"/>
      <c r="L797" s="504"/>
      <c r="M797" s="504"/>
      <c r="N797" s="504"/>
      <c r="O797" s="504"/>
      <c r="P797" s="504"/>
    </row>
    <row r="798" spans="1:16" ht="15.75" customHeight="1">
      <c r="A798" s="737" t="s">
        <v>2686</v>
      </c>
      <c r="B798" s="731" t="s">
        <v>2680</v>
      </c>
      <c r="C798" s="55"/>
      <c r="D798" s="507"/>
      <c r="E798" s="504"/>
      <c r="F798" s="504"/>
      <c r="G798" s="504"/>
      <c r="H798" s="504"/>
      <c r="I798" s="501"/>
      <c r="J798" s="514"/>
      <c r="K798" s="506"/>
      <c r="L798" s="504"/>
      <c r="M798" s="504"/>
      <c r="N798" s="504"/>
      <c r="O798" s="504"/>
      <c r="P798" s="504"/>
    </row>
    <row r="799" spans="1:16" ht="15.75" customHeight="1">
      <c r="A799" s="738" t="s">
        <v>2691</v>
      </c>
      <c r="B799" s="731" t="s">
        <v>3055</v>
      </c>
      <c r="C799" s="55"/>
      <c r="D799" s="507"/>
      <c r="E799" s="504"/>
      <c r="F799" s="504"/>
      <c r="G799" s="504"/>
      <c r="H799" s="504"/>
      <c r="I799" s="501"/>
      <c r="J799" s="511"/>
      <c r="K799" s="506"/>
      <c r="L799" s="504"/>
      <c r="M799" s="504"/>
      <c r="N799" s="504"/>
      <c r="O799" s="504"/>
      <c r="P799" s="504"/>
    </row>
    <row r="800" spans="1:16" ht="15.75" customHeight="1">
      <c r="A800" s="738" t="s">
        <v>2691</v>
      </c>
      <c r="B800" s="731" t="s">
        <v>2680</v>
      </c>
      <c r="C800" s="55"/>
      <c r="D800" s="507"/>
      <c r="E800" s="504"/>
      <c r="F800" s="504"/>
      <c r="G800" s="504"/>
      <c r="H800" s="504"/>
      <c r="I800" s="501"/>
      <c r="J800" s="511"/>
      <c r="K800" s="506"/>
      <c r="L800" s="504"/>
      <c r="M800" s="504"/>
      <c r="N800" s="504"/>
      <c r="O800" s="504"/>
      <c r="P800" s="504"/>
    </row>
    <row r="801" spans="1:16" ht="15.75" customHeight="1">
      <c r="A801" s="739" t="s">
        <v>2693</v>
      </c>
      <c r="B801" s="731" t="s">
        <v>2680</v>
      </c>
      <c r="C801" s="55"/>
      <c r="D801" s="507"/>
      <c r="E801" s="504"/>
      <c r="F801" s="504"/>
      <c r="G801" s="504"/>
      <c r="H801" s="504"/>
      <c r="I801" s="501"/>
      <c r="J801" s="511"/>
      <c r="K801" s="506"/>
      <c r="L801" s="504"/>
      <c r="M801" s="504"/>
      <c r="N801" s="504"/>
      <c r="O801" s="504"/>
      <c r="P801" s="504"/>
    </row>
    <row r="802" spans="1:16" ht="15.75" customHeight="1">
      <c r="A802" s="730"/>
      <c r="B802" s="559"/>
      <c r="C802" s="55"/>
      <c r="D802" s="507"/>
      <c r="E802" s="504"/>
      <c r="F802" s="504"/>
      <c r="G802" s="504"/>
      <c r="H802" s="504"/>
      <c r="I802" s="501"/>
      <c r="J802" s="511"/>
      <c r="K802" s="506"/>
      <c r="L802" s="504"/>
      <c r="M802" s="504"/>
      <c r="N802" s="504"/>
      <c r="O802" s="504"/>
      <c r="P802" s="504"/>
    </row>
    <row r="803" spans="1:16" ht="15.45">
      <c r="A803" s="729" t="s">
        <v>3056</v>
      </c>
      <c r="B803" s="731" t="s">
        <v>2674</v>
      </c>
      <c r="C803" s="55"/>
      <c r="D803" s="507"/>
      <c r="E803" s="504"/>
      <c r="F803" s="504"/>
      <c r="G803" s="504"/>
      <c r="H803" s="504"/>
      <c r="I803" s="501"/>
      <c r="J803" s="511"/>
      <c r="K803" s="506"/>
      <c r="L803" s="504"/>
      <c r="M803" s="504"/>
      <c r="N803" s="504"/>
      <c r="O803" s="504"/>
      <c r="P803" s="504"/>
    </row>
    <row r="804" spans="1:16" ht="15.75" customHeight="1">
      <c r="A804" s="732" t="s">
        <v>2675</v>
      </c>
      <c r="B804" s="731" t="s">
        <v>3057</v>
      </c>
      <c r="C804" s="55"/>
      <c r="D804" s="507"/>
      <c r="E804" s="504"/>
      <c r="F804" s="504"/>
      <c r="G804" s="504"/>
      <c r="H804" s="504"/>
      <c r="I804" s="501"/>
      <c r="J804" s="515"/>
      <c r="K804" s="506"/>
      <c r="L804" s="504"/>
      <c r="M804" s="504"/>
      <c r="N804" s="504"/>
      <c r="O804" s="504"/>
      <c r="P804" s="504"/>
    </row>
    <row r="805" spans="1:16" ht="15.75" customHeight="1">
      <c r="A805" s="732" t="s">
        <v>2675</v>
      </c>
      <c r="B805" s="731" t="s">
        <v>2680</v>
      </c>
      <c r="C805" s="55"/>
      <c r="D805" s="507"/>
      <c r="E805" s="504"/>
      <c r="F805" s="504"/>
      <c r="G805" s="504"/>
      <c r="H805" s="504"/>
      <c r="I805" s="501"/>
      <c r="J805" s="515"/>
      <c r="K805" s="506"/>
      <c r="L805" s="504"/>
      <c r="M805" s="504"/>
      <c r="N805" s="504"/>
      <c r="O805" s="504"/>
      <c r="P805" s="504"/>
    </row>
    <row r="806" spans="1:16" ht="15.75" customHeight="1">
      <c r="A806" s="733" t="s">
        <v>5723</v>
      </c>
      <c r="B806" s="731" t="s">
        <v>5778</v>
      </c>
      <c r="C806" s="55"/>
      <c r="D806" s="507"/>
      <c r="E806" s="504"/>
      <c r="F806" s="504"/>
      <c r="G806" s="504"/>
      <c r="H806" s="504"/>
      <c r="I806" s="501"/>
      <c r="J806" s="516"/>
      <c r="K806" s="506"/>
      <c r="L806" s="504"/>
      <c r="M806" s="504"/>
      <c r="N806" s="504"/>
      <c r="O806" s="504"/>
      <c r="P806" s="504"/>
    </row>
    <row r="807" spans="1:16" ht="15.75" customHeight="1">
      <c r="A807" s="733" t="s">
        <v>5723</v>
      </c>
      <c r="B807" s="731" t="s">
        <v>2680</v>
      </c>
      <c r="C807" s="55"/>
      <c r="D807" s="507"/>
      <c r="E807" s="504"/>
      <c r="F807" s="504"/>
      <c r="G807" s="504"/>
      <c r="H807" s="504"/>
      <c r="I807" s="501"/>
      <c r="J807" s="505"/>
      <c r="K807" s="506"/>
      <c r="L807" s="504"/>
      <c r="M807" s="504"/>
      <c r="N807" s="504"/>
      <c r="O807" s="504"/>
      <c r="P807" s="504"/>
    </row>
    <row r="808" spans="1:16" ht="15.45">
      <c r="A808" s="734" t="s">
        <v>2677</v>
      </c>
      <c r="B808" s="731" t="s">
        <v>3058</v>
      </c>
      <c r="C808" s="55"/>
      <c r="D808" s="507"/>
      <c r="E808" s="504"/>
      <c r="F808" s="504"/>
      <c r="G808" s="504"/>
      <c r="H808" s="504"/>
      <c r="I808" s="501"/>
      <c r="J808" s="517"/>
      <c r="K808" s="506"/>
      <c r="L808" s="504"/>
      <c r="M808" s="504"/>
      <c r="N808" s="504"/>
      <c r="O808" s="504"/>
      <c r="P808" s="504"/>
    </row>
    <row r="809" spans="1:16" ht="15.75" customHeight="1">
      <c r="A809" s="734" t="s">
        <v>2677</v>
      </c>
      <c r="B809" s="731" t="s">
        <v>3059</v>
      </c>
      <c r="C809" s="55"/>
      <c r="D809" s="507"/>
      <c r="E809" s="504"/>
      <c r="F809" s="504"/>
      <c r="G809" s="504"/>
      <c r="H809" s="504"/>
      <c r="I809" s="501"/>
      <c r="J809" s="512"/>
      <c r="K809" s="506"/>
      <c r="L809" s="504"/>
      <c r="M809" s="504"/>
      <c r="N809" s="504"/>
      <c r="O809" s="504"/>
      <c r="P809" s="504"/>
    </row>
    <row r="810" spans="1:16" ht="15.75" customHeight="1">
      <c r="A810" s="734" t="s">
        <v>2677</v>
      </c>
      <c r="B810" s="731" t="s">
        <v>2680</v>
      </c>
      <c r="C810" s="55"/>
      <c r="D810" s="507"/>
      <c r="E810" s="504"/>
      <c r="F810" s="504"/>
      <c r="G810" s="504"/>
      <c r="H810" s="504"/>
      <c r="I810" s="501"/>
      <c r="J810" s="512"/>
      <c r="K810" s="506"/>
      <c r="L810" s="504"/>
      <c r="M810" s="504"/>
      <c r="N810" s="504"/>
      <c r="O810" s="504"/>
      <c r="P810" s="504"/>
    </row>
    <row r="811" spans="1:16" ht="15.75" customHeight="1">
      <c r="A811" s="735" t="s">
        <v>2681</v>
      </c>
      <c r="B811" s="731" t="s">
        <v>3060</v>
      </c>
      <c r="C811" s="55"/>
      <c r="D811" s="507"/>
      <c r="E811" s="504"/>
      <c r="F811" s="504"/>
      <c r="G811" s="504"/>
      <c r="H811" s="504"/>
      <c r="I811" s="501"/>
      <c r="J811" s="513"/>
      <c r="K811" s="506"/>
      <c r="L811" s="504"/>
      <c r="M811" s="504"/>
      <c r="N811" s="504"/>
      <c r="O811" s="504"/>
      <c r="P811" s="504"/>
    </row>
    <row r="812" spans="1:16" ht="15.75" customHeight="1">
      <c r="A812" s="735" t="s">
        <v>2681</v>
      </c>
      <c r="B812" s="731" t="s">
        <v>3061</v>
      </c>
      <c r="C812" s="55"/>
      <c r="D812" s="507"/>
      <c r="E812" s="504"/>
      <c r="F812" s="504"/>
      <c r="G812" s="504"/>
      <c r="H812" s="504"/>
      <c r="I812" s="501"/>
      <c r="J812" s="513"/>
      <c r="K812" s="506"/>
      <c r="L812" s="504"/>
      <c r="M812" s="504"/>
      <c r="N812" s="504"/>
      <c r="O812" s="504"/>
      <c r="P812" s="504"/>
    </row>
    <row r="813" spans="1:16" ht="15.75" customHeight="1">
      <c r="A813" s="735" t="s">
        <v>2681</v>
      </c>
      <c r="B813" s="731" t="s">
        <v>2680</v>
      </c>
      <c r="C813" s="55"/>
      <c r="D813" s="507"/>
      <c r="E813" s="504"/>
      <c r="F813" s="504"/>
      <c r="G813" s="504"/>
      <c r="H813" s="504"/>
      <c r="I813" s="501"/>
      <c r="J813" s="513"/>
      <c r="K813" s="506"/>
      <c r="L813" s="504"/>
      <c r="M813" s="504"/>
      <c r="N813" s="504"/>
      <c r="O813" s="504"/>
      <c r="P813" s="504"/>
    </row>
    <row r="814" spans="1:16" ht="15.75" customHeight="1">
      <c r="A814" s="735" t="s">
        <v>2681</v>
      </c>
      <c r="B814" s="731" t="s">
        <v>2680</v>
      </c>
      <c r="C814" s="55"/>
      <c r="D814" s="507"/>
      <c r="E814" s="504"/>
      <c r="F814" s="504"/>
      <c r="G814" s="504"/>
      <c r="H814" s="504"/>
      <c r="I814" s="501"/>
      <c r="J814" s="514"/>
      <c r="K814" s="506"/>
      <c r="L814" s="504"/>
      <c r="M814" s="504"/>
      <c r="N814" s="504"/>
      <c r="O814" s="504"/>
      <c r="P814" s="504"/>
    </row>
    <row r="815" spans="1:16" ht="15.75" customHeight="1">
      <c r="A815" s="737" t="s">
        <v>2686</v>
      </c>
      <c r="B815" s="731" t="s">
        <v>2680</v>
      </c>
      <c r="C815" s="55"/>
      <c r="D815" s="507"/>
      <c r="E815" s="504"/>
      <c r="F815" s="504"/>
      <c r="G815" s="504"/>
      <c r="H815" s="504"/>
      <c r="I815" s="501"/>
      <c r="J815" s="514"/>
      <c r="K815" s="506"/>
      <c r="L815" s="504"/>
      <c r="M815" s="504"/>
      <c r="N815" s="504"/>
      <c r="O815" s="504"/>
      <c r="P815" s="504"/>
    </row>
    <row r="816" spans="1:16" ht="15.75" customHeight="1">
      <c r="A816" s="737" t="s">
        <v>2686</v>
      </c>
      <c r="B816" s="731" t="s">
        <v>3062</v>
      </c>
      <c r="C816" s="55"/>
      <c r="D816" s="507"/>
      <c r="E816" s="504"/>
      <c r="F816" s="504"/>
      <c r="G816" s="504"/>
      <c r="H816" s="504"/>
      <c r="I816" s="501"/>
      <c r="J816" s="514"/>
      <c r="K816" s="506"/>
      <c r="L816" s="504"/>
      <c r="M816" s="504"/>
      <c r="N816" s="504"/>
      <c r="O816" s="504"/>
      <c r="P816" s="504"/>
    </row>
    <row r="817" spans="1:16" ht="15.75" customHeight="1">
      <c r="A817" s="737" t="s">
        <v>2686</v>
      </c>
      <c r="B817" s="731" t="s">
        <v>3063</v>
      </c>
      <c r="C817" s="55"/>
      <c r="D817" s="507"/>
      <c r="E817" s="504"/>
      <c r="F817" s="504"/>
      <c r="G817" s="504"/>
      <c r="H817" s="504"/>
      <c r="I817" s="501"/>
      <c r="J817" s="514"/>
      <c r="K817" s="506"/>
      <c r="L817" s="504"/>
      <c r="M817" s="504"/>
      <c r="N817" s="504"/>
      <c r="O817" s="504"/>
      <c r="P817" s="504"/>
    </row>
    <row r="818" spans="1:16" ht="15.75" customHeight="1">
      <c r="A818" s="737" t="s">
        <v>2686</v>
      </c>
      <c r="B818" s="731" t="s">
        <v>3064</v>
      </c>
      <c r="C818" s="55"/>
      <c r="D818" s="507"/>
      <c r="E818" s="504"/>
      <c r="F818" s="504"/>
      <c r="G818" s="504"/>
      <c r="H818" s="504"/>
      <c r="I818" s="501"/>
      <c r="J818" s="511"/>
      <c r="K818" s="506"/>
      <c r="L818" s="504"/>
      <c r="M818" s="504"/>
      <c r="N818" s="504"/>
      <c r="O818" s="504"/>
      <c r="P818" s="504"/>
    </row>
    <row r="819" spans="1:16" ht="15.75" customHeight="1">
      <c r="A819" s="737" t="s">
        <v>2686</v>
      </c>
      <c r="B819" s="731" t="s">
        <v>2680</v>
      </c>
      <c r="C819" s="55"/>
      <c r="D819" s="507"/>
      <c r="E819" s="504"/>
      <c r="F819" s="504"/>
      <c r="G819" s="504"/>
      <c r="H819" s="504"/>
      <c r="I819" s="501"/>
      <c r="J819" s="511"/>
      <c r="K819" s="506"/>
      <c r="L819" s="504"/>
      <c r="M819" s="504"/>
      <c r="N819" s="504"/>
      <c r="O819" s="504"/>
      <c r="P819" s="504"/>
    </row>
    <row r="820" spans="1:16" ht="15.75" customHeight="1">
      <c r="A820" s="738" t="s">
        <v>2691</v>
      </c>
      <c r="B820" s="731" t="s">
        <v>3065</v>
      </c>
      <c r="C820" s="55"/>
      <c r="D820" s="507"/>
      <c r="E820" s="504"/>
      <c r="F820" s="504"/>
      <c r="G820" s="504"/>
      <c r="H820" s="504"/>
      <c r="I820" s="501"/>
      <c r="J820" s="511"/>
      <c r="K820" s="506"/>
      <c r="L820" s="504"/>
      <c r="M820" s="504"/>
      <c r="N820" s="504"/>
      <c r="O820" s="504"/>
      <c r="P820" s="504"/>
    </row>
    <row r="821" spans="1:16" ht="15.75" customHeight="1">
      <c r="A821" s="738" t="s">
        <v>2691</v>
      </c>
      <c r="B821" s="731" t="s">
        <v>3066</v>
      </c>
      <c r="C821" s="55"/>
      <c r="D821" s="507"/>
      <c r="E821" s="504"/>
      <c r="F821" s="504"/>
      <c r="G821" s="504"/>
      <c r="H821" s="504"/>
      <c r="I821" s="501"/>
      <c r="J821" s="511"/>
      <c r="K821" s="506"/>
      <c r="L821" s="504"/>
      <c r="M821" s="504"/>
      <c r="N821" s="504"/>
      <c r="O821" s="504"/>
      <c r="P821" s="504"/>
    </row>
    <row r="822" spans="1:16">
      <c r="A822" s="739" t="s">
        <v>2693</v>
      </c>
      <c r="B822" s="731" t="s">
        <v>2680</v>
      </c>
      <c r="C822" s="55"/>
      <c r="D822" s="507"/>
      <c r="E822" s="504"/>
      <c r="F822" s="504"/>
      <c r="G822" s="504"/>
      <c r="H822" s="504"/>
      <c r="I822" s="501"/>
      <c r="J822" s="511"/>
      <c r="K822" s="506"/>
      <c r="L822" s="504"/>
      <c r="M822" s="504"/>
      <c r="N822" s="504"/>
      <c r="O822" s="504"/>
      <c r="P822" s="504"/>
    </row>
    <row r="823" spans="1:16" ht="15.75" customHeight="1">
      <c r="A823" s="730"/>
      <c r="B823" s="559"/>
      <c r="C823" s="55"/>
      <c r="D823" s="507"/>
      <c r="E823" s="504"/>
      <c r="F823" s="504"/>
      <c r="G823" s="504"/>
      <c r="H823" s="504"/>
      <c r="I823" s="501"/>
      <c r="J823" s="515"/>
      <c r="K823" s="506"/>
      <c r="L823" s="504"/>
      <c r="M823" s="504"/>
      <c r="N823" s="504"/>
      <c r="O823" s="504"/>
      <c r="P823" s="504"/>
    </row>
    <row r="824" spans="1:16" ht="15.75" customHeight="1">
      <c r="A824" s="729" t="s">
        <v>3067</v>
      </c>
      <c r="B824" s="731" t="s">
        <v>2674</v>
      </c>
      <c r="C824" s="55"/>
      <c r="D824" s="507"/>
      <c r="E824" s="504"/>
      <c r="F824" s="504"/>
      <c r="G824" s="504"/>
      <c r="H824" s="504"/>
      <c r="I824" s="501"/>
      <c r="J824" s="515"/>
      <c r="K824" s="506"/>
      <c r="L824" s="504"/>
      <c r="M824" s="504"/>
      <c r="N824" s="504"/>
      <c r="O824" s="504"/>
      <c r="P824" s="504"/>
    </row>
    <row r="825" spans="1:16" ht="15.75" customHeight="1">
      <c r="A825" s="732" t="s">
        <v>2675</v>
      </c>
      <c r="B825" s="731" t="s">
        <v>3068</v>
      </c>
      <c r="C825" s="55"/>
      <c r="D825" s="507"/>
      <c r="E825" s="504"/>
      <c r="F825" s="504"/>
      <c r="G825" s="504"/>
      <c r="H825" s="504"/>
      <c r="I825" s="501"/>
      <c r="J825" s="516"/>
      <c r="K825" s="506"/>
      <c r="L825" s="504"/>
      <c r="M825" s="504"/>
      <c r="N825" s="504"/>
      <c r="O825" s="504"/>
      <c r="P825" s="504"/>
    </row>
    <row r="826" spans="1:16" ht="15.75" customHeight="1">
      <c r="A826" s="732" t="s">
        <v>2675</v>
      </c>
      <c r="B826" s="731" t="s">
        <v>2680</v>
      </c>
      <c r="C826" s="55"/>
      <c r="D826" s="507"/>
      <c r="E826" s="504"/>
      <c r="F826" s="504"/>
      <c r="G826" s="504"/>
      <c r="H826" s="504"/>
      <c r="I826" s="501"/>
      <c r="J826" s="511"/>
      <c r="K826" s="506"/>
      <c r="L826" s="504"/>
      <c r="M826" s="504"/>
      <c r="N826" s="504"/>
      <c r="O826" s="504"/>
      <c r="P826" s="504"/>
    </row>
    <row r="827" spans="1:16" ht="15.45">
      <c r="A827" s="733" t="s">
        <v>5723</v>
      </c>
      <c r="B827" s="731" t="s">
        <v>5779</v>
      </c>
      <c r="C827" s="55"/>
      <c r="D827" s="507"/>
      <c r="E827" s="504"/>
      <c r="F827" s="504"/>
      <c r="G827" s="504"/>
      <c r="H827" s="504"/>
      <c r="I827" s="501"/>
      <c r="J827" s="517"/>
      <c r="K827" s="506"/>
      <c r="L827" s="504"/>
      <c r="M827" s="504"/>
      <c r="N827" s="504"/>
      <c r="O827" s="504"/>
      <c r="P827" s="504"/>
    </row>
    <row r="828" spans="1:16" ht="15.75" customHeight="1">
      <c r="A828" s="733" t="s">
        <v>5723</v>
      </c>
      <c r="B828" s="731" t="s">
        <v>2680</v>
      </c>
      <c r="C828" s="55"/>
      <c r="D828" s="507"/>
      <c r="E828" s="504"/>
      <c r="F828" s="504"/>
      <c r="G828" s="504"/>
      <c r="H828" s="504"/>
      <c r="I828" s="501"/>
      <c r="J828" s="512"/>
      <c r="K828" s="506"/>
      <c r="L828" s="504"/>
      <c r="M828" s="504"/>
      <c r="N828" s="504"/>
      <c r="O828" s="504"/>
      <c r="P828" s="504"/>
    </row>
    <row r="829" spans="1:16" ht="15.75" customHeight="1">
      <c r="A829" s="734" t="s">
        <v>2677</v>
      </c>
      <c r="B829" s="731" t="s">
        <v>3069</v>
      </c>
      <c r="C829" s="55"/>
      <c r="D829" s="507"/>
      <c r="E829" s="504"/>
      <c r="F829" s="504"/>
      <c r="G829" s="504"/>
      <c r="H829" s="504"/>
      <c r="I829" s="501"/>
      <c r="J829" s="512"/>
      <c r="K829" s="506"/>
      <c r="L829" s="504"/>
      <c r="M829" s="504"/>
      <c r="N829" s="504"/>
      <c r="O829" s="504"/>
      <c r="P829" s="504"/>
    </row>
    <row r="830" spans="1:16" ht="15.75" customHeight="1">
      <c r="A830" s="734" t="s">
        <v>2677</v>
      </c>
      <c r="B830" s="731" t="s">
        <v>3070</v>
      </c>
      <c r="C830" s="55"/>
      <c r="D830" s="507"/>
      <c r="E830" s="504"/>
      <c r="F830" s="504"/>
      <c r="G830" s="504"/>
      <c r="H830" s="504"/>
      <c r="I830" s="501"/>
      <c r="J830" s="513"/>
      <c r="K830" s="506"/>
      <c r="L830" s="504"/>
      <c r="M830" s="504"/>
      <c r="N830" s="504"/>
      <c r="O830" s="504"/>
      <c r="P830" s="504"/>
    </row>
    <row r="831" spans="1:16" ht="15.75" customHeight="1">
      <c r="A831" s="734" t="s">
        <v>2677</v>
      </c>
      <c r="B831" s="731" t="s">
        <v>2680</v>
      </c>
      <c r="C831" s="55"/>
      <c r="D831" s="507"/>
      <c r="E831" s="504"/>
      <c r="F831" s="504"/>
      <c r="G831" s="504"/>
      <c r="H831" s="504"/>
      <c r="I831" s="501"/>
      <c r="J831" s="513"/>
      <c r="K831" s="506"/>
      <c r="L831" s="504"/>
      <c r="M831" s="504"/>
      <c r="N831" s="504"/>
      <c r="O831" s="504"/>
      <c r="P831" s="504"/>
    </row>
    <row r="832" spans="1:16" ht="15.75" customHeight="1">
      <c r="A832" s="735" t="s">
        <v>2681</v>
      </c>
      <c r="B832" s="731" t="s">
        <v>2680</v>
      </c>
      <c r="C832" s="55"/>
      <c r="D832" s="507"/>
      <c r="E832" s="504"/>
      <c r="F832" s="504"/>
      <c r="G832" s="504"/>
      <c r="H832" s="504"/>
      <c r="I832" s="501"/>
      <c r="J832" s="513"/>
      <c r="K832" s="506"/>
      <c r="L832" s="504"/>
      <c r="M832" s="504"/>
      <c r="N832" s="504"/>
      <c r="O832" s="504"/>
      <c r="P832" s="504"/>
    </row>
    <row r="833" spans="1:16" ht="15.75" customHeight="1">
      <c r="A833" s="735" t="s">
        <v>2681</v>
      </c>
      <c r="B833" s="731" t="s">
        <v>2680</v>
      </c>
      <c r="C833" s="55"/>
      <c r="D833" s="507"/>
      <c r="E833" s="504"/>
      <c r="F833" s="504"/>
      <c r="G833" s="504"/>
      <c r="H833" s="504"/>
      <c r="I833" s="501"/>
      <c r="J833" s="514"/>
      <c r="K833" s="506"/>
      <c r="L833" s="504"/>
      <c r="M833" s="504"/>
      <c r="N833" s="504"/>
      <c r="O833" s="504"/>
      <c r="P833" s="504"/>
    </row>
    <row r="834" spans="1:16" ht="15.75" customHeight="1">
      <c r="A834" s="735" t="s">
        <v>2681</v>
      </c>
      <c r="B834" s="731" t="s">
        <v>3071</v>
      </c>
      <c r="C834" s="55"/>
      <c r="D834" s="507"/>
      <c r="E834" s="504"/>
      <c r="F834" s="504"/>
      <c r="G834" s="504"/>
      <c r="H834" s="504"/>
      <c r="I834" s="501"/>
      <c r="J834" s="514"/>
      <c r="K834" s="506"/>
      <c r="L834" s="504"/>
      <c r="M834" s="504"/>
      <c r="N834" s="504"/>
      <c r="O834" s="504"/>
      <c r="P834" s="504"/>
    </row>
    <row r="835" spans="1:16" ht="15.75" customHeight="1">
      <c r="A835" s="735" t="s">
        <v>2681</v>
      </c>
      <c r="B835" s="731" t="s">
        <v>3072</v>
      </c>
      <c r="C835" s="55"/>
      <c r="D835" s="507"/>
      <c r="E835" s="504"/>
      <c r="F835" s="504"/>
      <c r="G835" s="504"/>
      <c r="H835" s="504"/>
      <c r="I835" s="501"/>
      <c r="J835" s="514"/>
      <c r="K835" s="506"/>
      <c r="L835" s="504"/>
      <c r="M835" s="504"/>
      <c r="N835" s="504"/>
      <c r="O835" s="504"/>
      <c r="P835" s="504"/>
    </row>
    <row r="836" spans="1:16" ht="15.75" customHeight="1">
      <c r="A836" s="737" t="s">
        <v>2686</v>
      </c>
      <c r="B836" s="731" t="s">
        <v>3073</v>
      </c>
      <c r="C836" s="55"/>
      <c r="D836" s="507"/>
      <c r="E836" s="504"/>
      <c r="F836" s="504"/>
      <c r="G836" s="504"/>
      <c r="H836" s="504"/>
      <c r="I836" s="501"/>
      <c r="J836" s="514"/>
      <c r="K836" s="506"/>
      <c r="L836" s="504"/>
      <c r="M836" s="504"/>
      <c r="N836" s="504"/>
      <c r="O836" s="504"/>
      <c r="P836" s="504"/>
    </row>
    <row r="837" spans="1:16" ht="16.5" customHeight="1">
      <c r="A837" s="737" t="s">
        <v>2686</v>
      </c>
      <c r="B837" s="731" t="s">
        <v>3074</v>
      </c>
      <c r="C837" s="55"/>
      <c r="D837" s="507"/>
      <c r="E837" s="504"/>
      <c r="F837" s="504"/>
      <c r="G837" s="504"/>
      <c r="H837" s="504"/>
      <c r="I837" s="501"/>
      <c r="J837" s="511"/>
      <c r="K837" s="506"/>
      <c r="L837" s="504"/>
      <c r="M837" s="504"/>
      <c r="N837" s="504"/>
      <c r="O837" s="504"/>
      <c r="P837" s="504"/>
    </row>
    <row r="838" spans="1:16" ht="16.5" customHeight="1">
      <c r="A838" s="737" t="s">
        <v>2686</v>
      </c>
      <c r="B838" s="731" t="s">
        <v>2680</v>
      </c>
      <c r="C838" s="55"/>
      <c r="D838" s="507"/>
      <c r="E838" s="504"/>
      <c r="F838" s="504"/>
      <c r="G838" s="504"/>
      <c r="H838" s="504"/>
      <c r="I838" s="501"/>
      <c r="J838" s="511"/>
      <c r="K838" s="506"/>
      <c r="L838" s="504"/>
      <c r="M838" s="504"/>
      <c r="N838" s="504"/>
      <c r="O838" s="504"/>
      <c r="P838" s="504"/>
    </row>
    <row r="839" spans="1:16" ht="16.5" customHeight="1">
      <c r="A839" s="737" t="s">
        <v>2686</v>
      </c>
      <c r="B839" s="731" t="s">
        <v>2680</v>
      </c>
      <c r="C839" s="55"/>
      <c r="D839" s="507"/>
      <c r="E839" s="504"/>
      <c r="F839" s="504"/>
      <c r="G839" s="504"/>
      <c r="H839" s="504"/>
      <c r="I839" s="501"/>
      <c r="J839" s="511"/>
      <c r="K839" s="506"/>
      <c r="L839" s="504"/>
      <c r="M839" s="504"/>
      <c r="N839" s="504"/>
      <c r="O839" s="504"/>
      <c r="P839" s="504"/>
    </row>
    <row r="840" spans="1:16" ht="15.75" customHeight="1">
      <c r="A840" s="737" t="s">
        <v>2686</v>
      </c>
      <c r="B840" s="731" t="s">
        <v>2680</v>
      </c>
      <c r="C840" s="55"/>
      <c r="D840" s="507"/>
      <c r="E840" s="504"/>
      <c r="F840" s="504"/>
      <c r="G840" s="504"/>
      <c r="H840" s="504"/>
      <c r="I840" s="501"/>
      <c r="J840" s="511"/>
      <c r="K840" s="506"/>
      <c r="L840" s="504"/>
      <c r="M840" s="504"/>
      <c r="N840" s="504"/>
      <c r="O840" s="504"/>
      <c r="P840" s="504"/>
    </row>
    <row r="841" spans="1:16">
      <c r="A841" s="738" t="s">
        <v>2691</v>
      </c>
      <c r="B841" s="736" t="s">
        <v>5945</v>
      </c>
      <c r="C841" s="55"/>
      <c r="D841" s="507"/>
      <c r="E841" s="504"/>
      <c r="F841" s="504"/>
      <c r="G841" s="504"/>
      <c r="H841" s="504"/>
      <c r="I841" s="501"/>
      <c r="J841" s="511"/>
      <c r="K841" s="506"/>
      <c r="L841" s="504"/>
      <c r="M841" s="504"/>
      <c r="N841" s="504"/>
      <c r="O841" s="504"/>
      <c r="P841" s="504"/>
    </row>
    <row r="842" spans="1:16" ht="15.75" customHeight="1">
      <c r="A842" s="738" t="s">
        <v>2691</v>
      </c>
      <c r="B842" s="731" t="s">
        <v>3075</v>
      </c>
      <c r="C842" s="55"/>
      <c r="D842" s="507"/>
      <c r="E842" s="504"/>
      <c r="F842" s="504"/>
      <c r="G842" s="504"/>
      <c r="H842" s="504"/>
      <c r="I842" s="501"/>
      <c r="J842" s="515"/>
      <c r="K842" s="506"/>
      <c r="L842" s="504"/>
      <c r="M842" s="504"/>
      <c r="N842" s="504"/>
      <c r="O842" s="504"/>
      <c r="P842" s="504"/>
    </row>
    <row r="843" spans="1:16" ht="15.75" customHeight="1">
      <c r="A843" s="739" t="s">
        <v>2693</v>
      </c>
      <c r="B843" s="731" t="s">
        <v>2680</v>
      </c>
      <c r="C843" s="55"/>
      <c r="D843" s="507"/>
      <c r="E843" s="504"/>
      <c r="F843" s="504"/>
      <c r="G843" s="504"/>
      <c r="H843" s="504"/>
      <c r="I843" s="501"/>
      <c r="J843" s="515"/>
      <c r="K843" s="506"/>
      <c r="L843" s="504"/>
      <c r="M843" s="504"/>
      <c r="N843" s="504"/>
      <c r="O843" s="504"/>
      <c r="P843" s="504"/>
    </row>
    <row r="844" spans="1:16" ht="15.75" customHeight="1">
      <c r="A844" s="730"/>
      <c r="B844" s="559"/>
      <c r="C844" s="55"/>
      <c r="D844" s="507"/>
      <c r="E844" s="504"/>
      <c r="F844" s="504"/>
      <c r="G844" s="504"/>
      <c r="H844" s="504"/>
      <c r="I844" s="501"/>
      <c r="J844" s="516"/>
      <c r="K844" s="506"/>
      <c r="L844" s="504"/>
      <c r="M844" s="504"/>
      <c r="N844" s="504"/>
      <c r="O844" s="504"/>
      <c r="P844" s="504"/>
    </row>
    <row r="845" spans="1:16" ht="15.75" customHeight="1">
      <c r="A845" s="729" t="s">
        <v>3076</v>
      </c>
      <c r="B845" s="731" t="s">
        <v>2943</v>
      </c>
      <c r="C845" s="55"/>
      <c r="D845" s="507"/>
      <c r="E845" s="504"/>
      <c r="F845" s="504"/>
      <c r="G845" s="504"/>
      <c r="H845" s="504"/>
      <c r="I845" s="501"/>
      <c r="J845" s="511"/>
      <c r="K845" s="506"/>
      <c r="L845" s="504"/>
      <c r="M845" s="504"/>
      <c r="N845" s="504"/>
      <c r="O845" s="504"/>
      <c r="P845" s="504"/>
    </row>
    <row r="846" spans="1:16" ht="15.45">
      <c r="A846" s="732" t="s">
        <v>2675</v>
      </c>
      <c r="B846" s="731" t="s">
        <v>3077</v>
      </c>
      <c r="C846" s="55"/>
      <c r="D846" s="507"/>
      <c r="E846" s="504"/>
      <c r="F846" s="504"/>
      <c r="G846" s="504"/>
      <c r="H846" s="504"/>
      <c r="I846" s="501"/>
      <c r="J846" s="517"/>
      <c r="K846" s="506"/>
      <c r="L846" s="504"/>
      <c r="M846" s="504"/>
      <c r="N846" s="504"/>
      <c r="O846" s="504"/>
      <c r="P846" s="504"/>
    </row>
    <row r="847" spans="1:16" ht="15.75" customHeight="1">
      <c r="A847" s="732" t="s">
        <v>2675</v>
      </c>
      <c r="B847" s="731" t="s">
        <v>2680</v>
      </c>
      <c r="C847" s="55"/>
      <c r="D847" s="507"/>
      <c r="E847" s="504"/>
      <c r="F847" s="504"/>
      <c r="G847" s="504"/>
      <c r="H847" s="504"/>
      <c r="I847" s="501"/>
      <c r="J847" s="512"/>
      <c r="K847" s="506"/>
      <c r="L847" s="504"/>
      <c r="M847" s="504"/>
      <c r="N847" s="504"/>
      <c r="O847" s="504"/>
      <c r="P847" s="504"/>
    </row>
    <row r="848" spans="1:16" ht="15.75" customHeight="1">
      <c r="A848" s="733" t="s">
        <v>5723</v>
      </c>
      <c r="B848" s="731" t="s">
        <v>5780</v>
      </c>
      <c r="C848" s="55"/>
      <c r="D848" s="507"/>
      <c r="E848" s="504"/>
      <c r="F848" s="504"/>
      <c r="G848" s="504"/>
      <c r="H848" s="504"/>
      <c r="I848" s="501"/>
      <c r="J848" s="512"/>
      <c r="K848" s="506"/>
      <c r="L848" s="504"/>
      <c r="M848" s="504"/>
      <c r="N848" s="504"/>
      <c r="O848" s="504"/>
      <c r="P848" s="504"/>
    </row>
    <row r="849" spans="1:16" ht="15.75" customHeight="1">
      <c r="A849" s="733" t="s">
        <v>5723</v>
      </c>
      <c r="B849" s="731" t="s">
        <v>2680</v>
      </c>
      <c r="C849" s="55"/>
      <c r="D849" s="507"/>
      <c r="E849" s="504"/>
      <c r="F849" s="504"/>
      <c r="G849" s="504"/>
      <c r="H849" s="504"/>
      <c r="I849" s="501"/>
      <c r="J849" s="513"/>
      <c r="K849" s="506"/>
      <c r="L849" s="504"/>
      <c r="M849" s="504"/>
      <c r="N849" s="504"/>
      <c r="O849" s="504"/>
      <c r="P849" s="504"/>
    </row>
    <row r="850" spans="1:16" ht="15.75" customHeight="1">
      <c r="A850" s="734" t="s">
        <v>2677</v>
      </c>
      <c r="B850" s="731" t="s">
        <v>3078</v>
      </c>
      <c r="C850" s="55"/>
      <c r="D850" s="507"/>
      <c r="E850" s="504"/>
      <c r="F850" s="504"/>
      <c r="G850" s="504"/>
      <c r="H850" s="504"/>
      <c r="I850" s="501"/>
      <c r="J850" s="513"/>
      <c r="K850" s="506"/>
      <c r="L850" s="504"/>
      <c r="M850" s="504"/>
      <c r="N850" s="504"/>
      <c r="O850" s="504"/>
      <c r="P850" s="504"/>
    </row>
    <row r="851" spans="1:16" ht="15.75" customHeight="1">
      <c r="A851" s="734" t="s">
        <v>2677</v>
      </c>
      <c r="B851" s="731" t="s">
        <v>2680</v>
      </c>
      <c r="C851" s="55"/>
      <c r="D851" s="507"/>
      <c r="E851" s="504"/>
      <c r="F851" s="504"/>
      <c r="G851" s="504"/>
      <c r="H851" s="504"/>
      <c r="I851" s="501"/>
      <c r="J851" s="513"/>
      <c r="K851" s="506"/>
      <c r="L851" s="504"/>
      <c r="M851" s="504"/>
      <c r="N851" s="504"/>
      <c r="O851" s="504"/>
      <c r="P851" s="504"/>
    </row>
    <row r="852" spans="1:16" ht="15.75" customHeight="1">
      <c r="A852" s="734" t="s">
        <v>2677</v>
      </c>
      <c r="B852" s="731" t="s">
        <v>2680</v>
      </c>
      <c r="C852" s="55"/>
      <c r="D852" s="507"/>
      <c r="E852" s="504"/>
      <c r="F852" s="504"/>
      <c r="G852" s="504"/>
      <c r="H852" s="504"/>
      <c r="I852" s="501"/>
      <c r="J852" s="514"/>
      <c r="K852" s="506"/>
      <c r="L852" s="504"/>
      <c r="M852" s="504"/>
      <c r="N852" s="504"/>
      <c r="O852" s="504"/>
      <c r="P852" s="504"/>
    </row>
    <row r="853" spans="1:16" ht="15.75" customHeight="1">
      <c r="A853" s="735" t="s">
        <v>2681</v>
      </c>
      <c r="B853" s="731" t="s">
        <v>3079</v>
      </c>
      <c r="C853" s="55"/>
      <c r="D853" s="507"/>
      <c r="E853" s="504"/>
      <c r="F853" s="504"/>
      <c r="G853" s="504"/>
      <c r="H853" s="504"/>
      <c r="I853" s="501"/>
      <c r="J853" s="514"/>
      <c r="K853" s="506"/>
      <c r="L853" s="504"/>
      <c r="M853" s="504"/>
      <c r="N853" s="504"/>
      <c r="O853" s="504"/>
      <c r="P853" s="504"/>
    </row>
    <row r="854" spans="1:16" ht="15.75" customHeight="1">
      <c r="A854" s="735" t="s">
        <v>2681</v>
      </c>
      <c r="B854" s="731" t="s">
        <v>3080</v>
      </c>
      <c r="C854" s="55"/>
      <c r="D854" s="507"/>
      <c r="E854" s="504"/>
      <c r="F854" s="504"/>
      <c r="G854" s="504"/>
      <c r="H854" s="504"/>
      <c r="I854" s="501"/>
      <c r="J854" s="514"/>
      <c r="K854" s="506"/>
      <c r="L854" s="504"/>
      <c r="M854" s="504"/>
      <c r="N854" s="504"/>
      <c r="O854" s="504"/>
      <c r="P854" s="504"/>
    </row>
    <row r="855" spans="1:16" ht="15.75" customHeight="1">
      <c r="A855" s="735" t="s">
        <v>2681</v>
      </c>
      <c r="B855" s="731" t="s">
        <v>2680</v>
      </c>
      <c r="C855" s="55"/>
      <c r="D855" s="507"/>
      <c r="E855" s="504"/>
      <c r="F855" s="504"/>
      <c r="G855" s="504"/>
      <c r="H855" s="504"/>
      <c r="I855" s="501"/>
      <c r="J855" s="514"/>
      <c r="K855" s="506"/>
      <c r="L855" s="504"/>
      <c r="M855" s="504"/>
      <c r="N855" s="504"/>
      <c r="O855" s="504"/>
      <c r="P855" s="504"/>
    </row>
    <row r="856" spans="1:16" ht="15.75" customHeight="1">
      <c r="A856" s="735" t="s">
        <v>2681</v>
      </c>
      <c r="B856" s="731" t="s">
        <v>2680</v>
      </c>
      <c r="C856" s="55"/>
      <c r="D856" s="507"/>
      <c r="E856" s="504"/>
      <c r="F856" s="504"/>
      <c r="G856" s="504"/>
      <c r="H856" s="504"/>
      <c r="I856" s="501"/>
      <c r="J856" s="511"/>
      <c r="K856" s="506"/>
      <c r="L856" s="504"/>
      <c r="M856" s="504"/>
      <c r="N856" s="504"/>
      <c r="O856" s="504"/>
      <c r="P856" s="504"/>
    </row>
    <row r="857" spans="1:16" ht="15.75" customHeight="1">
      <c r="A857" s="737" t="s">
        <v>2686</v>
      </c>
      <c r="B857" s="731" t="s">
        <v>2680</v>
      </c>
      <c r="C857" s="55"/>
      <c r="D857" s="507"/>
      <c r="E857" s="504"/>
      <c r="F857" s="504"/>
      <c r="G857" s="504"/>
      <c r="H857" s="504"/>
      <c r="I857" s="501"/>
      <c r="J857" s="511"/>
      <c r="K857" s="506"/>
      <c r="L857" s="504"/>
      <c r="M857" s="504"/>
      <c r="N857" s="504"/>
      <c r="O857" s="504"/>
      <c r="P857" s="504"/>
    </row>
    <row r="858" spans="1:16" ht="15.75" customHeight="1">
      <c r="A858" s="737" t="s">
        <v>2686</v>
      </c>
      <c r="B858" s="731" t="s">
        <v>3081</v>
      </c>
      <c r="C858" s="55"/>
      <c r="D858" s="507"/>
      <c r="E858" s="504"/>
      <c r="F858" s="504"/>
      <c r="G858" s="504"/>
      <c r="H858" s="504"/>
      <c r="I858" s="501"/>
      <c r="J858" s="511"/>
      <c r="K858" s="506"/>
      <c r="L858" s="504"/>
      <c r="M858" s="504"/>
      <c r="N858" s="504"/>
      <c r="O858" s="504"/>
      <c r="P858" s="504"/>
    </row>
    <row r="859" spans="1:16" ht="15.75" customHeight="1">
      <c r="A859" s="737" t="s">
        <v>2686</v>
      </c>
      <c r="B859" s="736" t="s">
        <v>3082</v>
      </c>
      <c r="C859" s="55"/>
      <c r="D859" s="507"/>
      <c r="E859" s="504"/>
      <c r="F859" s="504"/>
      <c r="G859" s="504"/>
      <c r="H859" s="504"/>
      <c r="I859" s="501"/>
      <c r="J859" s="511"/>
      <c r="K859" s="506"/>
      <c r="L859" s="504"/>
      <c r="M859" s="504"/>
      <c r="N859" s="504"/>
      <c r="O859" s="504"/>
      <c r="P859" s="504"/>
    </row>
    <row r="860" spans="1:16">
      <c r="A860" s="737" t="s">
        <v>2686</v>
      </c>
      <c r="B860" s="731" t="s">
        <v>2680</v>
      </c>
      <c r="C860" s="55"/>
      <c r="D860" s="507"/>
      <c r="E860" s="504"/>
      <c r="F860" s="504"/>
      <c r="G860" s="504"/>
      <c r="H860" s="504"/>
      <c r="I860" s="501"/>
      <c r="J860" s="511"/>
      <c r="K860" s="506"/>
      <c r="L860" s="504"/>
      <c r="M860" s="504"/>
      <c r="N860" s="504"/>
      <c r="O860" s="504"/>
      <c r="P860" s="504"/>
    </row>
    <row r="861" spans="1:16" ht="15.75" customHeight="1">
      <c r="A861" s="737" t="s">
        <v>2686</v>
      </c>
      <c r="B861" s="731" t="s">
        <v>3083</v>
      </c>
      <c r="C861" s="55"/>
      <c r="D861" s="507"/>
      <c r="E861" s="504"/>
      <c r="F861" s="504"/>
      <c r="G861" s="504"/>
      <c r="H861" s="504"/>
      <c r="I861" s="501"/>
      <c r="J861" s="515"/>
      <c r="K861" s="506"/>
      <c r="L861" s="504"/>
      <c r="M861" s="504"/>
      <c r="N861" s="504"/>
      <c r="O861" s="504"/>
      <c r="P861" s="504"/>
    </row>
    <row r="862" spans="1:16" ht="15.75" customHeight="1">
      <c r="A862" s="738" t="s">
        <v>2691</v>
      </c>
      <c r="B862" s="731" t="s">
        <v>3084</v>
      </c>
      <c r="C862" s="55"/>
      <c r="D862" s="507"/>
      <c r="E862" s="504"/>
      <c r="F862" s="504"/>
      <c r="G862" s="504"/>
      <c r="H862" s="504"/>
      <c r="I862" s="501"/>
      <c r="J862" s="515"/>
      <c r="K862" s="506"/>
      <c r="L862" s="504"/>
      <c r="M862" s="504"/>
      <c r="N862" s="504"/>
      <c r="O862" s="504"/>
      <c r="P862" s="504"/>
    </row>
    <row r="863" spans="1:16" ht="15.75" customHeight="1">
      <c r="A863" s="738" t="s">
        <v>2691</v>
      </c>
      <c r="B863" s="731" t="s">
        <v>3085</v>
      </c>
      <c r="C863" s="55"/>
      <c r="D863" s="507"/>
      <c r="E863" s="504"/>
      <c r="F863" s="504"/>
      <c r="G863" s="504"/>
      <c r="H863" s="504"/>
      <c r="I863" s="501"/>
      <c r="J863" s="516"/>
      <c r="K863" s="506"/>
      <c r="L863" s="504"/>
      <c r="M863" s="504"/>
      <c r="N863" s="504"/>
      <c r="O863" s="504"/>
      <c r="P863" s="504"/>
    </row>
    <row r="864" spans="1:16" ht="15.75" customHeight="1">
      <c r="A864" s="739" t="s">
        <v>2693</v>
      </c>
      <c r="B864" s="731" t="s">
        <v>2680</v>
      </c>
      <c r="C864" s="55"/>
      <c r="D864" s="507"/>
      <c r="E864" s="504"/>
      <c r="F864" s="504"/>
      <c r="G864" s="504"/>
      <c r="H864" s="504"/>
      <c r="I864" s="501"/>
      <c r="J864" s="516"/>
      <c r="K864" s="506"/>
      <c r="L864" s="504"/>
      <c r="M864" s="504"/>
      <c r="N864" s="504"/>
      <c r="O864" s="504"/>
      <c r="P864" s="504"/>
    </row>
    <row r="865" spans="1:16" ht="15.45">
      <c r="A865" s="740"/>
      <c r="B865" s="559"/>
      <c r="C865" s="55"/>
      <c r="D865" s="507"/>
      <c r="E865" s="504"/>
      <c r="F865" s="504"/>
      <c r="G865" s="504"/>
      <c r="H865" s="504"/>
      <c r="I865" s="501"/>
      <c r="J865" s="517"/>
      <c r="K865" s="506"/>
      <c r="L865" s="504"/>
      <c r="M865" s="504"/>
      <c r="N865" s="504"/>
      <c r="O865" s="504"/>
      <c r="P865" s="504"/>
    </row>
    <row r="866" spans="1:16" ht="15.75" customHeight="1">
      <c r="A866" s="729" t="s">
        <v>3086</v>
      </c>
      <c r="B866" s="731" t="s">
        <v>2943</v>
      </c>
      <c r="C866" s="55"/>
      <c r="D866" s="507"/>
      <c r="E866" s="504"/>
      <c r="F866" s="504"/>
      <c r="G866" s="504"/>
      <c r="H866" s="504"/>
      <c r="I866" s="501"/>
      <c r="J866" s="512"/>
      <c r="K866" s="506"/>
      <c r="L866" s="504"/>
      <c r="M866" s="504"/>
      <c r="N866" s="504"/>
      <c r="O866" s="504"/>
      <c r="P866" s="504"/>
    </row>
    <row r="867" spans="1:16" ht="15.75" customHeight="1">
      <c r="A867" s="732" t="s">
        <v>2675</v>
      </c>
      <c r="B867" s="731" t="s">
        <v>3087</v>
      </c>
      <c r="C867" s="55"/>
      <c r="D867" s="507"/>
      <c r="E867" s="504"/>
      <c r="F867" s="504"/>
      <c r="G867" s="504"/>
      <c r="H867" s="504"/>
      <c r="I867" s="501"/>
      <c r="J867" s="512"/>
      <c r="K867" s="506"/>
      <c r="L867" s="504"/>
      <c r="M867" s="504"/>
      <c r="N867" s="504"/>
      <c r="O867" s="504"/>
      <c r="P867" s="504"/>
    </row>
    <row r="868" spans="1:16" ht="15.75" customHeight="1">
      <c r="A868" s="732" t="s">
        <v>2675</v>
      </c>
      <c r="B868" s="731" t="s">
        <v>2680</v>
      </c>
      <c r="C868" s="55"/>
      <c r="D868" s="507"/>
      <c r="E868" s="504"/>
      <c r="F868" s="504"/>
      <c r="G868" s="504"/>
      <c r="H868" s="504"/>
      <c r="I868" s="501"/>
      <c r="J868" s="513"/>
      <c r="K868" s="506"/>
      <c r="L868" s="504"/>
      <c r="M868" s="504"/>
      <c r="N868" s="504"/>
      <c r="O868" s="504"/>
      <c r="P868" s="504"/>
    </row>
    <row r="869" spans="1:16" ht="15.75" customHeight="1">
      <c r="A869" s="733" t="s">
        <v>5723</v>
      </c>
      <c r="B869" s="731" t="s">
        <v>5781</v>
      </c>
      <c r="C869" s="55"/>
      <c r="D869" s="507"/>
      <c r="E869" s="504"/>
      <c r="F869" s="504"/>
      <c r="G869" s="504"/>
      <c r="H869" s="504"/>
      <c r="I869" s="501"/>
      <c r="J869" s="513"/>
      <c r="K869" s="506"/>
      <c r="L869" s="504"/>
      <c r="M869" s="504"/>
      <c r="N869" s="504"/>
      <c r="O869" s="504"/>
      <c r="P869" s="504"/>
    </row>
    <row r="870" spans="1:16" ht="15.75" customHeight="1">
      <c r="A870" s="733" t="s">
        <v>5723</v>
      </c>
      <c r="B870" s="731" t="s">
        <v>2680</v>
      </c>
      <c r="C870" s="55"/>
      <c r="D870" s="507"/>
      <c r="E870" s="504"/>
      <c r="F870" s="504"/>
      <c r="G870" s="504"/>
      <c r="H870" s="504"/>
      <c r="I870" s="501"/>
      <c r="J870" s="513"/>
      <c r="K870" s="506"/>
      <c r="L870" s="504"/>
      <c r="M870" s="504"/>
      <c r="N870" s="504"/>
      <c r="O870" s="504"/>
      <c r="P870" s="504"/>
    </row>
    <row r="871" spans="1:16" ht="15.75" customHeight="1">
      <c r="A871" s="734" t="s">
        <v>2677</v>
      </c>
      <c r="B871" s="731" t="s">
        <v>3088</v>
      </c>
      <c r="C871" s="55"/>
      <c r="D871" s="507"/>
      <c r="E871" s="504"/>
      <c r="F871" s="504"/>
      <c r="G871" s="504"/>
      <c r="H871" s="504"/>
      <c r="I871" s="501"/>
      <c r="J871" s="514"/>
      <c r="K871" s="506"/>
      <c r="L871" s="504"/>
      <c r="M871" s="504"/>
      <c r="N871" s="504"/>
      <c r="O871" s="504"/>
      <c r="P871" s="504"/>
    </row>
    <row r="872" spans="1:16" ht="15.75" customHeight="1">
      <c r="A872" s="734" t="s">
        <v>2677</v>
      </c>
      <c r="B872" s="731" t="s">
        <v>3089</v>
      </c>
      <c r="C872" s="55"/>
      <c r="D872" s="507"/>
      <c r="E872" s="504"/>
      <c r="F872" s="504"/>
      <c r="G872" s="504"/>
      <c r="H872" s="504"/>
      <c r="I872" s="501"/>
      <c r="J872" s="514"/>
      <c r="K872" s="506"/>
      <c r="L872" s="504"/>
      <c r="M872" s="504"/>
      <c r="N872" s="504"/>
      <c r="O872" s="504"/>
      <c r="P872" s="504"/>
    </row>
    <row r="873" spans="1:16" ht="15.75" customHeight="1">
      <c r="A873" s="734" t="s">
        <v>2677</v>
      </c>
      <c r="B873" s="731" t="s">
        <v>2680</v>
      </c>
      <c r="C873" s="55"/>
      <c r="D873" s="507"/>
      <c r="E873" s="504"/>
      <c r="F873" s="504"/>
      <c r="G873" s="504"/>
      <c r="H873" s="504"/>
      <c r="I873" s="501"/>
      <c r="J873" s="514"/>
      <c r="K873" s="506"/>
      <c r="L873" s="504"/>
      <c r="M873" s="504"/>
      <c r="N873" s="504"/>
      <c r="O873" s="504"/>
      <c r="P873" s="504"/>
    </row>
    <row r="874" spans="1:16" ht="15.75" customHeight="1">
      <c r="A874" s="735" t="s">
        <v>2681</v>
      </c>
      <c r="B874" s="731" t="s">
        <v>2680</v>
      </c>
      <c r="C874" s="55"/>
      <c r="D874" s="507"/>
      <c r="E874" s="504"/>
      <c r="F874" s="504"/>
      <c r="G874" s="504"/>
      <c r="H874" s="504"/>
      <c r="I874" s="501"/>
      <c r="J874" s="514"/>
      <c r="K874" s="506"/>
      <c r="L874" s="504"/>
      <c r="M874" s="504"/>
      <c r="N874" s="504"/>
      <c r="O874" s="504"/>
      <c r="P874" s="504"/>
    </row>
    <row r="875" spans="1:16">
      <c r="A875" s="735" t="s">
        <v>2681</v>
      </c>
      <c r="B875" s="731" t="s">
        <v>3090</v>
      </c>
      <c r="C875" s="55"/>
      <c r="D875" s="507"/>
      <c r="E875" s="504"/>
      <c r="F875" s="504"/>
      <c r="G875" s="504"/>
      <c r="H875" s="504"/>
      <c r="I875" s="501"/>
      <c r="J875" s="511"/>
      <c r="K875" s="506"/>
      <c r="L875" s="504"/>
      <c r="M875" s="504"/>
      <c r="N875" s="504"/>
      <c r="O875" s="504"/>
      <c r="P875" s="504"/>
    </row>
    <row r="876" spans="1:16">
      <c r="A876" s="735" t="s">
        <v>2681</v>
      </c>
      <c r="B876" s="731" t="s">
        <v>2680</v>
      </c>
      <c r="C876" s="55"/>
      <c r="D876" s="507"/>
      <c r="E876" s="504"/>
      <c r="F876" s="504"/>
      <c r="G876" s="504"/>
      <c r="H876" s="504"/>
      <c r="I876" s="501"/>
      <c r="J876" s="511"/>
      <c r="K876" s="506"/>
      <c r="L876" s="504"/>
      <c r="M876" s="504"/>
      <c r="N876" s="504"/>
      <c r="O876" s="504"/>
      <c r="P876" s="504"/>
    </row>
    <row r="877" spans="1:16">
      <c r="A877" s="735" t="s">
        <v>2681</v>
      </c>
      <c r="B877" s="731" t="s">
        <v>3091</v>
      </c>
      <c r="C877" s="55"/>
      <c r="D877" s="507"/>
      <c r="E877" s="504"/>
      <c r="F877" s="504"/>
      <c r="G877" s="504"/>
      <c r="H877" s="504"/>
      <c r="I877" s="501"/>
      <c r="J877" s="511"/>
      <c r="K877" s="506"/>
      <c r="L877" s="504"/>
      <c r="M877" s="504"/>
      <c r="N877" s="504"/>
      <c r="O877" s="504"/>
      <c r="P877" s="504"/>
    </row>
    <row r="878" spans="1:16" ht="15.75" customHeight="1">
      <c r="A878" s="737" t="s">
        <v>2686</v>
      </c>
      <c r="B878" s="731" t="s">
        <v>3092</v>
      </c>
      <c r="C878" s="55"/>
      <c r="D878" s="507"/>
      <c r="E878" s="504"/>
      <c r="F878" s="504"/>
      <c r="G878" s="504"/>
      <c r="H878" s="504"/>
      <c r="I878" s="501"/>
      <c r="J878" s="511"/>
      <c r="K878" s="506"/>
      <c r="L878" s="504"/>
      <c r="M878" s="504"/>
      <c r="N878" s="504"/>
      <c r="O878" s="504"/>
      <c r="P878" s="504"/>
    </row>
    <row r="879" spans="1:16">
      <c r="A879" s="737" t="s">
        <v>2686</v>
      </c>
      <c r="B879" s="731" t="s">
        <v>2680</v>
      </c>
      <c r="C879" s="55"/>
      <c r="D879" s="507"/>
      <c r="E879" s="504"/>
      <c r="F879" s="504"/>
      <c r="G879" s="504"/>
      <c r="H879" s="504"/>
      <c r="I879" s="501"/>
      <c r="J879" s="511"/>
      <c r="K879" s="506"/>
      <c r="L879" s="504"/>
      <c r="M879" s="504"/>
      <c r="N879" s="504"/>
      <c r="O879" s="504"/>
      <c r="P879" s="504"/>
    </row>
    <row r="880" spans="1:16" ht="15.75" customHeight="1">
      <c r="A880" s="737" t="s">
        <v>2686</v>
      </c>
      <c r="B880" s="731" t="s">
        <v>2680</v>
      </c>
      <c r="C880" s="55"/>
      <c r="D880" s="507"/>
      <c r="E880" s="504"/>
      <c r="F880" s="504"/>
      <c r="G880" s="504"/>
      <c r="H880" s="504"/>
      <c r="I880" s="501"/>
      <c r="J880" s="515"/>
      <c r="K880" s="506"/>
      <c r="L880" s="504"/>
      <c r="M880" s="504"/>
      <c r="N880" s="504"/>
      <c r="O880" s="504"/>
      <c r="P880" s="504"/>
    </row>
    <row r="881" spans="1:16" ht="15.75" customHeight="1">
      <c r="A881" s="737" t="s">
        <v>2686</v>
      </c>
      <c r="B881" s="731" t="s">
        <v>2680</v>
      </c>
      <c r="C881" s="55"/>
      <c r="D881" s="507"/>
      <c r="E881" s="504"/>
      <c r="F881" s="504"/>
      <c r="G881" s="504"/>
      <c r="H881" s="504"/>
      <c r="I881" s="501"/>
      <c r="J881" s="515"/>
      <c r="K881" s="506"/>
      <c r="L881" s="504"/>
      <c r="M881" s="504"/>
      <c r="N881" s="504"/>
      <c r="O881" s="504"/>
      <c r="P881" s="504"/>
    </row>
    <row r="882" spans="1:16" ht="15.75" customHeight="1">
      <c r="A882" s="737" t="s">
        <v>2686</v>
      </c>
      <c r="B882" s="736" t="s">
        <v>3093</v>
      </c>
      <c r="C882" s="55"/>
      <c r="D882" s="507"/>
      <c r="E882" s="504"/>
      <c r="F882" s="504"/>
      <c r="G882" s="504"/>
      <c r="H882" s="504"/>
      <c r="I882" s="501"/>
      <c r="J882" s="516"/>
      <c r="K882" s="506"/>
      <c r="L882" s="504"/>
      <c r="M882" s="504"/>
      <c r="N882" s="504"/>
      <c r="O882" s="504"/>
      <c r="P882" s="504"/>
    </row>
    <row r="883" spans="1:16" ht="15.75" customHeight="1">
      <c r="A883" s="738" t="s">
        <v>2691</v>
      </c>
      <c r="B883" s="731" t="s">
        <v>3094</v>
      </c>
      <c r="C883" s="55"/>
      <c r="D883" s="507"/>
      <c r="E883" s="504"/>
      <c r="F883" s="504"/>
      <c r="G883" s="504"/>
      <c r="H883" s="504"/>
      <c r="I883" s="501"/>
      <c r="J883" s="505"/>
      <c r="K883" s="506"/>
      <c r="L883" s="504"/>
      <c r="M883" s="504"/>
      <c r="N883" s="504"/>
      <c r="O883" s="504"/>
      <c r="P883" s="504"/>
    </row>
    <row r="884" spans="1:16" ht="15.45">
      <c r="A884" s="738" t="s">
        <v>2691</v>
      </c>
      <c r="B884" s="731" t="s">
        <v>2680</v>
      </c>
      <c r="C884" s="55"/>
      <c r="D884" s="507"/>
      <c r="E884" s="504"/>
      <c r="F884" s="504"/>
      <c r="G884" s="504"/>
      <c r="H884" s="504"/>
      <c r="I884" s="501"/>
      <c r="J884" s="517"/>
      <c r="K884" s="506"/>
      <c r="L884" s="504"/>
      <c r="M884" s="504"/>
      <c r="N884" s="504"/>
      <c r="O884" s="504"/>
      <c r="P884" s="504"/>
    </row>
    <row r="885" spans="1:16" ht="15.75" customHeight="1">
      <c r="A885" s="739" t="s">
        <v>2693</v>
      </c>
      <c r="B885" s="731" t="s">
        <v>2680</v>
      </c>
      <c r="C885" s="55"/>
      <c r="D885" s="507"/>
      <c r="E885" s="504"/>
      <c r="F885" s="504"/>
      <c r="G885" s="504"/>
      <c r="H885" s="504"/>
      <c r="I885" s="501"/>
      <c r="J885" s="512"/>
      <c r="K885" s="506"/>
      <c r="L885" s="504"/>
      <c r="M885" s="504"/>
      <c r="N885" s="504"/>
      <c r="O885" s="504"/>
      <c r="P885" s="504"/>
    </row>
    <row r="886" spans="1:16" ht="15.75" customHeight="1">
      <c r="A886" s="730"/>
      <c r="B886" s="559"/>
      <c r="C886" s="55"/>
      <c r="D886" s="507"/>
      <c r="E886" s="504"/>
      <c r="F886" s="504"/>
      <c r="G886" s="504"/>
      <c r="H886" s="504"/>
      <c r="I886" s="501"/>
      <c r="J886" s="512"/>
      <c r="K886" s="506"/>
      <c r="L886" s="504"/>
      <c r="M886" s="504"/>
      <c r="N886" s="504"/>
      <c r="O886" s="504"/>
      <c r="P886" s="504"/>
    </row>
    <row r="887" spans="1:16" ht="15.75" customHeight="1">
      <c r="A887" s="729" t="s">
        <v>3095</v>
      </c>
      <c r="B887" s="731" t="s">
        <v>2674</v>
      </c>
      <c r="C887" s="55"/>
      <c r="D887" s="507"/>
      <c r="E887" s="504"/>
      <c r="F887" s="504"/>
      <c r="G887" s="504"/>
      <c r="H887" s="504"/>
      <c r="I887" s="501"/>
      <c r="J887" s="513"/>
      <c r="K887" s="506"/>
      <c r="L887" s="504"/>
      <c r="M887" s="504"/>
      <c r="N887" s="504"/>
      <c r="O887" s="504"/>
      <c r="P887" s="504"/>
    </row>
    <row r="888" spans="1:16" ht="15.75" customHeight="1">
      <c r="A888" s="732" t="s">
        <v>2675</v>
      </c>
      <c r="B888" s="731" t="s">
        <v>3096</v>
      </c>
      <c r="C888" s="55"/>
      <c r="D888" s="507"/>
      <c r="E888" s="504"/>
      <c r="F888" s="504"/>
      <c r="G888" s="504"/>
      <c r="H888" s="504"/>
      <c r="I888" s="501"/>
      <c r="J888" s="513"/>
      <c r="K888" s="506"/>
      <c r="L888" s="504"/>
      <c r="M888" s="504"/>
      <c r="N888" s="504"/>
      <c r="O888" s="504"/>
      <c r="P888" s="504"/>
    </row>
    <row r="889" spans="1:16" ht="15.75" customHeight="1">
      <c r="A889" s="732" t="s">
        <v>2675</v>
      </c>
      <c r="B889" s="731" t="s">
        <v>2680</v>
      </c>
      <c r="C889" s="55"/>
      <c r="D889" s="507"/>
      <c r="E889" s="504"/>
      <c r="F889" s="504"/>
      <c r="G889" s="504"/>
      <c r="H889" s="504"/>
      <c r="I889" s="501"/>
      <c r="J889" s="513"/>
      <c r="K889" s="506"/>
      <c r="L889" s="504"/>
      <c r="M889" s="504"/>
      <c r="N889" s="504"/>
      <c r="O889" s="504"/>
      <c r="P889" s="504"/>
    </row>
    <row r="890" spans="1:16" ht="15.75" customHeight="1">
      <c r="A890" s="733" t="s">
        <v>5723</v>
      </c>
      <c r="B890" s="731" t="s">
        <v>5782</v>
      </c>
      <c r="C890" s="55"/>
      <c r="D890" s="507"/>
      <c r="E890" s="504"/>
      <c r="F890" s="504"/>
      <c r="G890" s="504"/>
      <c r="H890" s="504"/>
      <c r="I890" s="501"/>
      <c r="J890" s="514"/>
      <c r="K890" s="506"/>
      <c r="L890" s="504"/>
      <c r="M890" s="504"/>
      <c r="N890" s="504"/>
      <c r="O890" s="504"/>
      <c r="P890" s="504"/>
    </row>
    <row r="891" spans="1:16" ht="15.75" customHeight="1">
      <c r="A891" s="733" t="s">
        <v>5723</v>
      </c>
      <c r="B891" s="731" t="s">
        <v>2680</v>
      </c>
      <c r="C891" s="55"/>
      <c r="D891" s="507"/>
      <c r="E891" s="504"/>
      <c r="F891" s="504"/>
      <c r="G891" s="504"/>
      <c r="H891" s="504"/>
      <c r="I891" s="501"/>
      <c r="J891" s="514"/>
      <c r="K891" s="506"/>
      <c r="L891" s="504"/>
      <c r="M891" s="504"/>
      <c r="N891" s="504"/>
      <c r="O891" s="504"/>
      <c r="P891" s="504"/>
    </row>
    <row r="892" spans="1:16" ht="15.75" customHeight="1">
      <c r="A892" s="734" t="s">
        <v>2677</v>
      </c>
      <c r="B892" s="731" t="s">
        <v>3097</v>
      </c>
      <c r="C892" s="55"/>
      <c r="D892" s="507"/>
      <c r="E892" s="504"/>
      <c r="F892" s="504"/>
      <c r="G892" s="504"/>
      <c r="H892" s="504"/>
      <c r="I892" s="501"/>
      <c r="J892" s="514"/>
      <c r="K892" s="506"/>
      <c r="L892" s="504"/>
      <c r="M892" s="504"/>
      <c r="N892" s="504"/>
      <c r="O892" s="504"/>
      <c r="P892" s="504"/>
    </row>
    <row r="893" spans="1:16" ht="15.75" customHeight="1">
      <c r="A893" s="734" t="s">
        <v>2677</v>
      </c>
      <c r="B893" s="731" t="s">
        <v>3098</v>
      </c>
      <c r="C893" s="55"/>
      <c r="D893" s="507"/>
      <c r="E893" s="504"/>
      <c r="F893" s="504"/>
      <c r="G893" s="504"/>
      <c r="H893" s="504"/>
      <c r="I893" s="501"/>
      <c r="J893" s="514"/>
      <c r="K893" s="506"/>
      <c r="L893" s="504"/>
      <c r="M893" s="504"/>
      <c r="N893" s="504"/>
      <c r="O893" s="504"/>
      <c r="P893" s="504"/>
    </row>
    <row r="894" spans="1:16" ht="15.75" customHeight="1">
      <c r="A894" s="734" t="s">
        <v>2677</v>
      </c>
      <c r="B894" s="731" t="s">
        <v>2680</v>
      </c>
      <c r="C894" s="55"/>
      <c r="D894" s="507"/>
      <c r="E894" s="504"/>
      <c r="F894" s="504"/>
      <c r="G894" s="504"/>
      <c r="H894" s="504"/>
      <c r="I894" s="501"/>
      <c r="J894" s="511"/>
      <c r="K894" s="506"/>
      <c r="L894" s="504"/>
      <c r="M894" s="504"/>
      <c r="N894" s="504"/>
      <c r="O894" s="504"/>
      <c r="P894" s="504"/>
    </row>
    <row r="895" spans="1:16" ht="15.75" customHeight="1">
      <c r="A895" s="735" t="s">
        <v>2681</v>
      </c>
      <c r="B895" s="731" t="s">
        <v>3099</v>
      </c>
      <c r="C895" s="55"/>
      <c r="D895" s="507"/>
      <c r="E895" s="504"/>
      <c r="F895" s="504"/>
      <c r="G895" s="504"/>
      <c r="H895" s="504"/>
      <c r="I895" s="501"/>
      <c r="J895" s="511"/>
      <c r="K895" s="506"/>
      <c r="L895" s="504"/>
      <c r="M895" s="504"/>
      <c r="N895" s="504"/>
      <c r="O895" s="504"/>
      <c r="P895" s="504"/>
    </row>
    <row r="896" spans="1:16" ht="15.75" customHeight="1">
      <c r="A896" s="735" t="s">
        <v>2681</v>
      </c>
      <c r="B896" s="731" t="s">
        <v>3100</v>
      </c>
      <c r="C896" s="55"/>
      <c r="D896" s="507"/>
      <c r="E896" s="504"/>
      <c r="F896" s="504"/>
      <c r="G896" s="504"/>
      <c r="H896" s="504"/>
      <c r="I896" s="501"/>
      <c r="J896" s="511"/>
      <c r="K896" s="506"/>
      <c r="L896" s="504"/>
      <c r="M896" s="504"/>
      <c r="N896" s="504"/>
      <c r="O896" s="504"/>
      <c r="P896" s="504"/>
    </row>
    <row r="897" spans="1:16" ht="15.75" customHeight="1">
      <c r="A897" s="735" t="s">
        <v>2681</v>
      </c>
      <c r="B897" s="731" t="s">
        <v>2680</v>
      </c>
      <c r="C897" s="55"/>
      <c r="D897" s="507"/>
      <c r="E897" s="504"/>
      <c r="F897" s="504"/>
      <c r="G897" s="504"/>
      <c r="H897" s="504"/>
      <c r="I897" s="501"/>
      <c r="J897" s="511"/>
      <c r="K897" s="506"/>
      <c r="L897" s="504"/>
      <c r="M897" s="504"/>
      <c r="N897" s="504"/>
      <c r="O897" s="504"/>
      <c r="P897" s="504"/>
    </row>
    <row r="898" spans="1:16">
      <c r="A898" s="735" t="s">
        <v>2681</v>
      </c>
      <c r="B898" s="731" t="s">
        <v>2680</v>
      </c>
      <c r="C898" s="55"/>
      <c r="D898" s="507"/>
      <c r="E898" s="504"/>
      <c r="F898" s="504"/>
      <c r="G898" s="504"/>
      <c r="H898" s="504"/>
      <c r="I898" s="501"/>
      <c r="J898" s="511"/>
      <c r="K898" s="506"/>
      <c r="L898" s="504"/>
      <c r="M898" s="504"/>
      <c r="N898" s="504"/>
      <c r="O898" s="504"/>
      <c r="P898" s="504"/>
    </row>
    <row r="899" spans="1:16" ht="15.75" customHeight="1">
      <c r="A899" s="737" t="s">
        <v>2686</v>
      </c>
      <c r="B899" s="731" t="s">
        <v>3101</v>
      </c>
      <c r="C899" s="55"/>
      <c r="D899" s="507"/>
      <c r="E899" s="504"/>
      <c r="F899" s="504"/>
      <c r="G899" s="504"/>
      <c r="H899" s="504"/>
      <c r="I899" s="501"/>
      <c r="J899" s="515"/>
      <c r="K899" s="506"/>
      <c r="L899" s="504"/>
      <c r="M899" s="504"/>
      <c r="N899" s="504"/>
      <c r="O899" s="504"/>
      <c r="P899" s="504"/>
    </row>
    <row r="900" spans="1:16" ht="15.75" customHeight="1">
      <c r="A900" s="737" t="s">
        <v>2686</v>
      </c>
      <c r="B900" s="731" t="s">
        <v>3102</v>
      </c>
      <c r="C900" s="55"/>
      <c r="D900" s="507"/>
      <c r="E900" s="504"/>
      <c r="F900" s="504"/>
      <c r="G900" s="504"/>
      <c r="H900" s="504"/>
      <c r="I900" s="501"/>
      <c r="J900" s="515"/>
      <c r="K900" s="506"/>
      <c r="L900" s="504"/>
      <c r="M900" s="504"/>
      <c r="N900" s="504"/>
      <c r="O900" s="504"/>
      <c r="P900" s="504"/>
    </row>
    <row r="901" spans="1:16" ht="15.75" customHeight="1">
      <c r="A901" s="737" t="s">
        <v>2686</v>
      </c>
      <c r="B901" s="731" t="s">
        <v>3103</v>
      </c>
      <c r="C901" s="55"/>
      <c r="D901" s="507"/>
      <c r="E901" s="504"/>
      <c r="F901" s="504"/>
      <c r="G901" s="504"/>
      <c r="H901" s="504"/>
      <c r="I901" s="501"/>
      <c r="J901" s="516"/>
      <c r="K901" s="506"/>
      <c r="L901" s="504"/>
      <c r="M901" s="504"/>
      <c r="N901" s="504"/>
      <c r="O901" s="504"/>
      <c r="P901" s="504"/>
    </row>
    <row r="902" spans="1:16" ht="15.75" customHeight="1">
      <c r="A902" s="737" t="s">
        <v>2686</v>
      </c>
      <c r="B902" s="731" t="s">
        <v>2680</v>
      </c>
      <c r="C902" s="55"/>
      <c r="D902" s="507"/>
      <c r="E902" s="504"/>
      <c r="F902" s="504"/>
      <c r="G902" s="504"/>
      <c r="H902" s="504"/>
      <c r="I902" s="501"/>
      <c r="J902" s="515"/>
      <c r="K902" s="506"/>
      <c r="L902" s="504"/>
      <c r="M902" s="504"/>
      <c r="N902" s="504"/>
      <c r="O902" s="504"/>
      <c r="P902" s="504"/>
    </row>
    <row r="903" spans="1:16" ht="15.45">
      <c r="A903" s="737" t="s">
        <v>2686</v>
      </c>
      <c r="B903" s="731" t="s">
        <v>2680</v>
      </c>
      <c r="C903" s="55"/>
      <c r="D903" s="507"/>
      <c r="E903" s="504"/>
      <c r="F903" s="504"/>
      <c r="G903" s="504"/>
      <c r="H903" s="504"/>
      <c r="I903" s="501"/>
      <c r="J903" s="517"/>
      <c r="K903" s="506"/>
      <c r="L903" s="504"/>
      <c r="M903" s="504"/>
      <c r="N903" s="504"/>
      <c r="O903" s="504"/>
      <c r="P903" s="504"/>
    </row>
    <row r="904" spans="1:16" ht="15.75" customHeight="1">
      <c r="A904" s="738" t="s">
        <v>2691</v>
      </c>
      <c r="B904" s="731" t="s">
        <v>2680</v>
      </c>
      <c r="C904" s="55"/>
      <c r="D904" s="507"/>
      <c r="E904" s="504"/>
      <c r="F904" s="504"/>
      <c r="G904" s="504"/>
      <c r="H904" s="504"/>
      <c r="I904" s="501"/>
      <c r="J904" s="512"/>
      <c r="K904" s="506"/>
      <c r="L904" s="504"/>
      <c r="M904" s="504"/>
      <c r="N904" s="504"/>
      <c r="O904" s="504"/>
      <c r="P904" s="504"/>
    </row>
    <row r="905" spans="1:16" ht="15.75" customHeight="1">
      <c r="A905" s="738" t="s">
        <v>2691</v>
      </c>
      <c r="B905" s="731" t="s">
        <v>3104</v>
      </c>
      <c r="C905" s="55"/>
      <c r="D905" s="507"/>
      <c r="E905" s="504"/>
      <c r="F905" s="504"/>
      <c r="G905" s="504"/>
      <c r="H905" s="504"/>
      <c r="I905" s="501"/>
      <c r="J905" s="512"/>
      <c r="K905" s="506"/>
      <c r="L905" s="504"/>
      <c r="M905" s="504"/>
      <c r="N905" s="504"/>
      <c r="O905" s="504"/>
      <c r="P905" s="504"/>
    </row>
    <row r="906" spans="1:16" ht="15.75" customHeight="1">
      <c r="A906" s="739" t="s">
        <v>2693</v>
      </c>
      <c r="B906" s="731" t="s">
        <v>2680</v>
      </c>
      <c r="C906" s="55"/>
      <c r="D906" s="507"/>
      <c r="E906" s="504"/>
      <c r="F906" s="504"/>
      <c r="G906" s="504"/>
      <c r="H906" s="504"/>
      <c r="I906" s="501"/>
      <c r="J906" s="513"/>
      <c r="K906" s="506"/>
      <c r="L906" s="504"/>
      <c r="M906" s="504"/>
      <c r="N906" s="504"/>
      <c r="O906" s="504"/>
      <c r="P906" s="504"/>
    </row>
    <row r="907" spans="1:16" ht="15.75" customHeight="1">
      <c r="A907" s="740"/>
      <c r="B907" s="559"/>
      <c r="C907" s="55"/>
      <c r="D907" s="507"/>
      <c r="E907" s="504"/>
      <c r="F907" s="504"/>
      <c r="G907" s="504"/>
      <c r="H907" s="504"/>
      <c r="I907" s="501"/>
      <c r="J907" s="513"/>
      <c r="K907" s="506"/>
      <c r="L907" s="504"/>
      <c r="M907" s="504"/>
      <c r="N907" s="504"/>
      <c r="O907" s="504"/>
      <c r="P907" s="504"/>
    </row>
    <row r="908" spans="1:16" ht="15.75" customHeight="1">
      <c r="A908" s="729" t="s">
        <v>3105</v>
      </c>
      <c r="B908" s="731" t="s">
        <v>2674</v>
      </c>
      <c r="C908" s="55"/>
      <c r="D908" s="507"/>
      <c r="E908" s="504"/>
      <c r="F908" s="504"/>
      <c r="G908" s="504"/>
      <c r="H908" s="504"/>
      <c r="I908" s="501"/>
      <c r="J908" s="513"/>
      <c r="K908" s="506"/>
      <c r="L908" s="504"/>
      <c r="M908" s="504"/>
      <c r="N908" s="504"/>
      <c r="O908" s="504"/>
      <c r="P908" s="504"/>
    </row>
    <row r="909" spans="1:16" ht="15.75" customHeight="1">
      <c r="A909" s="732" t="s">
        <v>2675</v>
      </c>
      <c r="B909" s="731" t="s">
        <v>3106</v>
      </c>
      <c r="C909" s="55"/>
      <c r="D909" s="507"/>
      <c r="E909" s="504"/>
      <c r="F909" s="504"/>
      <c r="G909" s="504"/>
      <c r="H909" s="504"/>
      <c r="I909" s="501"/>
      <c r="J909" s="514"/>
      <c r="K909" s="506"/>
      <c r="L909" s="504"/>
      <c r="M909" s="504"/>
      <c r="N909" s="504"/>
      <c r="O909" s="504"/>
      <c r="P909" s="504"/>
    </row>
    <row r="910" spans="1:16" ht="15.75" customHeight="1">
      <c r="A910" s="732" t="s">
        <v>2675</v>
      </c>
      <c r="B910" s="731" t="s">
        <v>3107</v>
      </c>
      <c r="C910" s="55"/>
      <c r="D910" s="507"/>
      <c r="E910" s="504"/>
      <c r="F910" s="504"/>
      <c r="G910" s="504"/>
      <c r="H910" s="504"/>
      <c r="I910" s="501"/>
      <c r="J910" s="514"/>
      <c r="K910" s="506"/>
      <c r="L910" s="504"/>
      <c r="M910" s="504"/>
      <c r="N910" s="504"/>
      <c r="O910" s="504"/>
      <c r="P910" s="504"/>
    </row>
    <row r="911" spans="1:16" ht="15.75" customHeight="1">
      <c r="A911" s="733" t="s">
        <v>5723</v>
      </c>
      <c r="B911" s="731" t="s">
        <v>5783</v>
      </c>
      <c r="C911" s="55"/>
      <c r="D911" s="507"/>
      <c r="E911" s="504"/>
      <c r="F911" s="504"/>
      <c r="G911" s="504"/>
      <c r="H911" s="504"/>
      <c r="I911" s="501"/>
      <c r="J911" s="514"/>
      <c r="K911" s="506"/>
      <c r="L911" s="504"/>
      <c r="M911" s="504"/>
      <c r="N911" s="504"/>
      <c r="O911" s="504"/>
      <c r="P911" s="504"/>
    </row>
    <row r="912" spans="1:16" ht="15.75" customHeight="1">
      <c r="A912" s="733" t="s">
        <v>5723</v>
      </c>
      <c r="B912" s="731" t="s">
        <v>2680</v>
      </c>
      <c r="C912" s="55"/>
      <c r="D912" s="507"/>
      <c r="E912" s="504"/>
      <c r="F912" s="504"/>
      <c r="G912" s="504"/>
      <c r="H912" s="504"/>
      <c r="I912" s="501"/>
      <c r="J912" s="514"/>
      <c r="K912" s="506"/>
      <c r="L912" s="504"/>
      <c r="M912" s="504"/>
      <c r="N912" s="504"/>
      <c r="O912" s="504"/>
      <c r="P912" s="504"/>
    </row>
    <row r="913" spans="1:16" ht="15.75" customHeight="1">
      <c r="A913" s="734" t="s">
        <v>2677</v>
      </c>
      <c r="B913" s="731" t="s">
        <v>3108</v>
      </c>
      <c r="C913" s="55"/>
      <c r="D913" s="507"/>
      <c r="E913" s="504"/>
      <c r="F913" s="504"/>
      <c r="G913" s="504"/>
      <c r="H913" s="504"/>
      <c r="I913" s="501"/>
      <c r="J913" s="511"/>
      <c r="K913" s="506"/>
      <c r="L913" s="504"/>
      <c r="M913" s="504"/>
      <c r="N913" s="504"/>
      <c r="O913" s="504"/>
      <c r="P913" s="504"/>
    </row>
    <row r="914" spans="1:16" ht="15.75" customHeight="1">
      <c r="A914" s="734" t="s">
        <v>2677</v>
      </c>
      <c r="B914" s="731" t="s">
        <v>3109</v>
      </c>
      <c r="C914" s="55"/>
      <c r="D914" s="507"/>
      <c r="E914" s="504"/>
      <c r="F914" s="504"/>
      <c r="G914" s="504"/>
      <c r="H914" s="504"/>
      <c r="I914" s="501"/>
      <c r="J914" s="511"/>
      <c r="K914" s="506"/>
      <c r="L914" s="504"/>
      <c r="M914" s="504"/>
      <c r="N914" s="504"/>
      <c r="O914" s="504"/>
      <c r="P914" s="504"/>
    </row>
    <row r="915" spans="1:16" ht="15.75" customHeight="1">
      <c r="A915" s="734" t="s">
        <v>2677</v>
      </c>
      <c r="B915" s="731" t="s">
        <v>2680</v>
      </c>
      <c r="C915" s="55"/>
      <c r="D915" s="507"/>
      <c r="E915" s="504"/>
      <c r="F915" s="504"/>
      <c r="G915" s="504"/>
      <c r="H915" s="504"/>
      <c r="I915" s="501"/>
      <c r="J915" s="511"/>
      <c r="K915" s="506"/>
      <c r="L915" s="504"/>
      <c r="M915" s="504"/>
      <c r="N915" s="504"/>
      <c r="O915" s="504"/>
      <c r="P915" s="504"/>
    </row>
    <row r="916" spans="1:16" ht="15.75" customHeight="1">
      <c r="A916" s="735" t="s">
        <v>2681</v>
      </c>
      <c r="B916" s="731" t="s">
        <v>3110</v>
      </c>
      <c r="C916" s="55"/>
      <c r="D916" s="507"/>
      <c r="E916" s="504"/>
      <c r="F916" s="504"/>
      <c r="G916" s="504"/>
      <c r="H916" s="504"/>
      <c r="I916" s="501"/>
      <c r="J916" s="511"/>
      <c r="K916" s="506"/>
      <c r="L916" s="504"/>
      <c r="M916" s="504"/>
      <c r="N916" s="504"/>
      <c r="O916" s="504"/>
      <c r="P916" s="504"/>
    </row>
    <row r="917" spans="1:16">
      <c r="A917" s="735" t="s">
        <v>2681</v>
      </c>
      <c r="B917" s="731" t="s">
        <v>3111</v>
      </c>
      <c r="C917" s="55"/>
      <c r="D917" s="507"/>
      <c r="E917" s="504"/>
      <c r="F917" s="504"/>
      <c r="G917" s="504"/>
      <c r="H917" s="504"/>
      <c r="I917" s="501"/>
      <c r="J917" s="511"/>
      <c r="K917" s="506"/>
      <c r="L917" s="504"/>
      <c r="M917" s="504"/>
      <c r="N917" s="504"/>
      <c r="O917" s="504"/>
      <c r="P917" s="504"/>
    </row>
    <row r="918" spans="1:16" ht="15.75" customHeight="1">
      <c r="A918" s="735" t="s">
        <v>2681</v>
      </c>
      <c r="B918" s="731" t="s">
        <v>3112</v>
      </c>
      <c r="C918" s="55"/>
      <c r="D918" s="507"/>
      <c r="E918" s="504"/>
      <c r="F918" s="504"/>
      <c r="G918" s="504"/>
      <c r="H918" s="504"/>
      <c r="I918" s="501"/>
      <c r="J918" s="515"/>
      <c r="K918" s="506"/>
      <c r="L918" s="504"/>
      <c r="M918" s="504"/>
      <c r="N918" s="504"/>
      <c r="O918" s="504"/>
      <c r="P918" s="504"/>
    </row>
    <row r="919" spans="1:16" ht="15.75" customHeight="1">
      <c r="A919" s="735" t="s">
        <v>2681</v>
      </c>
      <c r="B919" s="731" t="s">
        <v>2680</v>
      </c>
      <c r="C919" s="55"/>
      <c r="D919" s="507"/>
      <c r="E919" s="504"/>
      <c r="F919" s="504"/>
      <c r="G919" s="504"/>
      <c r="H919" s="504"/>
      <c r="I919" s="501"/>
      <c r="J919" s="515"/>
      <c r="K919" s="506"/>
      <c r="L919" s="504"/>
      <c r="M919" s="504"/>
      <c r="N919" s="504"/>
      <c r="O919" s="504"/>
      <c r="P919" s="504"/>
    </row>
    <row r="920" spans="1:16" ht="15.75" customHeight="1">
      <c r="A920" s="737" t="s">
        <v>2686</v>
      </c>
      <c r="B920" s="731" t="s">
        <v>3113</v>
      </c>
      <c r="C920" s="55"/>
      <c r="D920" s="507"/>
      <c r="E920" s="504"/>
      <c r="F920" s="504"/>
      <c r="G920" s="504"/>
      <c r="H920" s="504"/>
      <c r="I920" s="501"/>
      <c r="J920" s="516"/>
      <c r="K920" s="506"/>
      <c r="L920" s="504"/>
      <c r="M920" s="504"/>
      <c r="N920" s="504"/>
      <c r="O920" s="504"/>
      <c r="P920" s="504"/>
    </row>
    <row r="921" spans="1:16" ht="15.75" customHeight="1">
      <c r="A921" s="737" t="s">
        <v>2686</v>
      </c>
      <c r="B921" s="731" t="s">
        <v>3114</v>
      </c>
      <c r="C921" s="55"/>
      <c r="D921" s="507"/>
      <c r="E921" s="504"/>
      <c r="F921" s="504"/>
      <c r="G921" s="504"/>
      <c r="H921" s="504"/>
      <c r="I921" s="501"/>
      <c r="J921" s="516"/>
      <c r="K921" s="506"/>
      <c r="L921" s="504"/>
      <c r="M921" s="504"/>
      <c r="N921" s="504"/>
      <c r="O921" s="504"/>
      <c r="P921" s="504"/>
    </row>
    <row r="922" spans="1:16" ht="15.45">
      <c r="A922" s="737" t="s">
        <v>2686</v>
      </c>
      <c r="B922" s="731" t="s">
        <v>3115</v>
      </c>
      <c r="C922" s="55"/>
      <c r="D922" s="507"/>
      <c r="E922" s="504"/>
      <c r="F922" s="504"/>
      <c r="G922" s="504"/>
      <c r="H922" s="504"/>
      <c r="I922" s="501"/>
      <c r="J922" s="517"/>
      <c r="K922" s="506"/>
      <c r="L922" s="504"/>
      <c r="M922" s="504"/>
      <c r="N922" s="504"/>
      <c r="O922" s="504"/>
      <c r="P922" s="504"/>
    </row>
    <row r="923" spans="1:16" ht="15.75" customHeight="1">
      <c r="A923" s="737" t="s">
        <v>2686</v>
      </c>
      <c r="B923" s="731" t="s">
        <v>3116</v>
      </c>
      <c r="C923" s="55"/>
      <c r="D923" s="507"/>
      <c r="E923" s="504"/>
      <c r="F923" s="504"/>
      <c r="G923" s="504"/>
      <c r="H923" s="504"/>
      <c r="I923" s="501"/>
      <c r="J923" s="512"/>
      <c r="K923" s="506"/>
      <c r="L923" s="504"/>
      <c r="M923" s="504"/>
      <c r="N923" s="504"/>
      <c r="O923" s="504"/>
      <c r="P923" s="504"/>
    </row>
    <row r="924" spans="1:16" ht="15.75" customHeight="1">
      <c r="A924" s="737" t="s">
        <v>2686</v>
      </c>
      <c r="B924" s="731" t="s">
        <v>2680</v>
      </c>
      <c r="C924" s="55"/>
      <c r="D924" s="507"/>
      <c r="E924" s="504"/>
      <c r="F924" s="504"/>
      <c r="G924" s="504"/>
      <c r="H924" s="504"/>
      <c r="I924" s="501"/>
      <c r="J924" s="512"/>
      <c r="K924" s="506"/>
      <c r="L924" s="504"/>
      <c r="M924" s="504"/>
      <c r="N924" s="504"/>
      <c r="O924" s="504"/>
      <c r="P924" s="504"/>
    </row>
    <row r="925" spans="1:16" ht="15.75" customHeight="1">
      <c r="A925" s="738" t="s">
        <v>2691</v>
      </c>
      <c r="B925" s="731" t="s">
        <v>3117</v>
      </c>
      <c r="C925" s="55"/>
      <c r="D925" s="507"/>
      <c r="E925" s="504"/>
      <c r="F925" s="504"/>
      <c r="G925" s="504"/>
      <c r="H925" s="504"/>
      <c r="I925" s="501"/>
      <c r="J925" s="513"/>
      <c r="K925" s="506"/>
      <c r="L925" s="504"/>
      <c r="M925" s="504"/>
      <c r="N925" s="504"/>
      <c r="O925" s="504"/>
      <c r="P925" s="504"/>
    </row>
    <row r="926" spans="1:16" ht="15.75" customHeight="1">
      <c r="A926" s="738" t="s">
        <v>2691</v>
      </c>
      <c r="B926" s="731" t="s">
        <v>3118</v>
      </c>
      <c r="C926" s="55"/>
      <c r="D926" s="507"/>
      <c r="E926" s="504"/>
      <c r="F926" s="504"/>
      <c r="G926" s="504"/>
      <c r="H926" s="504"/>
      <c r="I926" s="501"/>
      <c r="J926" s="513"/>
      <c r="K926" s="506"/>
      <c r="L926" s="504"/>
      <c r="M926" s="504"/>
      <c r="N926" s="504"/>
      <c r="O926" s="504"/>
      <c r="P926" s="504"/>
    </row>
    <row r="927" spans="1:16" ht="15.75" customHeight="1">
      <c r="A927" s="739" t="s">
        <v>2693</v>
      </c>
      <c r="B927" s="731" t="s">
        <v>3119</v>
      </c>
      <c r="C927" s="55"/>
      <c r="D927" s="507"/>
      <c r="E927" s="504"/>
      <c r="F927" s="504"/>
      <c r="G927" s="504"/>
      <c r="H927" s="504"/>
      <c r="I927" s="501"/>
      <c r="J927" s="513"/>
      <c r="K927" s="506"/>
      <c r="L927" s="504"/>
      <c r="M927" s="504"/>
      <c r="N927" s="504"/>
      <c r="O927" s="504"/>
      <c r="P927" s="504"/>
    </row>
    <row r="928" spans="1:16" ht="15.75" customHeight="1">
      <c r="A928" s="730"/>
      <c r="B928" s="559"/>
      <c r="C928" s="55"/>
      <c r="D928" s="507"/>
      <c r="E928" s="504"/>
      <c r="F928" s="504"/>
      <c r="G928" s="504"/>
      <c r="H928" s="504"/>
      <c r="I928" s="501"/>
      <c r="J928" s="514"/>
      <c r="K928" s="506"/>
      <c r="L928" s="504"/>
      <c r="M928" s="504"/>
      <c r="N928" s="504"/>
      <c r="O928" s="504"/>
      <c r="P928" s="504"/>
    </row>
    <row r="929" spans="1:16" ht="15.75" customHeight="1">
      <c r="A929" s="729" t="s">
        <v>3120</v>
      </c>
      <c r="B929" s="731" t="s">
        <v>2943</v>
      </c>
      <c r="C929" s="55"/>
      <c r="D929" s="507"/>
      <c r="E929" s="504"/>
      <c r="F929" s="504"/>
      <c r="G929" s="504"/>
      <c r="H929" s="504"/>
      <c r="I929" s="501"/>
      <c r="J929" s="514"/>
      <c r="K929" s="506"/>
      <c r="L929" s="504"/>
      <c r="M929" s="504"/>
      <c r="N929" s="504"/>
      <c r="O929" s="504"/>
      <c r="P929" s="504"/>
    </row>
    <row r="930" spans="1:16" ht="15.75" customHeight="1">
      <c r="A930" s="732" t="s">
        <v>2675</v>
      </c>
      <c r="B930" s="731" t="s">
        <v>3121</v>
      </c>
      <c r="C930" s="55"/>
      <c r="D930" s="507"/>
      <c r="E930" s="504"/>
      <c r="F930" s="504"/>
      <c r="G930" s="504"/>
      <c r="H930" s="504"/>
      <c r="I930" s="501"/>
      <c r="J930" s="514"/>
      <c r="K930" s="506"/>
      <c r="L930" s="504"/>
      <c r="M930" s="504"/>
      <c r="N930" s="504"/>
      <c r="O930" s="504"/>
      <c r="P930" s="504"/>
    </row>
    <row r="931" spans="1:16" ht="15.75" customHeight="1">
      <c r="A931" s="732" t="s">
        <v>2675</v>
      </c>
      <c r="B931" s="731" t="s">
        <v>3122</v>
      </c>
      <c r="C931" s="55"/>
      <c r="D931" s="507"/>
      <c r="E931" s="504"/>
      <c r="F931" s="504"/>
      <c r="G931" s="504"/>
      <c r="H931" s="504"/>
      <c r="I931" s="501"/>
      <c r="J931" s="514"/>
      <c r="K931" s="506"/>
      <c r="L931" s="504"/>
      <c r="M931" s="504"/>
      <c r="N931" s="504"/>
      <c r="O931" s="504"/>
      <c r="P931" s="504"/>
    </row>
    <row r="932" spans="1:16" ht="15.75" customHeight="1">
      <c r="A932" s="733" t="s">
        <v>5723</v>
      </c>
      <c r="B932" s="731" t="s">
        <v>5784</v>
      </c>
      <c r="C932" s="55"/>
      <c r="D932" s="507"/>
      <c r="E932" s="504"/>
      <c r="F932" s="504"/>
      <c r="G932" s="504"/>
      <c r="H932" s="504"/>
      <c r="I932" s="501"/>
      <c r="J932" s="511"/>
      <c r="K932" s="506"/>
      <c r="L932" s="504"/>
      <c r="M932" s="504"/>
      <c r="N932" s="504"/>
      <c r="O932" s="504"/>
      <c r="P932" s="504"/>
    </row>
    <row r="933" spans="1:16" ht="15.75" customHeight="1">
      <c r="A933" s="733" t="s">
        <v>5723</v>
      </c>
      <c r="B933" s="731" t="s">
        <v>2680</v>
      </c>
      <c r="C933" s="55"/>
      <c r="D933" s="507"/>
      <c r="E933" s="504"/>
      <c r="F933" s="504"/>
      <c r="G933" s="504"/>
      <c r="H933" s="504"/>
      <c r="I933" s="501"/>
      <c r="J933" s="511"/>
      <c r="K933" s="506"/>
      <c r="L933" s="504"/>
      <c r="M933" s="504"/>
      <c r="N933" s="504"/>
      <c r="O933" s="504"/>
      <c r="P933" s="504"/>
    </row>
    <row r="934" spans="1:16" ht="15.75" customHeight="1">
      <c r="A934" s="734" t="s">
        <v>2677</v>
      </c>
      <c r="B934" s="731" t="s">
        <v>3123</v>
      </c>
      <c r="C934" s="55"/>
      <c r="D934" s="507"/>
      <c r="E934" s="504"/>
      <c r="F934" s="504"/>
      <c r="G934" s="504"/>
      <c r="H934" s="504"/>
      <c r="I934" s="501"/>
      <c r="J934" s="511"/>
      <c r="K934" s="506"/>
      <c r="L934" s="504"/>
      <c r="M934" s="504"/>
      <c r="N934" s="504"/>
      <c r="O934" s="504"/>
      <c r="P934" s="504"/>
    </row>
    <row r="935" spans="1:16" ht="15.75" customHeight="1">
      <c r="A935" s="734" t="s">
        <v>2677</v>
      </c>
      <c r="B935" s="731" t="s">
        <v>3124</v>
      </c>
      <c r="C935" s="55"/>
      <c r="D935" s="507"/>
      <c r="E935" s="504"/>
      <c r="F935" s="504"/>
      <c r="G935" s="504"/>
      <c r="H935" s="504"/>
      <c r="I935" s="501"/>
      <c r="J935" s="511"/>
      <c r="K935" s="506"/>
      <c r="L935" s="504"/>
      <c r="M935" s="504"/>
      <c r="N935" s="504"/>
      <c r="O935" s="504"/>
      <c r="P935" s="504"/>
    </row>
    <row r="936" spans="1:16">
      <c r="A936" s="734" t="s">
        <v>2677</v>
      </c>
      <c r="B936" s="731" t="s">
        <v>3125</v>
      </c>
      <c r="C936" s="55"/>
      <c r="D936" s="507"/>
      <c r="E936" s="504"/>
      <c r="F936" s="504"/>
      <c r="G936" s="504"/>
      <c r="H936" s="504"/>
      <c r="I936" s="501"/>
      <c r="J936" s="511"/>
      <c r="K936" s="506"/>
      <c r="L936" s="504"/>
      <c r="M936" s="504"/>
      <c r="N936" s="504"/>
      <c r="O936" s="504"/>
      <c r="P936" s="504"/>
    </row>
    <row r="937" spans="1:16" ht="15.75" customHeight="1">
      <c r="A937" s="735" t="s">
        <v>2681</v>
      </c>
      <c r="B937" s="731" t="s">
        <v>3126</v>
      </c>
      <c r="C937" s="55"/>
      <c r="D937" s="507"/>
      <c r="E937" s="504"/>
      <c r="F937" s="504"/>
      <c r="G937" s="504"/>
      <c r="H937" s="504"/>
      <c r="I937" s="501"/>
      <c r="J937" s="515"/>
      <c r="K937" s="506"/>
      <c r="L937" s="504"/>
      <c r="M937" s="504"/>
      <c r="N937" s="504"/>
      <c r="O937" s="504"/>
      <c r="P937" s="504"/>
    </row>
    <row r="938" spans="1:16" ht="15.75" customHeight="1">
      <c r="A938" s="735" t="s">
        <v>2681</v>
      </c>
      <c r="B938" s="731" t="s">
        <v>3127</v>
      </c>
      <c r="C938" s="55"/>
      <c r="D938" s="507"/>
      <c r="E938" s="504"/>
      <c r="F938" s="504"/>
      <c r="G938" s="504"/>
      <c r="H938" s="504"/>
      <c r="I938" s="501"/>
      <c r="J938" s="515"/>
      <c r="K938" s="506"/>
      <c r="L938" s="504"/>
      <c r="M938" s="504"/>
      <c r="N938" s="504"/>
      <c r="O938" s="504"/>
      <c r="P938" s="504"/>
    </row>
    <row r="939" spans="1:16" ht="15.75" customHeight="1">
      <c r="A939" s="735" t="s">
        <v>2681</v>
      </c>
      <c r="B939" s="731" t="s">
        <v>3128</v>
      </c>
      <c r="C939" s="55"/>
      <c r="D939" s="507"/>
      <c r="E939" s="504"/>
      <c r="F939" s="504"/>
      <c r="G939" s="504"/>
      <c r="H939" s="504"/>
      <c r="I939" s="501"/>
      <c r="J939" s="516"/>
      <c r="K939" s="506"/>
      <c r="L939" s="504"/>
      <c r="M939" s="504"/>
      <c r="N939" s="504"/>
      <c r="O939" s="504"/>
      <c r="P939" s="504"/>
    </row>
    <row r="940" spans="1:16" ht="15.75" customHeight="1">
      <c r="A940" s="735" t="s">
        <v>2681</v>
      </c>
      <c r="B940" s="731" t="s">
        <v>2680</v>
      </c>
      <c r="C940" s="55"/>
      <c r="D940" s="507"/>
      <c r="E940" s="504"/>
      <c r="F940" s="504"/>
      <c r="G940" s="504"/>
      <c r="H940" s="504"/>
      <c r="I940" s="501"/>
      <c r="J940" s="516"/>
      <c r="K940" s="506"/>
      <c r="L940" s="504"/>
      <c r="M940" s="504"/>
      <c r="N940" s="504"/>
      <c r="O940" s="504"/>
      <c r="P940" s="504"/>
    </row>
    <row r="941" spans="1:16" ht="15.45">
      <c r="A941" s="737" t="s">
        <v>2686</v>
      </c>
      <c r="B941" s="731" t="s">
        <v>3129</v>
      </c>
      <c r="C941" s="55"/>
      <c r="D941" s="507"/>
      <c r="E941" s="504"/>
      <c r="F941" s="504"/>
      <c r="G941" s="504"/>
      <c r="H941" s="504"/>
      <c r="I941" s="501"/>
      <c r="J941" s="517"/>
      <c r="K941" s="506"/>
      <c r="L941" s="504"/>
      <c r="M941" s="504"/>
      <c r="N941" s="504"/>
      <c r="O941" s="504"/>
      <c r="P941" s="504"/>
    </row>
    <row r="942" spans="1:16" ht="15.75" customHeight="1">
      <c r="A942" s="737" t="s">
        <v>2686</v>
      </c>
      <c r="B942" s="731" t="s">
        <v>3130</v>
      </c>
      <c r="C942" s="55"/>
      <c r="D942" s="507"/>
      <c r="E942" s="504"/>
      <c r="F942" s="504"/>
      <c r="G942" s="504"/>
      <c r="H942" s="504"/>
      <c r="I942" s="501"/>
      <c r="J942" s="512"/>
      <c r="K942" s="506"/>
      <c r="L942" s="504"/>
      <c r="M942" s="504"/>
      <c r="N942" s="504"/>
      <c r="O942" s="504"/>
      <c r="P942" s="504"/>
    </row>
    <row r="943" spans="1:16" ht="15.75" customHeight="1">
      <c r="A943" s="737" t="s">
        <v>2686</v>
      </c>
      <c r="B943" s="731" t="s">
        <v>3131</v>
      </c>
      <c r="C943" s="55"/>
      <c r="D943" s="507"/>
      <c r="E943" s="504"/>
      <c r="F943" s="504"/>
      <c r="G943" s="504"/>
      <c r="H943" s="504"/>
      <c r="I943" s="501"/>
      <c r="J943" s="512"/>
      <c r="K943" s="506"/>
      <c r="L943" s="504"/>
      <c r="M943" s="504"/>
      <c r="N943" s="504"/>
      <c r="O943" s="504"/>
      <c r="P943" s="504"/>
    </row>
    <row r="944" spans="1:16" ht="15.75" customHeight="1">
      <c r="A944" s="737" t="s">
        <v>2686</v>
      </c>
      <c r="B944" s="731" t="s">
        <v>2680</v>
      </c>
      <c r="C944" s="55"/>
      <c r="D944" s="507"/>
      <c r="E944" s="504"/>
      <c r="F944" s="504"/>
      <c r="G944" s="504"/>
      <c r="H944" s="504"/>
      <c r="I944" s="501"/>
      <c r="J944" s="513"/>
      <c r="K944" s="506"/>
      <c r="L944" s="504"/>
      <c r="M944" s="504"/>
      <c r="N944" s="504"/>
      <c r="O944" s="504"/>
      <c r="P944" s="504"/>
    </row>
    <row r="945" spans="1:16" ht="15.75" customHeight="1">
      <c r="A945" s="737" t="s">
        <v>2686</v>
      </c>
      <c r="B945" s="731" t="s">
        <v>2680</v>
      </c>
      <c r="C945" s="55"/>
      <c r="D945" s="507"/>
      <c r="E945" s="504"/>
      <c r="F945" s="504"/>
      <c r="G945" s="504"/>
      <c r="H945" s="504"/>
      <c r="I945" s="501"/>
      <c r="J945" s="513"/>
      <c r="K945" s="506"/>
      <c r="L945" s="504"/>
      <c r="M945" s="504"/>
      <c r="N945" s="504"/>
      <c r="O945" s="504"/>
      <c r="P945" s="504"/>
    </row>
    <row r="946" spans="1:16" ht="15.75" customHeight="1">
      <c r="A946" s="738" t="s">
        <v>2691</v>
      </c>
      <c r="B946" s="731" t="s">
        <v>3132</v>
      </c>
      <c r="C946" s="55"/>
      <c r="D946" s="507"/>
      <c r="E946" s="504"/>
      <c r="F946" s="504"/>
      <c r="G946" s="504"/>
      <c r="H946" s="504"/>
      <c r="I946" s="501"/>
      <c r="J946" s="513"/>
      <c r="K946" s="506"/>
      <c r="L946" s="504"/>
      <c r="M946" s="504"/>
      <c r="N946" s="504"/>
      <c r="O946" s="504"/>
      <c r="P946" s="504"/>
    </row>
    <row r="947" spans="1:16" ht="15.75" customHeight="1">
      <c r="A947" s="738" t="s">
        <v>2691</v>
      </c>
      <c r="B947" s="731" t="s">
        <v>2680</v>
      </c>
      <c r="C947" s="55"/>
      <c r="D947" s="507"/>
      <c r="E947" s="504"/>
      <c r="F947" s="504"/>
      <c r="G947" s="504"/>
      <c r="H947" s="504"/>
      <c r="I947" s="501"/>
      <c r="J947" s="514"/>
      <c r="K947" s="506"/>
      <c r="L947" s="504"/>
      <c r="M947" s="504"/>
      <c r="N947" s="504"/>
      <c r="O947" s="504"/>
      <c r="P947" s="504"/>
    </row>
    <row r="948" spans="1:16" ht="15.75" customHeight="1">
      <c r="A948" s="739" t="s">
        <v>2693</v>
      </c>
      <c r="B948" s="731" t="s">
        <v>3133</v>
      </c>
      <c r="C948" s="55"/>
      <c r="D948" s="507"/>
      <c r="E948" s="504"/>
      <c r="F948" s="504"/>
      <c r="G948" s="504"/>
      <c r="H948" s="504"/>
      <c r="I948" s="501"/>
      <c r="J948" s="514"/>
      <c r="K948" s="506"/>
      <c r="L948" s="504"/>
      <c r="M948" s="504"/>
      <c r="N948" s="504"/>
      <c r="O948" s="504"/>
      <c r="P948" s="504"/>
    </row>
    <row r="949" spans="1:16" ht="15.75" customHeight="1">
      <c r="A949" s="533"/>
      <c r="B949" s="559"/>
      <c r="C949" s="55"/>
      <c r="D949" s="507"/>
      <c r="E949" s="504"/>
      <c r="F949" s="504"/>
      <c r="G949" s="504"/>
      <c r="H949" s="504"/>
      <c r="I949" s="501"/>
      <c r="J949" s="514"/>
      <c r="K949" s="506"/>
      <c r="L949" s="504"/>
      <c r="M949" s="504"/>
      <c r="N949" s="504"/>
      <c r="O949" s="504"/>
      <c r="P949" s="504"/>
    </row>
    <row r="950" spans="1:16" ht="15.75" customHeight="1">
      <c r="A950" s="729" t="s">
        <v>3134</v>
      </c>
      <c r="B950" s="731" t="s">
        <v>2943</v>
      </c>
      <c r="C950" s="55"/>
      <c r="D950" s="507"/>
      <c r="E950" s="504"/>
      <c r="F950" s="504"/>
      <c r="G950" s="504"/>
      <c r="H950" s="504"/>
      <c r="I950" s="501"/>
      <c r="J950" s="514"/>
      <c r="K950" s="506"/>
      <c r="L950" s="504"/>
      <c r="M950" s="504"/>
      <c r="N950" s="504"/>
      <c r="O950" s="504"/>
      <c r="P950" s="504"/>
    </row>
    <row r="951" spans="1:16" ht="15.75" customHeight="1">
      <c r="A951" s="732" t="s">
        <v>2675</v>
      </c>
      <c r="B951" s="731" t="s">
        <v>3135</v>
      </c>
      <c r="C951" s="55"/>
      <c r="D951" s="507"/>
      <c r="E951" s="504"/>
      <c r="F951" s="504"/>
      <c r="G951" s="504"/>
      <c r="H951" s="504"/>
      <c r="I951" s="501"/>
      <c r="J951" s="511"/>
      <c r="K951" s="506"/>
      <c r="L951" s="504"/>
      <c r="M951" s="504"/>
      <c r="N951" s="504"/>
      <c r="O951" s="504"/>
      <c r="P951" s="504"/>
    </row>
    <row r="952" spans="1:16" ht="15.75" customHeight="1">
      <c r="A952" s="732" t="s">
        <v>2675</v>
      </c>
      <c r="B952" s="731" t="s">
        <v>3136</v>
      </c>
      <c r="C952" s="55"/>
      <c r="D952" s="507"/>
      <c r="E952" s="504"/>
      <c r="F952" s="504"/>
      <c r="G952" s="504"/>
      <c r="H952" s="504"/>
      <c r="I952" s="501"/>
      <c r="J952" s="511"/>
      <c r="K952" s="506"/>
      <c r="L952" s="504"/>
      <c r="M952" s="504"/>
      <c r="N952" s="504"/>
      <c r="O952" s="504"/>
      <c r="P952" s="504"/>
    </row>
    <row r="953" spans="1:16" ht="15.75" customHeight="1">
      <c r="A953" s="733" t="s">
        <v>5723</v>
      </c>
      <c r="B953" s="731" t="s">
        <v>5785</v>
      </c>
      <c r="C953" s="55"/>
      <c r="D953" s="507"/>
      <c r="E953" s="504"/>
      <c r="F953" s="504"/>
      <c r="G953" s="504"/>
      <c r="H953" s="504"/>
      <c r="I953" s="501"/>
      <c r="J953" s="511"/>
      <c r="K953" s="506"/>
      <c r="L953" s="504"/>
      <c r="M953" s="504"/>
      <c r="N953" s="504"/>
      <c r="O953" s="504"/>
      <c r="P953" s="504"/>
    </row>
    <row r="954" spans="1:16" ht="15.75" customHeight="1">
      <c r="A954" s="733" t="s">
        <v>5723</v>
      </c>
      <c r="B954" s="731" t="s">
        <v>2680</v>
      </c>
      <c r="C954" s="55"/>
      <c r="D954" s="507"/>
      <c r="E954" s="504"/>
      <c r="F954" s="504"/>
      <c r="G954" s="504"/>
      <c r="H954" s="504"/>
      <c r="I954" s="501"/>
      <c r="J954" s="511"/>
      <c r="K954" s="506"/>
      <c r="L954" s="504"/>
      <c r="M954" s="504"/>
      <c r="N954" s="504"/>
      <c r="O954" s="504"/>
      <c r="P954" s="504"/>
    </row>
    <row r="955" spans="1:16">
      <c r="A955" s="734" t="s">
        <v>2677</v>
      </c>
      <c r="B955" s="731" t="s">
        <v>3137</v>
      </c>
      <c r="C955" s="55"/>
      <c r="D955" s="507"/>
      <c r="E955" s="504"/>
      <c r="F955" s="504"/>
      <c r="G955" s="504"/>
      <c r="H955" s="504"/>
      <c r="I955" s="501"/>
      <c r="J955" s="511"/>
      <c r="K955" s="506"/>
      <c r="L955" s="504"/>
      <c r="M955" s="504"/>
      <c r="N955" s="504"/>
      <c r="O955" s="504"/>
      <c r="P955" s="504"/>
    </row>
    <row r="956" spans="1:16" ht="15.75" customHeight="1">
      <c r="A956" s="734" t="s">
        <v>2677</v>
      </c>
      <c r="B956" s="731" t="s">
        <v>3138</v>
      </c>
      <c r="C956" s="55"/>
      <c r="D956" s="507"/>
      <c r="E956" s="504"/>
      <c r="F956" s="504"/>
      <c r="G956" s="504"/>
      <c r="H956" s="504"/>
      <c r="I956" s="501"/>
      <c r="J956" s="515"/>
      <c r="K956" s="506"/>
      <c r="L956" s="504"/>
      <c r="M956" s="504"/>
      <c r="N956" s="504"/>
      <c r="O956" s="504"/>
      <c r="P956" s="504"/>
    </row>
    <row r="957" spans="1:16" ht="15.75" customHeight="1">
      <c r="A957" s="734" t="s">
        <v>2677</v>
      </c>
      <c r="B957" s="731" t="s">
        <v>2680</v>
      </c>
      <c r="C957" s="55"/>
      <c r="D957" s="507"/>
      <c r="E957" s="504"/>
      <c r="F957" s="504"/>
      <c r="G957" s="504"/>
      <c r="H957" s="504"/>
      <c r="I957" s="501"/>
      <c r="J957" s="515"/>
      <c r="K957" s="506"/>
      <c r="L957" s="504"/>
      <c r="M957" s="504"/>
      <c r="N957" s="504"/>
      <c r="O957" s="504"/>
      <c r="P957" s="504"/>
    </row>
    <row r="958" spans="1:16" ht="15.75" customHeight="1">
      <c r="A958" s="735" t="s">
        <v>2681</v>
      </c>
      <c r="B958" s="743" t="s">
        <v>3139</v>
      </c>
      <c r="C958" s="55"/>
      <c r="D958" s="507"/>
      <c r="E958" s="504"/>
      <c r="F958" s="504"/>
      <c r="G958" s="504"/>
      <c r="H958" s="504"/>
      <c r="I958" s="501"/>
      <c r="J958" s="516"/>
      <c r="K958" s="506"/>
      <c r="L958" s="504"/>
      <c r="M958" s="504"/>
      <c r="N958" s="504"/>
      <c r="O958" s="504"/>
      <c r="P958" s="504"/>
    </row>
    <row r="959" spans="1:16" ht="15.75" customHeight="1">
      <c r="A959" s="735" t="s">
        <v>2681</v>
      </c>
      <c r="B959" s="731" t="s">
        <v>3140</v>
      </c>
      <c r="C959" s="55"/>
      <c r="D959" s="507"/>
      <c r="E959" s="504"/>
      <c r="F959" s="504"/>
      <c r="G959" s="504"/>
      <c r="H959" s="504"/>
      <c r="I959" s="501"/>
      <c r="J959" s="515"/>
      <c r="K959" s="506"/>
      <c r="L959" s="504"/>
      <c r="M959" s="504"/>
      <c r="N959" s="504"/>
      <c r="O959" s="504"/>
      <c r="P959" s="504"/>
    </row>
    <row r="960" spans="1:16" ht="15.45">
      <c r="A960" s="735" t="s">
        <v>2681</v>
      </c>
      <c r="B960" s="731" t="s">
        <v>3141</v>
      </c>
      <c r="C960" s="55"/>
      <c r="D960" s="507"/>
      <c r="E960" s="504"/>
      <c r="F960" s="504"/>
      <c r="G960" s="504"/>
      <c r="H960" s="504"/>
      <c r="I960" s="501"/>
      <c r="J960" s="517"/>
      <c r="K960" s="506"/>
      <c r="L960" s="504"/>
      <c r="M960" s="504"/>
      <c r="N960" s="504"/>
      <c r="O960" s="504"/>
      <c r="P960" s="504"/>
    </row>
    <row r="961" spans="1:16" ht="15.75" customHeight="1">
      <c r="A961" s="735" t="s">
        <v>2681</v>
      </c>
      <c r="B961" s="731" t="s">
        <v>3142</v>
      </c>
      <c r="C961" s="55"/>
      <c r="D961" s="507"/>
      <c r="E961" s="504"/>
      <c r="F961" s="504"/>
      <c r="G961" s="504"/>
      <c r="H961" s="504"/>
      <c r="I961" s="501"/>
      <c r="J961" s="512"/>
      <c r="K961" s="506"/>
      <c r="L961" s="504"/>
      <c r="M961" s="504"/>
      <c r="N961" s="504"/>
      <c r="O961" s="504"/>
      <c r="P961" s="504"/>
    </row>
    <row r="962" spans="1:16" ht="15.75" customHeight="1">
      <c r="A962" s="737" t="s">
        <v>2686</v>
      </c>
      <c r="B962" s="731" t="s">
        <v>3143</v>
      </c>
      <c r="C962" s="55"/>
      <c r="D962" s="507"/>
      <c r="E962" s="504"/>
      <c r="F962" s="504"/>
      <c r="G962" s="504"/>
      <c r="H962" s="504"/>
      <c r="I962" s="501"/>
      <c r="J962" s="512"/>
      <c r="K962" s="506"/>
      <c r="L962" s="504"/>
      <c r="M962" s="504"/>
      <c r="N962" s="504"/>
      <c r="O962" s="504"/>
      <c r="P962" s="504"/>
    </row>
    <row r="963" spans="1:16" ht="15.75" customHeight="1">
      <c r="A963" s="737" t="s">
        <v>2686</v>
      </c>
      <c r="B963" s="731" t="s">
        <v>3144</v>
      </c>
      <c r="C963" s="55"/>
      <c r="D963" s="507"/>
      <c r="E963" s="504"/>
      <c r="F963" s="504"/>
      <c r="G963" s="504"/>
      <c r="H963" s="504"/>
      <c r="I963" s="501"/>
      <c r="J963" s="513"/>
      <c r="K963" s="506"/>
      <c r="L963" s="504"/>
      <c r="M963" s="504"/>
      <c r="N963" s="504"/>
      <c r="O963" s="504"/>
      <c r="P963" s="504"/>
    </row>
    <row r="964" spans="1:16" ht="15.75" customHeight="1">
      <c r="A964" s="737" t="s">
        <v>2686</v>
      </c>
      <c r="B964" s="731" t="s">
        <v>3145</v>
      </c>
      <c r="C964" s="55"/>
      <c r="D964" s="507"/>
      <c r="E964" s="504"/>
      <c r="F964" s="504"/>
      <c r="G964" s="504"/>
      <c r="H964" s="504"/>
      <c r="I964" s="501"/>
      <c r="J964" s="513"/>
      <c r="K964" s="506"/>
      <c r="L964" s="504"/>
      <c r="M964" s="504"/>
      <c r="N964" s="504"/>
      <c r="O964" s="504"/>
      <c r="P964" s="504"/>
    </row>
    <row r="965" spans="1:16" ht="15.75" customHeight="1">
      <c r="A965" s="737" t="s">
        <v>2686</v>
      </c>
      <c r="B965" s="731" t="s">
        <v>3146</v>
      </c>
      <c r="C965" s="55"/>
      <c r="D965" s="507"/>
      <c r="E965" s="504"/>
      <c r="F965" s="504"/>
      <c r="G965" s="504"/>
      <c r="H965" s="504"/>
      <c r="I965" s="501"/>
      <c r="J965" s="513"/>
      <c r="K965" s="506"/>
      <c r="L965" s="504"/>
      <c r="M965" s="504"/>
      <c r="N965" s="504"/>
      <c r="O965" s="504"/>
      <c r="P965" s="504"/>
    </row>
    <row r="966" spans="1:16" ht="15.75" customHeight="1">
      <c r="A966" s="737" t="s">
        <v>2686</v>
      </c>
      <c r="B966" s="731" t="s">
        <v>2680</v>
      </c>
      <c r="C966" s="55"/>
      <c r="D966" s="507"/>
      <c r="E966" s="504"/>
      <c r="F966" s="504"/>
      <c r="G966" s="504"/>
      <c r="H966" s="504"/>
      <c r="I966" s="501"/>
      <c r="J966" s="514"/>
      <c r="K966" s="506"/>
      <c r="L966" s="504"/>
      <c r="M966" s="504"/>
      <c r="N966" s="504"/>
      <c r="O966" s="504"/>
      <c r="P966" s="504"/>
    </row>
    <row r="967" spans="1:16" ht="15.75" customHeight="1">
      <c r="A967" s="738" t="s">
        <v>2691</v>
      </c>
      <c r="B967" s="731" t="s">
        <v>3147</v>
      </c>
      <c r="C967" s="55"/>
      <c r="D967" s="507"/>
      <c r="E967" s="504"/>
      <c r="F967" s="504"/>
      <c r="G967" s="504"/>
      <c r="H967" s="504"/>
      <c r="I967" s="501"/>
      <c r="J967" s="514"/>
      <c r="K967" s="506"/>
      <c r="L967" s="504"/>
      <c r="M967" s="504"/>
      <c r="N967" s="504"/>
      <c r="O967" s="504"/>
      <c r="P967" s="504"/>
    </row>
    <row r="968" spans="1:16" ht="15.75" customHeight="1">
      <c r="A968" s="738" t="s">
        <v>2691</v>
      </c>
      <c r="B968" s="731" t="s">
        <v>2680</v>
      </c>
      <c r="C968" s="55"/>
      <c r="D968" s="507"/>
      <c r="E968" s="504"/>
      <c r="F968" s="504"/>
      <c r="G968" s="504"/>
      <c r="H968" s="504"/>
      <c r="I968" s="501"/>
      <c r="J968" s="514"/>
      <c r="K968" s="506"/>
      <c r="L968" s="504"/>
      <c r="M968" s="504"/>
      <c r="N968" s="504"/>
      <c r="O968" s="504"/>
      <c r="P968" s="504"/>
    </row>
    <row r="969" spans="1:16" ht="15.75" customHeight="1">
      <c r="A969" s="739" t="s">
        <v>2693</v>
      </c>
      <c r="B969" s="731" t="s">
        <v>2680</v>
      </c>
      <c r="C969" s="55"/>
      <c r="D969" s="507"/>
      <c r="E969" s="504"/>
      <c r="F969" s="504"/>
      <c r="G969" s="504"/>
      <c r="H969" s="504"/>
      <c r="I969" s="501"/>
      <c r="J969" s="514"/>
      <c r="K969" s="506"/>
      <c r="L969" s="504"/>
      <c r="M969" s="504"/>
      <c r="N969" s="504"/>
      <c r="O969" s="504"/>
      <c r="P969" s="504"/>
    </row>
    <row r="970" spans="1:16" ht="15.75" customHeight="1">
      <c r="A970" s="730"/>
      <c r="B970" s="559"/>
      <c r="C970" s="55"/>
      <c r="D970" s="507"/>
      <c r="E970" s="504"/>
      <c r="F970" s="504"/>
      <c r="G970" s="504"/>
      <c r="H970" s="504"/>
      <c r="I970" s="501"/>
      <c r="J970" s="511"/>
      <c r="K970" s="506"/>
      <c r="L970" s="504"/>
      <c r="M970" s="504"/>
      <c r="N970" s="504"/>
      <c r="O970" s="504"/>
      <c r="P970" s="504"/>
    </row>
    <row r="971" spans="1:16" ht="15.75" customHeight="1">
      <c r="A971" s="729" t="s">
        <v>3148</v>
      </c>
      <c r="B971" s="731" t="s">
        <v>2674</v>
      </c>
      <c r="C971" s="55"/>
      <c r="D971" s="507"/>
      <c r="E971" s="504"/>
      <c r="F971" s="504"/>
      <c r="G971" s="504"/>
      <c r="H971" s="504"/>
      <c r="I971" s="501"/>
      <c r="J971" s="511"/>
      <c r="K971" s="506"/>
      <c r="L971" s="504"/>
      <c r="M971" s="504"/>
      <c r="N971" s="504"/>
      <c r="O971" s="504"/>
      <c r="P971" s="504"/>
    </row>
    <row r="972" spans="1:16" ht="15.75" customHeight="1">
      <c r="A972" s="732" t="s">
        <v>2675</v>
      </c>
      <c r="B972" s="731" t="s">
        <v>3149</v>
      </c>
      <c r="C972" s="55"/>
      <c r="D972" s="507"/>
      <c r="E972" s="504"/>
      <c r="F972" s="504"/>
      <c r="G972" s="504"/>
      <c r="H972" s="504"/>
      <c r="I972" s="501"/>
      <c r="J972" s="511"/>
      <c r="K972" s="506"/>
      <c r="L972" s="504"/>
      <c r="M972" s="504"/>
      <c r="N972" s="504"/>
      <c r="O972" s="504"/>
      <c r="P972" s="504"/>
    </row>
    <row r="973" spans="1:16" ht="15.75" customHeight="1">
      <c r="A973" s="732" t="s">
        <v>2675</v>
      </c>
      <c r="B973" s="731" t="s">
        <v>2680</v>
      </c>
      <c r="C973" s="55"/>
      <c r="D973" s="507"/>
      <c r="E973" s="504"/>
      <c r="F973" s="504"/>
      <c r="G973" s="504"/>
      <c r="H973" s="504"/>
      <c r="I973" s="501"/>
      <c r="J973" s="511"/>
      <c r="K973" s="506"/>
      <c r="L973" s="504"/>
      <c r="M973" s="504"/>
      <c r="N973" s="504"/>
      <c r="O973" s="504"/>
      <c r="P973" s="504"/>
    </row>
    <row r="974" spans="1:16">
      <c r="A974" s="733" t="s">
        <v>5723</v>
      </c>
      <c r="B974" s="731" t="s">
        <v>2680</v>
      </c>
      <c r="C974" s="55"/>
      <c r="D974" s="507"/>
      <c r="E974" s="504"/>
      <c r="F974" s="504"/>
      <c r="G974" s="504"/>
      <c r="H974" s="504"/>
      <c r="I974" s="501"/>
      <c r="J974" s="511"/>
      <c r="K974" s="506"/>
      <c r="L974" s="504"/>
      <c r="M974" s="504"/>
      <c r="N974" s="504"/>
      <c r="O974" s="504"/>
      <c r="P974" s="504"/>
    </row>
    <row r="975" spans="1:16" ht="15.75" customHeight="1">
      <c r="A975" s="733" t="s">
        <v>5723</v>
      </c>
      <c r="B975" s="731" t="s">
        <v>2680</v>
      </c>
      <c r="C975" s="55"/>
      <c r="D975" s="507"/>
      <c r="E975" s="504"/>
      <c r="F975" s="504"/>
      <c r="G975" s="504"/>
      <c r="H975" s="504"/>
      <c r="I975" s="501"/>
      <c r="J975" s="515"/>
      <c r="K975" s="506"/>
      <c r="L975" s="504"/>
      <c r="M975" s="504"/>
      <c r="N975" s="504"/>
      <c r="O975" s="504"/>
      <c r="P975" s="504"/>
    </row>
    <row r="976" spans="1:16" ht="15.75" customHeight="1">
      <c r="A976" s="734" t="s">
        <v>2677</v>
      </c>
      <c r="B976" s="731" t="s">
        <v>2680</v>
      </c>
      <c r="C976" s="55"/>
      <c r="D976" s="507"/>
      <c r="E976" s="504"/>
      <c r="F976" s="504"/>
      <c r="G976" s="504"/>
      <c r="H976" s="504"/>
      <c r="I976" s="501"/>
      <c r="J976" s="515"/>
      <c r="K976" s="506"/>
      <c r="L976" s="504"/>
      <c r="M976" s="504"/>
      <c r="N976" s="504"/>
      <c r="O976" s="504"/>
      <c r="P976" s="504"/>
    </row>
    <row r="977" spans="1:16" ht="15.75" customHeight="1">
      <c r="A977" s="734" t="s">
        <v>2677</v>
      </c>
      <c r="B977" s="731" t="s">
        <v>3150</v>
      </c>
      <c r="C977" s="55"/>
      <c r="D977" s="507"/>
      <c r="E977" s="504"/>
      <c r="F977" s="504"/>
      <c r="G977" s="504"/>
      <c r="H977" s="504"/>
      <c r="I977" s="501"/>
      <c r="J977" s="516"/>
      <c r="K977" s="506"/>
      <c r="L977" s="504"/>
      <c r="M977" s="504"/>
      <c r="N977" s="504"/>
      <c r="O977" s="504"/>
      <c r="P977" s="504"/>
    </row>
    <row r="978" spans="1:16" ht="15.75" customHeight="1">
      <c r="A978" s="734" t="s">
        <v>2677</v>
      </c>
      <c r="B978" s="731" t="s">
        <v>2680</v>
      </c>
      <c r="C978" s="55"/>
      <c r="D978" s="507"/>
      <c r="E978" s="504"/>
      <c r="F978" s="504"/>
      <c r="G978" s="504"/>
      <c r="H978" s="504"/>
      <c r="I978" s="501"/>
      <c r="J978" s="511"/>
      <c r="K978" s="506"/>
      <c r="L978" s="504"/>
      <c r="M978" s="504"/>
      <c r="N978" s="504"/>
      <c r="O978" s="504"/>
      <c r="P978" s="504"/>
    </row>
    <row r="979" spans="1:16" ht="15.45">
      <c r="A979" s="735" t="s">
        <v>2681</v>
      </c>
      <c r="B979" s="731" t="s">
        <v>3151</v>
      </c>
      <c r="C979" s="55"/>
      <c r="D979" s="507"/>
      <c r="E979" s="504"/>
      <c r="F979" s="504"/>
      <c r="G979" s="504"/>
      <c r="H979" s="504"/>
      <c r="I979" s="501"/>
      <c r="J979" s="517"/>
      <c r="K979" s="506"/>
      <c r="L979" s="504"/>
      <c r="M979" s="504"/>
      <c r="N979" s="504"/>
      <c r="O979" s="504"/>
      <c r="P979" s="504"/>
    </row>
    <row r="980" spans="1:16" ht="15.75" customHeight="1">
      <c r="A980" s="735" t="s">
        <v>2681</v>
      </c>
      <c r="B980" s="731" t="s">
        <v>3152</v>
      </c>
      <c r="C980" s="55"/>
      <c r="D980" s="507"/>
      <c r="E980" s="504"/>
      <c r="F980" s="504"/>
      <c r="G980" s="504"/>
      <c r="H980" s="504"/>
      <c r="I980" s="501"/>
      <c r="J980" s="512"/>
      <c r="K980" s="506"/>
      <c r="L980" s="504"/>
      <c r="M980" s="504"/>
      <c r="N980" s="504"/>
      <c r="O980" s="504"/>
      <c r="P980" s="504"/>
    </row>
    <row r="981" spans="1:16" ht="15.75" customHeight="1">
      <c r="A981" s="735" t="s">
        <v>2681</v>
      </c>
      <c r="B981" s="731" t="s">
        <v>2680</v>
      </c>
      <c r="C981" s="55"/>
      <c r="D981" s="507"/>
      <c r="E981" s="504"/>
      <c r="F981" s="504"/>
      <c r="G981" s="504"/>
      <c r="H981" s="504"/>
      <c r="I981" s="501"/>
      <c r="J981" s="512"/>
      <c r="K981" s="506"/>
      <c r="L981" s="504"/>
      <c r="M981" s="504"/>
      <c r="N981" s="504"/>
      <c r="O981" s="504"/>
      <c r="P981" s="504"/>
    </row>
    <row r="982" spans="1:16" ht="15.75" customHeight="1">
      <c r="A982" s="735" t="s">
        <v>2681</v>
      </c>
      <c r="B982" s="731" t="s">
        <v>2680</v>
      </c>
      <c r="C982" s="55"/>
      <c r="D982" s="507"/>
      <c r="E982" s="504"/>
      <c r="F982" s="504"/>
      <c r="G982" s="504"/>
      <c r="H982" s="504"/>
      <c r="I982" s="501"/>
      <c r="J982" s="513"/>
      <c r="K982" s="506"/>
      <c r="L982" s="504"/>
      <c r="M982" s="504"/>
      <c r="N982" s="504"/>
      <c r="O982" s="504"/>
      <c r="P982" s="504"/>
    </row>
    <row r="983" spans="1:16" ht="15.75" customHeight="1">
      <c r="A983" s="737" t="s">
        <v>2686</v>
      </c>
      <c r="B983" s="731" t="s">
        <v>3153</v>
      </c>
      <c r="C983" s="55"/>
      <c r="D983" s="507"/>
      <c r="E983" s="504"/>
      <c r="F983" s="504"/>
      <c r="G983" s="504"/>
      <c r="H983" s="504"/>
      <c r="I983" s="501"/>
      <c r="J983" s="513"/>
      <c r="K983" s="506"/>
      <c r="L983" s="504"/>
      <c r="M983" s="504"/>
      <c r="N983" s="504"/>
      <c r="O983" s="504"/>
      <c r="P983" s="504"/>
    </row>
    <row r="984" spans="1:16" ht="15.75" customHeight="1">
      <c r="A984" s="737" t="s">
        <v>2686</v>
      </c>
      <c r="B984" s="731" t="s">
        <v>3154</v>
      </c>
      <c r="C984" s="55"/>
      <c r="D984" s="507"/>
      <c r="E984" s="504"/>
      <c r="F984" s="504"/>
      <c r="G984" s="504"/>
      <c r="H984" s="504"/>
      <c r="I984" s="501"/>
      <c r="J984" s="513"/>
      <c r="K984" s="506"/>
      <c r="L984" s="504"/>
      <c r="M984" s="504"/>
      <c r="N984" s="504"/>
      <c r="O984" s="504"/>
      <c r="P984" s="504"/>
    </row>
    <row r="985" spans="1:16" ht="15.75" customHeight="1">
      <c r="A985" s="737" t="s">
        <v>2686</v>
      </c>
      <c r="B985" s="731" t="s">
        <v>3155</v>
      </c>
      <c r="C985" s="55"/>
      <c r="D985" s="507"/>
      <c r="E985" s="504"/>
      <c r="F985" s="504"/>
      <c r="G985" s="504"/>
      <c r="H985" s="504"/>
      <c r="I985" s="501"/>
      <c r="J985" s="514"/>
      <c r="K985" s="506"/>
      <c r="L985" s="504"/>
      <c r="M985" s="504"/>
      <c r="N985" s="504"/>
      <c r="O985" s="504"/>
      <c r="P985" s="504"/>
    </row>
    <row r="986" spans="1:16" ht="15.75" customHeight="1">
      <c r="A986" s="737" t="s">
        <v>2686</v>
      </c>
      <c r="B986" s="731" t="s">
        <v>2680</v>
      </c>
      <c r="C986" s="55"/>
      <c r="D986" s="507"/>
      <c r="E986" s="504"/>
      <c r="F986" s="504"/>
      <c r="G986" s="504"/>
      <c r="H986" s="504"/>
      <c r="I986" s="501"/>
      <c r="J986" s="514"/>
      <c r="K986" s="506"/>
      <c r="L986" s="504"/>
      <c r="M986" s="504"/>
      <c r="N986" s="504"/>
      <c r="O986" s="504"/>
      <c r="P986" s="504"/>
    </row>
    <row r="987" spans="1:16" ht="15.75" customHeight="1">
      <c r="A987" s="737" t="s">
        <v>2686</v>
      </c>
      <c r="B987" s="731" t="s">
        <v>2680</v>
      </c>
      <c r="C987" s="55"/>
      <c r="D987" s="507"/>
      <c r="E987" s="504"/>
      <c r="F987" s="504"/>
      <c r="G987" s="504"/>
      <c r="H987" s="504"/>
      <c r="I987" s="501"/>
      <c r="J987" s="514"/>
      <c r="K987" s="506"/>
      <c r="L987" s="504"/>
      <c r="M987" s="504"/>
      <c r="N987" s="504"/>
      <c r="O987" s="504"/>
      <c r="P987" s="504"/>
    </row>
    <row r="988" spans="1:16" ht="15.75" customHeight="1">
      <c r="A988" s="738" t="s">
        <v>2691</v>
      </c>
      <c r="B988" s="731" t="s">
        <v>3156</v>
      </c>
      <c r="C988" s="55"/>
      <c r="D988" s="507"/>
      <c r="E988" s="504"/>
      <c r="F988" s="504"/>
      <c r="G988" s="504"/>
      <c r="H988" s="504"/>
      <c r="I988" s="501"/>
      <c r="J988" s="514"/>
      <c r="K988" s="506"/>
      <c r="L988" s="504"/>
      <c r="M988" s="504"/>
      <c r="N988" s="504"/>
      <c r="O988" s="504"/>
      <c r="P988" s="504"/>
    </row>
    <row r="989" spans="1:16" ht="15.75" customHeight="1">
      <c r="A989" s="738" t="s">
        <v>2691</v>
      </c>
      <c r="B989" s="731" t="s">
        <v>2680</v>
      </c>
      <c r="C989" s="55"/>
      <c r="D989" s="507"/>
      <c r="E989" s="504"/>
      <c r="F989" s="504"/>
      <c r="G989" s="504"/>
      <c r="H989" s="504"/>
      <c r="I989" s="501"/>
      <c r="J989" s="511"/>
      <c r="K989" s="506"/>
      <c r="L989" s="504"/>
      <c r="M989" s="504"/>
      <c r="N989" s="504"/>
      <c r="O989" s="504"/>
      <c r="P989" s="504"/>
    </row>
    <row r="990" spans="1:16" ht="15.75" customHeight="1">
      <c r="A990" s="739" t="s">
        <v>2693</v>
      </c>
      <c r="B990" s="731" t="s">
        <v>2680</v>
      </c>
      <c r="C990" s="55"/>
      <c r="D990" s="507"/>
      <c r="E990" s="504"/>
      <c r="F990" s="504"/>
      <c r="G990" s="504"/>
      <c r="H990" s="504"/>
      <c r="I990" s="501"/>
      <c r="J990" s="511"/>
      <c r="K990" s="506"/>
      <c r="L990" s="504"/>
      <c r="M990" s="504"/>
      <c r="N990" s="504"/>
      <c r="O990" s="504"/>
      <c r="P990" s="504"/>
    </row>
    <row r="991" spans="1:16" ht="15.75" customHeight="1">
      <c r="A991" s="742"/>
      <c r="B991" s="559"/>
      <c r="C991" s="55"/>
      <c r="D991" s="507"/>
      <c r="E991" s="504"/>
      <c r="F991" s="504"/>
      <c r="G991" s="504"/>
      <c r="H991" s="504"/>
      <c r="I991" s="501"/>
      <c r="J991" s="511"/>
      <c r="K991" s="506"/>
      <c r="L991" s="504"/>
      <c r="M991" s="504"/>
      <c r="N991" s="504"/>
      <c r="O991" s="504"/>
      <c r="P991" s="504"/>
    </row>
    <row r="992" spans="1:16" ht="15.75" customHeight="1">
      <c r="A992" s="729" t="s">
        <v>3157</v>
      </c>
      <c r="B992" s="731" t="s">
        <v>2674</v>
      </c>
      <c r="C992" s="55"/>
      <c r="D992" s="507"/>
      <c r="E992" s="504"/>
      <c r="F992" s="504"/>
      <c r="G992" s="504"/>
      <c r="H992" s="504"/>
      <c r="I992" s="501"/>
      <c r="J992" s="511"/>
      <c r="K992" s="506"/>
      <c r="L992" s="504"/>
      <c r="M992" s="504"/>
      <c r="N992" s="504"/>
      <c r="O992" s="504"/>
      <c r="P992" s="504"/>
    </row>
    <row r="993" spans="1:16">
      <c r="A993" s="732" t="s">
        <v>2675</v>
      </c>
      <c r="B993" s="731" t="s">
        <v>2680</v>
      </c>
      <c r="C993" s="55"/>
      <c r="D993" s="507"/>
      <c r="E993" s="504"/>
      <c r="F993" s="504"/>
      <c r="G993" s="504"/>
      <c r="H993" s="504"/>
      <c r="I993" s="501"/>
      <c r="J993" s="511"/>
      <c r="K993" s="506"/>
      <c r="L993" s="504"/>
      <c r="M993" s="504"/>
      <c r="N993" s="504"/>
      <c r="O993" s="504"/>
      <c r="P993" s="504"/>
    </row>
    <row r="994" spans="1:16" ht="15.75" customHeight="1">
      <c r="A994" s="732" t="s">
        <v>2675</v>
      </c>
      <c r="B994" s="731" t="s">
        <v>3158</v>
      </c>
      <c r="C994" s="55"/>
      <c r="D994" s="507"/>
      <c r="E994" s="504"/>
      <c r="F994" s="504"/>
      <c r="G994" s="504"/>
      <c r="H994" s="504"/>
      <c r="I994" s="501"/>
      <c r="J994" s="515"/>
      <c r="K994" s="506"/>
      <c r="L994" s="504"/>
      <c r="M994" s="504"/>
      <c r="N994" s="504"/>
      <c r="O994" s="504"/>
      <c r="P994" s="504"/>
    </row>
    <row r="995" spans="1:16" ht="15.75" customHeight="1">
      <c r="A995" s="733" t="s">
        <v>5723</v>
      </c>
      <c r="B995" s="731" t="s">
        <v>6625</v>
      </c>
      <c r="C995" s="55"/>
      <c r="D995" s="507"/>
      <c r="E995" s="504"/>
      <c r="F995" s="504"/>
      <c r="G995" s="504"/>
      <c r="H995" s="504"/>
      <c r="I995" s="501"/>
      <c r="J995" s="515"/>
      <c r="K995" s="506"/>
      <c r="L995" s="504"/>
      <c r="M995" s="504"/>
      <c r="N995" s="504"/>
      <c r="O995" s="504"/>
      <c r="P995" s="504"/>
    </row>
    <row r="996" spans="1:16" ht="15.75" customHeight="1">
      <c r="A996" s="733" t="s">
        <v>5723</v>
      </c>
      <c r="B996" s="731" t="s">
        <v>2680</v>
      </c>
      <c r="C996" s="55"/>
      <c r="D996" s="507"/>
      <c r="E996" s="504"/>
      <c r="F996" s="504"/>
      <c r="G996" s="504"/>
      <c r="H996" s="504"/>
      <c r="I996" s="501"/>
      <c r="J996" s="516"/>
      <c r="K996" s="506"/>
      <c r="L996" s="504"/>
      <c r="M996" s="504"/>
      <c r="N996" s="504"/>
      <c r="O996" s="504"/>
      <c r="P996" s="504"/>
    </row>
    <row r="997" spans="1:16" ht="15.75" customHeight="1">
      <c r="A997" s="734" t="s">
        <v>2677</v>
      </c>
      <c r="B997" s="731" t="s">
        <v>3159</v>
      </c>
      <c r="C997" s="55"/>
      <c r="D997" s="507"/>
      <c r="E997" s="504"/>
      <c r="F997" s="504"/>
      <c r="G997" s="504"/>
      <c r="H997" s="504"/>
      <c r="I997" s="501"/>
      <c r="J997" s="511"/>
      <c r="K997" s="506"/>
      <c r="L997" s="504"/>
      <c r="M997" s="504"/>
      <c r="N997" s="504"/>
      <c r="O997" s="504"/>
      <c r="P997" s="504"/>
    </row>
    <row r="998" spans="1:16" ht="15.75" customHeight="1">
      <c r="A998" s="734" t="s">
        <v>2677</v>
      </c>
      <c r="B998" s="731" t="s">
        <v>3160</v>
      </c>
      <c r="C998" s="55"/>
      <c r="D998" s="507"/>
      <c r="E998" s="504"/>
      <c r="F998" s="504"/>
      <c r="G998" s="504"/>
      <c r="H998" s="504"/>
      <c r="I998" s="518"/>
      <c r="J998" s="519"/>
      <c r="K998" s="506"/>
      <c r="L998" s="504"/>
      <c r="M998" s="504"/>
      <c r="N998" s="504"/>
      <c r="O998" s="504"/>
      <c r="P998" s="504"/>
    </row>
    <row r="999" spans="1:16" ht="15.75" customHeight="1">
      <c r="A999" s="734" t="s">
        <v>2677</v>
      </c>
      <c r="B999" s="731" t="s">
        <v>3161</v>
      </c>
      <c r="C999" s="55"/>
      <c r="D999" s="507"/>
      <c r="E999" s="504"/>
      <c r="F999" s="504"/>
      <c r="G999" s="504"/>
      <c r="H999" s="504"/>
      <c r="I999" s="501"/>
      <c r="J999" s="505"/>
      <c r="K999" s="506"/>
      <c r="L999" s="504"/>
      <c r="M999" s="504"/>
      <c r="N999" s="504"/>
      <c r="O999" s="504"/>
      <c r="P999" s="504"/>
    </row>
    <row r="1000" spans="1:16" ht="15.45">
      <c r="A1000" s="735" t="s">
        <v>2681</v>
      </c>
      <c r="B1000" s="731" t="s">
        <v>2680</v>
      </c>
      <c r="C1000" s="55"/>
      <c r="D1000" s="507"/>
      <c r="E1000" s="504"/>
      <c r="F1000" s="504"/>
      <c r="G1000" s="504"/>
      <c r="H1000" s="504"/>
      <c r="I1000" s="501"/>
      <c r="J1000" s="517"/>
      <c r="K1000" s="506"/>
      <c r="L1000" s="504"/>
      <c r="M1000" s="504"/>
      <c r="N1000" s="504"/>
      <c r="O1000" s="504"/>
      <c r="P1000" s="504"/>
    </row>
    <row r="1001" spans="1:16" ht="15.75" customHeight="1">
      <c r="A1001" s="735" t="s">
        <v>2681</v>
      </c>
      <c r="B1001" s="731" t="s">
        <v>3162</v>
      </c>
      <c r="C1001" s="55"/>
      <c r="D1001" s="507"/>
      <c r="E1001" s="504"/>
      <c r="F1001" s="504"/>
      <c r="G1001" s="504"/>
      <c r="H1001" s="504"/>
      <c r="I1001" s="501"/>
      <c r="J1001" s="512"/>
      <c r="K1001" s="506"/>
      <c r="L1001" s="504"/>
      <c r="M1001" s="504"/>
      <c r="N1001" s="504"/>
      <c r="O1001" s="504"/>
      <c r="P1001" s="504"/>
    </row>
    <row r="1002" spans="1:16" ht="15.75" customHeight="1">
      <c r="A1002" s="735" t="s">
        <v>2681</v>
      </c>
      <c r="B1002" s="731" t="s">
        <v>2680</v>
      </c>
      <c r="C1002" s="55"/>
      <c r="D1002" s="507"/>
      <c r="E1002" s="504"/>
      <c r="F1002" s="504"/>
      <c r="G1002" s="504"/>
      <c r="H1002" s="504"/>
      <c r="I1002" s="501"/>
      <c r="J1002" s="512"/>
      <c r="K1002" s="506"/>
      <c r="L1002" s="504"/>
      <c r="M1002" s="504"/>
      <c r="N1002" s="504"/>
      <c r="O1002" s="504"/>
      <c r="P1002" s="504"/>
    </row>
    <row r="1003" spans="1:16" ht="15.75" customHeight="1">
      <c r="A1003" s="735" t="s">
        <v>2681</v>
      </c>
      <c r="B1003" s="731" t="s">
        <v>2680</v>
      </c>
      <c r="C1003" s="55"/>
      <c r="D1003" s="507"/>
      <c r="E1003" s="504"/>
      <c r="F1003" s="504"/>
      <c r="G1003" s="504"/>
      <c r="H1003" s="504"/>
      <c r="I1003" s="501"/>
      <c r="J1003" s="512"/>
      <c r="K1003" s="506"/>
      <c r="L1003" s="504"/>
      <c r="M1003" s="504"/>
      <c r="N1003" s="504"/>
      <c r="O1003" s="504"/>
      <c r="P1003" s="504"/>
    </row>
    <row r="1004" spans="1:16" ht="15.75" customHeight="1">
      <c r="A1004" s="737" t="s">
        <v>2686</v>
      </c>
      <c r="B1004" s="731" t="s">
        <v>3163</v>
      </c>
      <c r="C1004" s="55"/>
      <c r="D1004" s="507"/>
      <c r="E1004" s="504"/>
      <c r="F1004" s="504"/>
      <c r="G1004" s="504"/>
      <c r="H1004" s="504"/>
      <c r="I1004" s="501"/>
      <c r="J1004" s="512"/>
      <c r="K1004" s="506"/>
      <c r="L1004" s="504"/>
      <c r="M1004" s="504"/>
      <c r="N1004" s="504"/>
      <c r="O1004" s="504"/>
      <c r="P1004" s="504"/>
    </row>
    <row r="1005" spans="1:16" ht="15.75" customHeight="1">
      <c r="A1005" s="737" t="s">
        <v>2686</v>
      </c>
      <c r="B1005" s="731" t="s">
        <v>2680</v>
      </c>
      <c r="C1005" s="55"/>
      <c r="D1005" s="507"/>
      <c r="E1005" s="504"/>
      <c r="F1005" s="504"/>
      <c r="G1005" s="504"/>
      <c r="H1005" s="504"/>
      <c r="I1005" s="501"/>
      <c r="J1005" s="512"/>
      <c r="K1005" s="506"/>
      <c r="L1005" s="504"/>
      <c r="M1005" s="504"/>
      <c r="N1005" s="504"/>
      <c r="O1005" s="504"/>
      <c r="P1005" s="504"/>
    </row>
    <row r="1006" spans="1:16" ht="15.75" customHeight="1">
      <c r="A1006" s="737" t="s">
        <v>2686</v>
      </c>
      <c r="B1006" s="731" t="s">
        <v>3164</v>
      </c>
      <c r="C1006" s="55"/>
      <c r="D1006" s="507"/>
      <c r="E1006" s="504"/>
      <c r="F1006" s="504"/>
      <c r="G1006" s="504"/>
      <c r="H1006" s="504"/>
      <c r="I1006" s="501"/>
      <c r="J1006" s="512"/>
      <c r="K1006" s="506"/>
      <c r="L1006" s="504"/>
      <c r="M1006" s="504"/>
      <c r="N1006" s="504"/>
      <c r="O1006" s="504"/>
      <c r="P1006" s="504"/>
    </row>
    <row r="1007" spans="1:16" ht="15.75" customHeight="1">
      <c r="A1007" s="737" t="s">
        <v>2686</v>
      </c>
      <c r="B1007" s="731" t="s">
        <v>3165</v>
      </c>
      <c r="C1007" s="55"/>
      <c r="D1007" s="507"/>
      <c r="E1007" s="504"/>
      <c r="F1007" s="504"/>
      <c r="G1007" s="504"/>
      <c r="H1007" s="504"/>
      <c r="I1007" s="501"/>
      <c r="J1007" s="512"/>
      <c r="K1007" s="506"/>
      <c r="L1007" s="504"/>
      <c r="M1007" s="504"/>
      <c r="N1007" s="504"/>
      <c r="O1007" s="504"/>
      <c r="P1007" s="504"/>
    </row>
    <row r="1008" spans="1:16" ht="15.75" customHeight="1">
      <c r="A1008" s="737" t="s">
        <v>2686</v>
      </c>
      <c r="B1008" s="731" t="s">
        <v>2680</v>
      </c>
      <c r="C1008" s="55"/>
      <c r="D1008" s="507"/>
      <c r="E1008" s="504"/>
      <c r="F1008" s="504"/>
      <c r="G1008" s="504"/>
      <c r="H1008" s="504"/>
      <c r="I1008" s="501"/>
      <c r="J1008" s="512"/>
      <c r="K1008" s="506"/>
      <c r="L1008" s="504"/>
      <c r="M1008" s="504"/>
      <c r="N1008" s="504"/>
      <c r="O1008" s="504"/>
      <c r="P1008" s="504"/>
    </row>
    <row r="1009" spans="1:16" ht="15.75" customHeight="1">
      <c r="A1009" s="738" t="s">
        <v>2691</v>
      </c>
      <c r="B1009" s="731" t="s">
        <v>3166</v>
      </c>
      <c r="C1009" s="55"/>
      <c r="D1009" s="507"/>
      <c r="E1009" s="504"/>
      <c r="F1009" s="504"/>
      <c r="G1009" s="504"/>
      <c r="H1009" s="504"/>
      <c r="I1009" s="501"/>
      <c r="J1009" s="512"/>
      <c r="K1009" s="506"/>
      <c r="L1009" s="504"/>
      <c r="M1009" s="504"/>
      <c r="N1009" s="504"/>
      <c r="O1009" s="504"/>
      <c r="P1009" s="504"/>
    </row>
    <row r="1010" spans="1:16" ht="15.75" customHeight="1">
      <c r="A1010" s="738" t="s">
        <v>2691</v>
      </c>
      <c r="B1010" s="731" t="s">
        <v>2680</v>
      </c>
      <c r="C1010" s="55"/>
      <c r="D1010" s="507"/>
      <c r="E1010" s="504"/>
      <c r="F1010" s="504"/>
      <c r="G1010" s="504"/>
      <c r="H1010" s="504"/>
      <c r="I1010" s="501"/>
      <c r="J1010" s="512"/>
      <c r="K1010" s="506"/>
      <c r="L1010" s="504"/>
      <c r="M1010" s="504"/>
      <c r="N1010" s="504"/>
      <c r="O1010" s="504"/>
      <c r="P1010" s="504"/>
    </row>
    <row r="1011" spans="1:16" ht="15.75" customHeight="1">
      <c r="A1011" s="739" t="s">
        <v>2693</v>
      </c>
      <c r="B1011" s="731" t="s">
        <v>2680</v>
      </c>
      <c r="C1011" s="55"/>
      <c r="D1011" s="507"/>
      <c r="E1011" s="504"/>
      <c r="F1011" s="504"/>
      <c r="G1011" s="504"/>
      <c r="H1011" s="504"/>
      <c r="I1011" s="501"/>
      <c r="J1011" s="513"/>
      <c r="K1011" s="506"/>
      <c r="L1011" s="504"/>
      <c r="M1011" s="504"/>
      <c r="N1011" s="504"/>
      <c r="O1011" s="504"/>
      <c r="P1011" s="504"/>
    </row>
    <row r="1012" spans="1:16">
      <c r="A1012" s="730"/>
      <c r="B1012" s="559"/>
      <c r="C1012" s="55"/>
      <c r="D1012" s="507"/>
      <c r="E1012" s="504"/>
      <c r="F1012" s="504"/>
      <c r="G1012" s="504"/>
      <c r="H1012" s="504"/>
      <c r="I1012" s="501"/>
      <c r="J1012" s="513"/>
      <c r="K1012" s="506"/>
      <c r="L1012" s="504"/>
      <c r="M1012" s="504"/>
      <c r="N1012" s="504"/>
      <c r="O1012" s="504"/>
      <c r="P1012" s="504"/>
    </row>
    <row r="1013" spans="1:16" ht="15.75" customHeight="1">
      <c r="A1013" s="729" t="s">
        <v>3167</v>
      </c>
      <c r="B1013" s="731" t="s">
        <v>2943</v>
      </c>
      <c r="C1013" s="55"/>
      <c r="D1013" s="507"/>
      <c r="E1013" s="504"/>
      <c r="F1013" s="504"/>
      <c r="G1013" s="504"/>
      <c r="H1013" s="504"/>
      <c r="I1013" s="501"/>
      <c r="J1013" s="513"/>
      <c r="K1013" s="506"/>
      <c r="L1013" s="504"/>
      <c r="M1013" s="504"/>
      <c r="N1013" s="504"/>
      <c r="O1013" s="504"/>
      <c r="P1013" s="504"/>
    </row>
    <row r="1014" spans="1:16" ht="15.75" customHeight="1">
      <c r="A1014" s="732" t="s">
        <v>2675</v>
      </c>
      <c r="B1014" s="731" t="s">
        <v>3168</v>
      </c>
      <c r="C1014" s="55"/>
      <c r="D1014" s="507"/>
      <c r="E1014" s="504"/>
      <c r="F1014" s="504"/>
      <c r="G1014" s="504"/>
      <c r="H1014" s="504"/>
      <c r="I1014" s="501"/>
      <c r="J1014" s="513"/>
      <c r="K1014" s="506"/>
      <c r="L1014" s="504"/>
      <c r="M1014" s="504"/>
      <c r="N1014" s="504"/>
      <c r="O1014" s="504"/>
      <c r="P1014" s="504"/>
    </row>
    <row r="1015" spans="1:16" ht="15.75" customHeight="1">
      <c r="A1015" s="732" t="s">
        <v>2675</v>
      </c>
      <c r="B1015" s="731" t="s">
        <v>2680</v>
      </c>
      <c r="C1015" s="55"/>
      <c r="D1015" s="507"/>
      <c r="E1015" s="504"/>
      <c r="F1015" s="504"/>
      <c r="G1015" s="504"/>
      <c r="H1015" s="504"/>
      <c r="I1015" s="501"/>
      <c r="J1015" s="513"/>
      <c r="K1015" s="506"/>
      <c r="L1015" s="504"/>
      <c r="M1015" s="504"/>
      <c r="N1015" s="504"/>
      <c r="O1015" s="504"/>
      <c r="P1015" s="504"/>
    </row>
    <row r="1016" spans="1:16" ht="15.75" customHeight="1">
      <c r="A1016" s="733" t="s">
        <v>5723</v>
      </c>
      <c r="B1016" s="731" t="s">
        <v>5786</v>
      </c>
      <c r="C1016" s="55"/>
      <c r="D1016" s="507"/>
      <c r="E1016" s="504"/>
      <c r="F1016" s="504"/>
      <c r="G1016" s="504"/>
      <c r="H1016" s="504"/>
      <c r="I1016" s="501"/>
      <c r="J1016" s="513"/>
      <c r="K1016" s="506"/>
      <c r="L1016" s="504"/>
      <c r="M1016" s="504"/>
      <c r="N1016" s="504"/>
      <c r="O1016" s="504"/>
      <c r="P1016" s="504"/>
    </row>
    <row r="1017" spans="1:16" ht="15.75" customHeight="1">
      <c r="A1017" s="733" t="s">
        <v>5723</v>
      </c>
      <c r="B1017" s="731" t="s">
        <v>2680</v>
      </c>
      <c r="C1017" s="55"/>
      <c r="D1017" s="507"/>
      <c r="E1017" s="504"/>
      <c r="F1017" s="504"/>
      <c r="G1017" s="504"/>
      <c r="H1017" s="504"/>
      <c r="I1017" s="501"/>
      <c r="J1017" s="513"/>
      <c r="K1017" s="506"/>
      <c r="L1017" s="504"/>
      <c r="M1017" s="504"/>
      <c r="N1017" s="504"/>
      <c r="O1017" s="504"/>
      <c r="P1017" s="504"/>
    </row>
    <row r="1018" spans="1:16" ht="15.75" customHeight="1">
      <c r="A1018" s="734" t="s">
        <v>2677</v>
      </c>
      <c r="B1018" s="731" t="s">
        <v>3169</v>
      </c>
      <c r="C1018" s="55"/>
      <c r="D1018" s="507"/>
      <c r="E1018" s="504"/>
      <c r="F1018" s="504"/>
      <c r="G1018" s="504"/>
      <c r="H1018" s="504"/>
      <c r="I1018" s="501"/>
      <c r="J1018" s="513"/>
      <c r="K1018" s="506"/>
      <c r="L1018" s="504"/>
      <c r="M1018" s="504"/>
      <c r="N1018" s="504"/>
      <c r="O1018" s="504"/>
      <c r="P1018" s="504"/>
    </row>
    <row r="1019" spans="1:16" ht="15.75" customHeight="1">
      <c r="A1019" s="734" t="s">
        <v>2677</v>
      </c>
      <c r="B1019" s="731" t="s">
        <v>3170</v>
      </c>
      <c r="C1019" s="55"/>
      <c r="D1019" s="507"/>
      <c r="E1019" s="504"/>
      <c r="F1019" s="504"/>
      <c r="G1019" s="504"/>
      <c r="H1019" s="504"/>
      <c r="I1019" s="501"/>
      <c r="J1019" s="513"/>
      <c r="K1019" s="506"/>
      <c r="L1019" s="504"/>
      <c r="M1019" s="504"/>
      <c r="N1019" s="504"/>
      <c r="O1019" s="504"/>
      <c r="P1019" s="504"/>
    </row>
    <row r="1020" spans="1:16" ht="15.75" customHeight="1">
      <c r="A1020" s="734" t="s">
        <v>2677</v>
      </c>
      <c r="B1020" s="731" t="s">
        <v>2680</v>
      </c>
      <c r="C1020" s="55"/>
      <c r="D1020" s="507"/>
      <c r="E1020" s="504"/>
      <c r="F1020" s="504"/>
      <c r="G1020" s="504"/>
      <c r="H1020" s="504"/>
      <c r="I1020" s="501"/>
      <c r="J1020" s="513"/>
      <c r="K1020" s="506"/>
      <c r="L1020" s="504"/>
      <c r="M1020" s="504"/>
      <c r="N1020" s="504"/>
      <c r="O1020" s="504"/>
      <c r="P1020" s="504"/>
    </row>
    <row r="1021" spans="1:16" ht="15.75" customHeight="1">
      <c r="A1021" s="735" t="s">
        <v>2681</v>
      </c>
      <c r="B1021" s="731" t="s">
        <v>3171</v>
      </c>
      <c r="C1021" s="55"/>
      <c r="D1021" s="507"/>
      <c r="E1021" s="504"/>
      <c r="F1021" s="504"/>
      <c r="G1021" s="504"/>
      <c r="H1021" s="504"/>
      <c r="I1021" s="501"/>
      <c r="J1021" s="514"/>
      <c r="K1021" s="506"/>
      <c r="L1021" s="504"/>
      <c r="M1021" s="504"/>
      <c r="N1021" s="504"/>
      <c r="O1021" s="504"/>
      <c r="P1021" s="504"/>
    </row>
    <row r="1022" spans="1:16" ht="15.75" customHeight="1">
      <c r="A1022" s="735" t="s">
        <v>2681</v>
      </c>
      <c r="B1022" s="731" t="s">
        <v>3172</v>
      </c>
      <c r="C1022" s="55"/>
      <c r="D1022" s="507"/>
      <c r="E1022" s="504"/>
      <c r="F1022" s="504"/>
      <c r="G1022" s="504"/>
      <c r="H1022" s="504"/>
      <c r="I1022" s="501"/>
      <c r="J1022" s="514"/>
      <c r="K1022" s="506"/>
      <c r="L1022" s="504"/>
      <c r="M1022" s="504"/>
      <c r="N1022" s="504"/>
      <c r="O1022" s="504"/>
      <c r="P1022" s="504"/>
    </row>
    <row r="1023" spans="1:16" ht="15.75" customHeight="1">
      <c r="A1023" s="735" t="s">
        <v>2681</v>
      </c>
      <c r="B1023" s="731" t="s">
        <v>2680</v>
      </c>
      <c r="C1023" s="55"/>
      <c r="D1023" s="507"/>
      <c r="E1023" s="504"/>
      <c r="F1023" s="504"/>
      <c r="G1023" s="504"/>
      <c r="H1023" s="504"/>
      <c r="I1023" s="501"/>
      <c r="J1023" s="514"/>
      <c r="K1023" s="506"/>
      <c r="L1023" s="504"/>
      <c r="M1023" s="504"/>
      <c r="N1023" s="504"/>
      <c r="O1023" s="504"/>
      <c r="P1023" s="504"/>
    </row>
    <row r="1024" spans="1:16" ht="15.75" customHeight="1">
      <c r="A1024" s="735" t="s">
        <v>2681</v>
      </c>
      <c r="B1024" s="731" t="s">
        <v>2680</v>
      </c>
      <c r="C1024" s="55"/>
      <c r="D1024" s="507"/>
      <c r="E1024" s="504"/>
      <c r="F1024" s="504"/>
      <c r="G1024" s="504"/>
      <c r="H1024" s="504"/>
      <c r="I1024" s="501"/>
      <c r="J1024" s="514"/>
      <c r="K1024" s="506"/>
      <c r="L1024" s="504"/>
      <c r="M1024" s="504"/>
      <c r="N1024" s="504"/>
      <c r="O1024" s="504"/>
      <c r="P1024" s="504"/>
    </row>
    <row r="1025" spans="1:16" ht="15.75" customHeight="1">
      <c r="A1025" s="737" t="s">
        <v>2686</v>
      </c>
      <c r="B1025" s="731" t="s">
        <v>2680</v>
      </c>
      <c r="C1025" s="55"/>
      <c r="D1025" s="507"/>
      <c r="E1025" s="504"/>
      <c r="F1025" s="504"/>
      <c r="G1025" s="504"/>
      <c r="H1025" s="504"/>
      <c r="I1025" s="501"/>
      <c r="J1025" s="514"/>
      <c r="K1025" s="506"/>
      <c r="L1025" s="504"/>
      <c r="M1025" s="504"/>
      <c r="N1025" s="504"/>
      <c r="O1025" s="504"/>
      <c r="P1025" s="504"/>
    </row>
    <row r="1026" spans="1:16" ht="15.75" customHeight="1">
      <c r="A1026" s="737" t="s">
        <v>2686</v>
      </c>
      <c r="B1026" s="731" t="s">
        <v>3173</v>
      </c>
      <c r="C1026" s="55"/>
      <c r="D1026" s="507"/>
      <c r="E1026" s="504"/>
      <c r="F1026" s="504"/>
      <c r="G1026" s="504"/>
      <c r="H1026" s="504"/>
      <c r="I1026" s="501"/>
      <c r="J1026" s="514"/>
      <c r="K1026" s="506"/>
      <c r="L1026" s="504"/>
      <c r="M1026" s="504"/>
      <c r="N1026" s="504"/>
      <c r="O1026" s="504"/>
      <c r="P1026" s="504"/>
    </row>
    <row r="1027" spans="1:16" ht="15.75" customHeight="1">
      <c r="A1027" s="737" t="s">
        <v>2686</v>
      </c>
      <c r="B1027" s="731" t="s">
        <v>3174</v>
      </c>
      <c r="C1027" s="55"/>
      <c r="D1027" s="507"/>
      <c r="E1027" s="504"/>
      <c r="F1027" s="504"/>
      <c r="G1027" s="504"/>
      <c r="H1027" s="504"/>
      <c r="I1027" s="501"/>
      <c r="J1027" s="514"/>
      <c r="K1027" s="506"/>
      <c r="L1027" s="504"/>
      <c r="M1027" s="504"/>
      <c r="N1027" s="504"/>
      <c r="O1027" s="504"/>
      <c r="P1027" s="504"/>
    </row>
    <row r="1028" spans="1:16" ht="15.75" customHeight="1">
      <c r="A1028" s="737" t="s">
        <v>2686</v>
      </c>
      <c r="B1028" s="731" t="s">
        <v>2680</v>
      </c>
      <c r="C1028" s="55"/>
      <c r="D1028" s="507"/>
      <c r="E1028" s="504"/>
      <c r="F1028" s="504"/>
      <c r="G1028" s="504"/>
      <c r="H1028" s="504"/>
      <c r="I1028" s="501"/>
      <c r="J1028" s="511"/>
      <c r="K1028" s="506"/>
      <c r="L1028" s="504"/>
      <c r="M1028" s="504"/>
      <c r="N1028" s="504"/>
      <c r="O1028" s="504"/>
      <c r="P1028" s="504"/>
    </row>
    <row r="1029" spans="1:16" ht="15.75" customHeight="1">
      <c r="A1029" s="737" t="s">
        <v>2686</v>
      </c>
      <c r="B1029" s="731" t="s">
        <v>2680</v>
      </c>
      <c r="C1029" s="55"/>
      <c r="D1029" s="507"/>
      <c r="E1029" s="504"/>
      <c r="F1029" s="504"/>
      <c r="G1029" s="504"/>
      <c r="H1029" s="504"/>
      <c r="I1029" s="501"/>
      <c r="J1029" s="511"/>
      <c r="K1029" s="506"/>
      <c r="L1029" s="504"/>
      <c r="M1029" s="504"/>
      <c r="N1029" s="504"/>
      <c r="O1029" s="504"/>
      <c r="P1029" s="504"/>
    </row>
    <row r="1030" spans="1:16" ht="15.75" customHeight="1">
      <c r="A1030" s="738" t="s">
        <v>2691</v>
      </c>
      <c r="B1030" s="731" t="s">
        <v>3175</v>
      </c>
      <c r="C1030" s="55"/>
      <c r="D1030" s="507"/>
      <c r="E1030" s="504"/>
      <c r="F1030" s="504"/>
      <c r="G1030" s="504"/>
      <c r="H1030" s="504"/>
      <c r="I1030" s="501"/>
      <c r="J1030" s="511"/>
      <c r="K1030" s="506"/>
      <c r="L1030" s="504"/>
      <c r="M1030" s="504"/>
      <c r="N1030" s="504"/>
      <c r="O1030" s="504"/>
      <c r="P1030" s="504"/>
    </row>
    <row r="1031" spans="1:16">
      <c r="A1031" s="738" t="s">
        <v>2691</v>
      </c>
      <c r="B1031" s="731" t="s">
        <v>2680</v>
      </c>
      <c r="C1031" s="55"/>
      <c r="D1031" s="507"/>
      <c r="E1031" s="504"/>
      <c r="F1031" s="504"/>
      <c r="G1031" s="504"/>
      <c r="H1031" s="504"/>
      <c r="I1031" s="501"/>
      <c r="J1031" s="511"/>
      <c r="K1031" s="506"/>
      <c r="L1031" s="504"/>
      <c r="M1031" s="504"/>
      <c r="N1031" s="504"/>
      <c r="O1031" s="504"/>
      <c r="P1031" s="504"/>
    </row>
    <row r="1032" spans="1:16" ht="15.75" customHeight="1">
      <c r="A1032" s="739" t="s">
        <v>2693</v>
      </c>
      <c r="B1032" s="731" t="s">
        <v>2680</v>
      </c>
      <c r="C1032" s="55"/>
      <c r="D1032" s="507"/>
      <c r="E1032" s="504"/>
      <c r="F1032" s="504"/>
      <c r="G1032" s="504"/>
      <c r="H1032" s="504"/>
      <c r="I1032" s="501"/>
      <c r="J1032" s="511"/>
      <c r="K1032" s="506"/>
      <c r="L1032" s="504"/>
      <c r="M1032" s="504"/>
      <c r="N1032" s="504"/>
      <c r="O1032" s="504"/>
      <c r="P1032" s="504"/>
    </row>
    <row r="1033" spans="1:16" ht="15.75" customHeight="1">
      <c r="A1033" s="730"/>
      <c r="B1033" s="559"/>
      <c r="C1033" s="55"/>
      <c r="D1033" s="507"/>
      <c r="E1033" s="504"/>
      <c r="F1033" s="504"/>
      <c r="G1033" s="504"/>
      <c r="H1033" s="504"/>
      <c r="I1033" s="501"/>
      <c r="J1033" s="511"/>
      <c r="K1033" s="506"/>
      <c r="L1033" s="504"/>
      <c r="M1033" s="504"/>
      <c r="N1033" s="504"/>
      <c r="O1033" s="504"/>
      <c r="P1033" s="504"/>
    </row>
    <row r="1034" spans="1:16" ht="15.75" customHeight="1">
      <c r="A1034" s="729" t="s">
        <v>3176</v>
      </c>
      <c r="B1034" s="731" t="s">
        <v>2943</v>
      </c>
      <c r="C1034" s="55"/>
      <c r="D1034" s="507"/>
      <c r="E1034" s="504"/>
      <c r="F1034" s="504"/>
      <c r="G1034" s="504"/>
      <c r="H1034" s="504"/>
      <c r="I1034" s="501"/>
      <c r="J1034" s="511"/>
      <c r="K1034" s="506"/>
      <c r="L1034" s="504"/>
      <c r="M1034" s="504"/>
      <c r="N1034" s="504"/>
      <c r="O1034" s="504"/>
      <c r="P1034" s="504"/>
    </row>
    <row r="1035" spans="1:16" ht="15.75" customHeight="1">
      <c r="A1035" s="732" t="s">
        <v>2675</v>
      </c>
      <c r="B1035" s="731" t="s">
        <v>3177</v>
      </c>
      <c r="C1035" s="55"/>
      <c r="D1035" s="507"/>
      <c r="E1035" s="504"/>
      <c r="F1035" s="504"/>
      <c r="G1035" s="504"/>
      <c r="H1035" s="504"/>
      <c r="I1035" s="501"/>
      <c r="J1035" s="511"/>
      <c r="K1035" s="506"/>
      <c r="L1035" s="504"/>
      <c r="M1035" s="504"/>
      <c r="N1035" s="504"/>
      <c r="O1035" s="504"/>
      <c r="P1035" s="504"/>
    </row>
    <row r="1036" spans="1:16" ht="15.75" customHeight="1">
      <c r="A1036" s="732" t="s">
        <v>2675</v>
      </c>
      <c r="B1036" s="731" t="s">
        <v>2680</v>
      </c>
      <c r="C1036" s="55"/>
      <c r="D1036" s="507"/>
      <c r="E1036" s="504"/>
      <c r="F1036" s="504"/>
      <c r="G1036" s="504"/>
      <c r="H1036" s="504"/>
      <c r="I1036" s="501"/>
      <c r="J1036" s="511"/>
      <c r="K1036" s="506"/>
      <c r="L1036" s="504"/>
      <c r="M1036" s="504"/>
      <c r="N1036" s="504"/>
      <c r="O1036" s="504"/>
      <c r="P1036" s="504"/>
    </row>
    <row r="1037" spans="1:16" ht="15.75" customHeight="1">
      <c r="A1037" s="733" t="s">
        <v>5723</v>
      </c>
      <c r="B1037" s="731" t="s">
        <v>5787</v>
      </c>
      <c r="C1037" s="55"/>
      <c r="D1037" s="507"/>
      <c r="E1037" s="504"/>
      <c r="F1037" s="504"/>
      <c r="G1037" s="504"/>
      <c r="H1037" s="504"/>
      <c r="I1037" s="501"/>
      <c r="J1037" s="511"/>
      <c r="K1037" s="506"/>
      <c r="L1037" s="504"/>
      <c r="M1037" s="504"/>
      <c r="N1037" s="504"/>
      <c r="O1037" s="504"/>
      <c r="P1037" s="504"/>
    </row>
    <row r="1038" spans="1:16" ht="15.75" customHeight="1">
      <c r="A1038" s="733" t="s">
        <v>5723</v>
      </c>
      <c r="B1038" s="731" t="s">
        <v>2680</v>
      </c>
      <c r="C1038" s="55"/>
      <c r="D1038" s="507"/>
      <c r="E1038" s="504"/>
      <c r="F1038" s="504"/>
      <c r="G1038" s="504"/>
      <c r="H1038" s="504"/>
      <c r="I1038" s="501"/>
      <c r="J1038" s="515"/>
      <c r="K1038" s="506"/>
      <c r="L1038" s="504"/>
      <c r="M1038" s="504"/>
      <c r="N1038" s="504"/>
      <c r="O1038" s="504"/>
      <c r="P1038" s="504"/>
    </row>
    <row r="1039" spans="1:16" ht="15.75" customHeight="1">
      <c r="A1039" s="734" t="s">
        <v>2677</v>
      </c>
      <c r="B1039" s="731" t="s">
        <v>3178</v>
      </c>
      <c r="C1039" s="55"/>
      <c r="D1039" s="507"/>
      <c r="E1039" s="504"/>
      <c r="F1039" s="504"/>
      <c r="G1039" s="504"/>
      <c r="H1039" s="504"/>
      <c r="I1039" s="501"/>
      <c r="J1039" s="515"/>
      <c r="K1039" s="506"/>
      <c r="L1039" s="504"/>
      <c r="M1039" s="504"/>
      <c r="N1039" s="504"/>
      <c r="O1039" s="504"/>
      <c r="P1039" s="504"/>
    </row>
    <row r="1040" spans="1:16" ht="15.75" customHeight="1">
      <c r="A1040" s="734" t="s">
        <v>2677</v>
      </c>
      <c r="B1040" s="731" t="s">
        <v>2680</v>
      </c>
      <c r="C1040" s="55"/>
      <c r="D1040" s="507"/>
      <c r="E1040" s="504"/>
      <c r="F1040" s="504"/>
      <c r="G1040" s="504"/>
      <c r="H1040" s="504"/>
      <c r="I1040" s="501"/>
      <c r="J1040" s="515"/>
      <c r="K1040" s="506"/>
      <c r="L1040" s="504"/>
      <c r="M1040" s="504"/>
      <c r="N1040" s="504"/>
      <c r="O1040" s="504"/>
      <c r="P1040" s="504"/>
    </row>
    <row r="1041" spans="1:16" ht="15.75" customHeight="1">
      <c r="A1041" s="734" t="s">
        <v>2677</v>
      </c>
      <c r="B1041" s="731" t="s">
        <v>3179</v>
      </c>
      <c r="C1041" s="55"/>
      <c r="D1041" s="507"/>
      <c r="E1041" s="504"/>
      <c r="F1041" s="504"/>
      <c r="G1041" s="504"/>
      <c r="H1041" s="504"/>
      <c r="I1041" s="501"/>
      <c r="J1041" s="515"/>
      <c r="K1041" s="506"/>
      <c r="L1041" s="504"/>
      <c r="M1041" s="504"/>
      <c r="N1041" s="504"/>
      <c r="O1041" s="504"/>
      <c r="P1041" s="504"/>
    </row>
    <row r="1042" spans="1:16" ht="15.75" customHeight="1">
      <c r="A1042" s="735" t="s">
        <v>2681</v>
      </c>
      <c r="B1042" s="731" t="s">
        <v>3180</v>
      </c>
      <c r="C1042" s="55"/>
      <c r="D1042" s="507"/>
      <c r="E1042" s="504"/>
      <c r="F1042" s="504"/>
      <c r="G1042" s="504"/>
      <c r="H1042" s="504"/>
      <c r="I1042" s="501"/>
      <c r="J1042" s="515"/>
      <c r="K1042" s="506"/>
      <c r="L1042" s="504"/>
      <c r="M1042" s="504"/>
      <c r="N1042" s="504"/>
      <c r="O1042" s="504"/>
      <c r="P1042" s="504"/>
    </row>
    <row r="1043" spans="1:16" ht="15.75" customHeight="1">
      <c r="A1043" s="735" t="s">
        <v>2681</v>
      </c>
      <c r="B1043" s="731" t="s">
        <v>2680</v>
      </c>
      <c r="C1043" s="55"/>
      <c r="D1043" s="507"/>
      <c r="E1043" s="504"/>
      <c r="F1043" s="504"/>
      <c r="G1043" s="504"/>
      <c r="H1043" s="504"/>
      <c r="I1043" s="501"/>
      <c r="J1043" s="515"/>
      <c r="K1043" s="506"/>
      <c r="L1043" s="504"/>
      <c r="M1043" s="504"/>
      <c r="N1043" s="504"/>
      <c r="O1043" s="504"/>
      <c r="P1043" s="504"/>
    </row>
    <row r="1044" spans="1:16" ht="15.45">
      <c r="A1044" s="735" t="s">
        <v>2681</v>
      </c>
      <c r="B1044" s="731" t="s">
        <v>2680</v>
      </c>
      <c r="C1044" s="55"/>
      <c r="D1044" s="507"/>
      <c r="E1044" s="504"/>
      <c r="F1044" s="504"/>
      <c r="G1044" s="504"/>
      <c r="H1044" s="504"/>
      <c r="I1044" s="501"/>
      <c r="J1044" s="517"/>
      <c r="K1044" s="506"/>
      <c r="L1044" s="504"/>
      <c r="M1044" s="504"/>
      <c r="N1044" s="504"/>
      <c r="O1044" s="504"/>
      <c r="P1044" s="504"/>
    </row>
    <row r="1045" spans="1:16" ht="15.75" customHeight="1">
      <c r="A1045" s="735" t="s">
        <v>2681</v>
      </c>
      <c r="B1045" s="731" t="s">
        <v>2680</v>
      </c>
      <c r="C1045" s="55"/>
      <c r="D1045" s="507"/>
      <c r="E1045" s="504"/>
      <c r="F1045" s="504"/>
      <c r="G1045" s="504"/>
      <c r="H1045" s="504"/>
      <c r="I1045" s="501"/>
      <c r="J1045" s="512"/>
      <c r="K1045" s="506"/>
      <c r="L1045" s="504"/>
      <c r="M1045" s="504"/>
      <c r="N1045" s="504"/>
      <c r="O1045" s="504"/>
      <c r="P1045" s="504"/>
    </row>
    <row r="1046" spans="1:16" ht="15.75" customHeight="1">
      <c r="A1046" s="737" t="s">
        <v>2686</v>
      </c>
      <c r="B1046" s="731" t="s">
        <v>3181</v>
      </c>
      <c r="C1046" s="55"/>
      <c r="D1046" s="507"/>
      <c r="E1046" s="504"/>
      <c r="F1046" s="504"/>
      <c r="G1046" s="504"/>
      <c r="H1046" s="504"/>
      <c r="I1046" s="501"/>
      <c r="J1046" s="513"/>
      <c r="K1046" s="506"/>
      <c r="L1046" s="504"/>
      <c r="M1046" s="504"/>
      <c r="N1046" s="504"/>
      <c r="O1046" s="504"/>
      <c r="P1046" s="504"/>
    </row>
    <row r="1047" spans="1:16" ht="15.75" customHeight="1">
      <c r="A1047" s="737" t="s">
        <v>2686</v>
      </c>
      <c r="B1047" s="731" t="s">
        <v>3182</v>
      </c>
      <c r="C1047" s="55"/>
      <c r="D1047" s="507"/>
      <c r="E1047" s="504"/>
      <c r="F1047" s="504"/>
      <c r="G1047" s="504"/>
      <c r="H1047" s="504"/>
      <c r="I1047" s="501"/>
      <c r="J1047" s="513"/>
      <c r="K1047" s="506"/>
      <c r="L1047" s="504"/>
      <c r="M1047" s="504"/>
      <c r="N1047" s="504"/>
      <c r="O1047" s="504"/>
      <c r="P1047" s="504"/>
    </row>
    <row r="1048" spans="1:16" ht="15.75" customHeight="1">
      <c r="A1048" s="737" t="s">
        <v>2686</v>
      </c>
      <c r="B1048" s="731" t="s">
        <v>2680</v>
      </c>
      <c r="C1048" s="55"/>
      <c r="D1048" s="507"/>
      <c r="E1048" s="504"/>
      <c r="F1048" s="504"/>
      <c r="G1048" s="504"/>
      <c r="H1048" s="504"/>
      <c r="I1048" s="501"/>
      <c r="J1048" s="513"/>
      <c r="K1048" s="506"/>
      <c r="L1048" s="504"/>
      <c r="M1048" s="504"/>
      <c r="N1048" s="504"/>
      <c r="O1048" s="504"/>
      <c r="P1048" s="504"/>
    </row>
    <row r="1049" spans="1:16" ht="15.75" customHeight="1">
      <c r="A1049" s="737" t="s">
        <v>2686</v>
      </c>
      <c r="B1049" s="731" t="s">
        <v>2680</v>
      </c>
      <c r="C1049" s="55"/>
      <c r="D1049" s="507"/>
      <c r="E1049" s="504"/>
      <c r="F1049" s="504"/>
      <c r="G1049" s="504"/>
      <c r="H1049" s="504"/>
      <c r="I1049" s="501"/>
      <c r="J1049" s="513"/>
      <c r="K1049" s="506"/>
      <c r="L1049" s="504"/>
      <c r="M1049" s="504"/>
      <c r="N1049" s="504"/>
      <c r="O1049" s="504"/>
      <c r="P1049" s="504"/>
    </row>
    <row r="1050" spans="1:16">
      <c r="A1050" s="737" t="s">
        <v>2686</v>
      </c>
      <c r="B1050" s="731" t="s">
        <v>2680</v>
      </c>
      <c r="C1050" s="55"/>
      <c r="D1050" s="507"/>
      <c r="E1050" s="504"/>
      <c r="F1050" s="504"/>
      <c r="G1050" s="504"/>
      <c r="H1050" s="504"/>
      <c r="I1050" s="501"/>
      <c r="J1050" s="513"/>
      <c r="K1050" s="506"/>
      <c r="L1050" s="504"/>
      <c r="M1050" s="504"/>
      <c r="N1050" s="504"/>
      <c r="O1050" s="504"/>
      <c r="P1050" s="504"/>
    </row>
    <row r="1051" spans="1:16" ht="15.75" customHeight="1">
      <c r="A1051" s="738" t="s">
        <v>2691</v>
      </c>
      <c r="B1051" s="731" t="s">
        <v>3183</v>
      </c>
      <c r="C1051" s="55"/>
      <c r="D1051" s="507"/>
      <c r="E1051" s="504"/>
      <c r="F1051" s="504"/>
      <c r="G1051" s="504"/>
      <c r="H1051" s="504"/>
      <c r="I1051" s="501"/>
      <c r="J1051" s="513"/>
      <c r="K1051" s="506"/>
      <c r="L1051" s="504"/>
      <c r="M1051" s="504"/>
      <c r="N1051" s="504"/>
      <c r="O1051" s="504"/>
      <c r="P1051" s="504"/>
    </row>
    <row r="1052" spans="1:16" ht="15.75" customHeight="1">
      <c r="A1052" s="738" t="s">
        <v>2691</v>
      </c>
      <c r="B1052" s="731" t="s">
        <v>2680</v>
      </c>
      <c r="C1052" s="55"/>
      <c r="D1052" s="507"/>
      <c r="E1052" s="504"/>
      <c r="F1052" s="504"/>
      <c r="G1052" s="504"/>
      <c r="H1052" s="504"/>
      <c r="I1052" s="501"/>
      <c r="J1052" s="513"/>
      <c r="K1052" s="506"/>
      <c r="L1052" s="504"/>
      <c r="M1052" s="504"/>
      <c r="N1052" s="504"/>
      <c r="O1052" s="504"/>
      <c r="P1052" s="504"/>
    </row>
    <row r="1053" spans="1:16" ht="15.75" customHeight="1">
      <c r="A1053" s="739" t="s">
        <v>2693</v>
      </c>
      <c r="B1053" s="731" t="s">
        <v>2680</v>
      </c>
      <c r="C1053" s="55"/>
      <c r="D1053" s="507"/>
      <c r="E1053" s="504"/>
      <c r="F1053" s="504"/>
      <c r="G1053" s="504"/>
      <c r="H1053" s="504"/>
      <c r="I1053" s="501"/>
      <c r="J1053" s="513"/>
      <c r="K1053" s="506"/>
      <c r="L1053" s="504"/>
      <c r="M1053" s="504"/>
      <c r="N1053" s="504"/>
      <c r="O1053" s="504"/>
      <c r="P1053" s="504"/>
    </row>
    <row r="1054" spans="1:16" ht="15.75" customHeight="1">
      <c r="A1054" s="730"/>
      <c r="B1054" s="559"/>
      <c r="C1054" s="55"/>
      <c r="D1054" s="507"/>
      <c r="E1054" s="504"/>
      <c r="F1054" s="504"/>
      <c r="G1054" s="504"/>
      <c r="H1054" s="504"/>
      <c r="I1054" s="501"/>
      <c r="J1054" s="513"/>
      <c r="K1054" s="506"/>
      <c r="L1054" s="504"/>
      <c r="M1054" s="504"/>
      <c r="N1054" s="504"/>
      <c r="O1054" s="504"/>
      <c r="P1054" s="504"/>
    </row>
    <row r="1055" spans="1:16" ht="15.75" customHeight="1">
      <c r="A1055" s="729" t="s">
        <v>3184</v>
      </c>
      <c r="B1055" s="731" t="s">
        <v>2674</v>
      </c>
      <c r="C1055" s="55"/>
      <c r="D1055" s="507"/>
      <c r="E1055" s="504"/>
      <c r="F1055" s="504"/>
      <c r="G1055" s="504"/>
      <c r="H1055" s="504"/>
      <c r="I1055" s="501"/>
      <c r="J1055" s="513"/>
      <c r="K1055" s="506"/>
      <c r="L1055" s="504"/>
      <c r="M1055" s="504"/>
      <c r="N1055" s="504"/>
      <c r="O1055" s="504"/>
      <c r="P1055" s="504"/>
    </row>
    <row r="1056" spans="1:16" ht="15.75" customHeight="1">
      <c r="A1056" s="732" t="s">
        <v>2675</v>
      </c>
      <c r="B1056" s="731" t="s">
        <v>3185</v>
      </c>
      <c r="C1056" s="55"/>
      <c r="D1056" s="507"/>
      <c r="E1056" s="504"/>
      <c r="F1056" s="504"/>
      <c r="G1056" s="504"/>
      <c r="H1056" s="504"/>
      <c r="I1056" s="501"/>
      <c r="J1056" s="514"/>
      <c r="K1056" s="506"/>
      <c r="L1056" s="504"/>
      <c r="M1056" s="504"/>
      <c r="N1056" s="504"/>
      <c r="O1056" s="504"/>
      <c r="P1056" s="504"/>
    </row>
    <row r="1057" spans="1:16" ht="15.75" customHeight="1">
      <c r="A1057" s="732" t="s">
        <v>2675</v>
      </c>
      <c r="B1057" s="731" t="s">
        <v>2680</v>
      </c>
      <c r="C1057" s="55"/>
      <c r="D1057" s="507"/>
      <c r="E1057" s="504"/>
      <c r="F1057" s="504"/>
      <c r="G1057" s="504"/>
      <c r="H1057" s="504"/>
      <c r="I1057" s="501"/>
      <c r="J1057" s="514"/>
      <c r="K1057" s="506"/>
      <c r="L1057" s="504"/>
      <c r="M1057" s="504"/>
      <c r="N1057" s="504"/>
      <c r="O1057" s="504"/>
      <c r="P1057" s="504"/>
    </row>
    <row r="1058" spans="1:16" ht="15.75" customHeight="1">
      <c r="A1058" s="733" t="s">
        <v>5723</v>
      </c>
      <c r="B1058" s="731" t="s">
        <v>5788</v>
      </c>
      <c r="C1058" s="55"/>
      <c r="D1058" s="507"/>
      <c r="E1058" s="504"/>
      <c r="F1058" s="504"/>
      <c r="G1058" s="504"/>
      <c r="H1058" s="504"/>
      <c r="I1058" s="501"/>
      <c r="J1058" s="514"/>
      <c r="K1058" s="506"/>
      <c r="L1058" s="504"/>
      <c r="M1058" s="504"/>
      <c r="N1058" s="504"/>
      <c r="O1058" s="504"/>
      <c r="P1058" s="504"/>
    </row>
    <row r="1059" spans="1:16" ht="15.75" customHeight="1">
      <c r="A1059" s="733" t="s">
        <v>5723</v>
      </c>
      <c r="B1059" s="731" t="s">
        <v>2680</v>
      </c>
      <c r="C1059" s="55"/>
      <c r="D1059" s="507"/>
      <c r="E1059" s="504"/>
      <c r="F1059" s="504"/>
      <c r="G1059" s="504"/>
      <c r="H1059" s="504"/>
      <c r="I1059" s="501"/>
      <c r="J1059" s="514"/>
      <c r="K1059" s="506"/>
      <c r="L1059" s="504"/>
      <c r="M1059" s="504"/>
      <c r="N1059" s="504"/>
      <c r="O1059" s="504"/>
      <c r="P1059" s="504"/>
    </row>
    <row r="1060" spans="1:16" ht="15.75" customHeight="1">
      <c r="A1060" s="734" t="s">
        <v>2677</v>
      </c>
      <c r="B1060" s="731" t="s">
        <v>3186</v>
      </c>
      <c r="C1060" s="55"/>
      <c r="D1060" s="507"/>
      <c r="E1060" s="504"/>
      <c r="F1060" s="504"/>
      <c r="G1060" s="504"/>
      <c r="H1060" s="504"/>
      <c r="I1060" s="501"/>
      <c r="J1060" s="514"/>
      <c r="K1060" s="506"/>
      <c r="L1060" s="504"/>
      <c r="M1060" s="504"/>
      <c r="N1060" s="504"/>
      <c r="O1060" s="504"/>
      <c r="P1060" s="504"/>
    </row>
    <row r="1061" spans="1:16" ht="15.75" customHeight="1">
      <c r="A1061" s="734" t="s">
        <v>2677</v>
      </c>
      <c r="B1061" s="731" t="s">
        <v>3187</v>
      </c>
      <c r="C1061" s="55"/>
      <c r="D1061" s="507"/>
      <c r="E1061" s="504"/>
      <c r="F1061" s="504"/>
      <c r="G1061" s="504"/>
      <c r="H1061" s="504"/>
      <c r="I1061" s="501"/>
      <c r="J1061" s="514"/>
      <c r="K1061" s="506"/>
      <c r="L1061" s="504"/>
      <c r="M1061" s="504"/>
      <c r="N1061" s="504"/>
      <c r="O1061" s="504"/>
      <c r="P1061" s="504"/>
    </row>
    <row r="1062" spans="1:16" ht="15.75" customHeight="1">
      <c r="A1062" s="734" t="s">
        <v>2677</v>
      </c>
      <c r="B1062" s="731" t="s">
        <v>2680</v>
      </c>
      <c r="C1062" s="55"/>
      <c r="D1062" s="507"/>
      <c r="E1062" s="504"/>
      <c r="F1062" s="504"/>
      <c r="G1062" s="504"/>
      <c r="H1062" s="504"/>
      <c r="I1062" s="501"/>
      <c r="J1062" s="511"/>
      <c r="K1062" s="506"/>
      <c r="L1062" s="504"/>
      <c r="M1062" s="504"/>
      <c r="N1062" s="504"/>
      <c r="O1062" s="504"/>
      <c r="P1062" s="504"/>
    </row>
    <row r="1063" spans="1:16" ht="15.75" customHeight="1">
      <c r="A1063" s="735" t="s">
        <v>2681</v>
      </c>
      <c r="B1063" s="731" t="s">
        <v>3188</v>
      </c>
      <c r="C1063" s="55"/>
      <c r="D1063" s="507"/>
      <c r="E1063" s="504"/>
      <c r="F1063" s="504"/>
      <c r="G1063" s="504"/>
      <c r="H1063" s="504"/>
      <c r="I1063" s="501"/>
      <c r="J1063" s="511"/>
      <c r="K1063" s="506"/>
      <c r="L1063" s="504"/>
      <c r="M1063" s="504"/>
      <c r="N1063" s="504"/>
      <c r="O1063" s="504"/>
      <c r="P1063" s="504"/>
    </row>
    <row r="1064" spans="1:16" ht="15.75" customHeight="1">
      <c r="A1064" s="735" t="s">
        <v>2681</v>
      </c>
      <c r="B1064" s="731" t="s">
        <v>3189</v>
      </c>
      <c r="C1064" s="55"/>
      <c r="D1064" s="507"/>
      <c r="E1064" s="504"/>
      <c r="F1064" s="504"/>
      <c r="G1064" s="504"/>
      <c r="H1064" s="504"/>
      <c r="I1064" s="501"/>
      <c r="J1064" s="511"/>
      <c r="K1064" s="506"/>
      <c r="L1064" s="504"/>
      <c r="M1064" s="504"/>
      <c r="N1064" s="504"/>
      <c r="O1064" s="504"/>
      <c r="P1064" s="504"/>
    </row>
    <row r="1065" spans="1:16" ht="15.75" customHeight="1">
      <c r="A1065" s="735" t="s">
        <v>2681</v>
      </c>
      <c r="B1065" s="731" t="s">
        <v>2680</v>
      </c>
      <c r="C1065" s="55"/>
      <c r="D1065" s="507"/>
      <c r="E1065" s="504"/>
      <c r="F1065" s="504"/>
      <c r="G1065" s="504"/>
      <c r="H1065" s="504"/>
      <c r="I1065" s="501"/>
      <c r="J1065" s="511"/>
      <c r="K1065" s="506"/>
      <c r="L1065" s="504"/>
      <c r="M1065" s="504"/>
      <c r="N1065" s="504"/>
      <c r="O1065" s="504"/>
      <c r="P1065" s="504"/>
    </row>
    <row r="1066" spans="1:16" ht="15.75" customHeight="1">
      <c r="A1066" s="735" t="s">
        <v>2681</v>
      </c>
      <c r="B1066" s="731" t="s">
        <v>2680</v>
      </c>
      <c r="C1066" s="55"/>
      <c r="D1066" s="507"/>
      <c r="E1066" s="504"/>
      <c r="F1066" s="504"/>
      <c r="G1066" s="504"/>
      <c r="H1066" s="504"/>
      <c r="I1066" s="501"/>
      <c r="J1066" s="511"/>
      <c r="K1066" s="506"/>
      <c r="L1066" s="504"/>
      <c r="M1066" s="504"/>
      <c r="N1066" s="504"/>
      <c r="O1066" s="504"/>
      <c r="P1066" s="504"/>
    </row>
    <row r="1067" spans="1:16" ht="15.75" customHeight="1">
      <c r="A1067" s="737" t="s">
        <v>2686</v>
      </c>
      <c r="B1067" s="731" t="s">
        <v>3190</v>
      </c>
      <c r="C1067" s="55"/>
      <c r="D1067" s="507"/>
      <c r="E1067" s="504"/>
      <c r="F1067" s="504"/>
      <c r="G1067" s="504"/>
      <c r="H1067" s="504"/>
      <c r="I1067" s="501"/>
      <c r="J1067" s="511"/>
      <c r="K1067" s="506"/>
      <c r="L1067" s="504"/>
      <c r="M1067" s="504"/>
      <c r="N1067" s="504"/>
      <c r="O1067" s="504"/>
      <c r="P1067" s="504"/>
    </row>
    <row r="1068" spans="1:16" ht="15.75" customHeight="1">
      <c r="A1068" s="737" t="s">
        <v>2686</v>
      </c>
      <c r="B1068" s="731" t="s">
        <v>3191</v>
      </c>
      <c r="C1068" s="55"/>
      <c r="D1068" s="507"/>
      <c r="E1068" s="504"/>
      <c r="F1068" s="504"/>
      <c r="G1068" s="504"/>
      <c r="H1068" s="504"/>
      <c r="I1068" s="501"/>
      <c r="J1068" s="511"/>
      <c r="K1068" s="506"/>
      <c r="L1068" s="504"/>
      <c r="M1068" s="504"/>
      <c r="N1068" s="504"/>
      <c r="O1068" s="504"/>
      <c r="P1068" s="504"/>
    </row>
    <row r="1069" spans="1:16">
      <c r="A1069" s="737" t="s">
        <v>2686</v>
      </c>
      <c r="B1069" s="731" t="s">
        <v>3192</v>
      </c>
      <c r="C1069" s="55"/>
      <c r="D1069" s="507"/>
      <c r="E1069" s="504"/>
      <c r="F1069" s="504"/>
      <c r="G1069" s="504"/>
      <c r="H1069" s="504"/>
      <c r="I1069" s="501"/>
      <c r="J1069" s="511"/>
      <c r="K1069" s="506"/>
      <c r="L1069" s="504"/>
      <c r="M1069" s="504"/>
      <c r="N1069" s="504"/>
      <c r="O1069" s="504"/>
      <c r="P1069" s="504"/>
    </row>
    <row r="1070" spans="1:16" ht="15.75" customHeight="1">
      <c r="A1070" s="737" t="s">
        <v>2686</v>
      </c>
      <c r="B1070" s="731" t="s">
        <v>2680</v>
      </c>
      <c r="C1070" s="55"/>
      <c r="D1070" s="507"/>
      <c r="E1070" s="504"/>
      <c r="F1070" s="504"/>
      <c r="G1070" s="504"/>
      <c r="H1070" s="504"/>
      <c r="I1070" s="501"/>
      <c r="J1070" s="511"/>
      <c r="K1070" s="506"/>
      <c r="L1070" s="504"/>
      <c r="M1070" s="504"/>
      <c r="N1070" s="504"/>
      <c r="O1070" s="504"/>
      <c r="P1070" s="504"/>
    </row>
    <row r="1071" spans="1:16" ht="15.75" customHeight="1">
      <c r="A1071" s="737" t="s">
        <v>2686</v>
      </c>
      <c r="B1071" s="731" t="s">
        <v>2680</v>
      </c>
      <c r="C1071" s="55"/>
      <c r="D1071" s="507"/>
      <c r="E1071" s="504"/>
      <c r="F1071" s="504"/>
      <c r="G1071" s="504"/>
      <c r="H1071" s="504"/>
      <c r="I1071" s="501"/>
      <c r="J1071" s="511"/>
      <c r="K1071" s="506"/>
      <c r="L1071" s="504"/>
      <c r="M1071" s="504"/>
      <c r="N1071" s="504"/>
      <c r="O1071" s="504"/>
      <c r="P1071" s="504"/>
    </row>
    <row r="1072" spans="1:16" ht="15.75" customHeight="1">
      <c r="A1072" s="738" t="s">
        <v>2691</v>
      </c>
      <c r="B1072" s="731" t="s">
        <v>3193</v>
      </c>
      <c r="C1072" s="55"/>
      <c r="D1072" s="507"/>
      <c r="E1072" s="504"/>
      <c r="F1072" s="504"/>
      <c r="G1072" s="504"/>
      <c r="H1072" s="504"/>
      <c r="I1072" s="501"/>
      <c r="J1072" s="515"/>
      <c r="K1072" s="506"/>
      <c r="L1072" s="504"/>
      <c r="M1072" s="504"/>
      <c r="N1072" s="504"/>
      <c r="O1072" s="504"/>
      <c r="P1072" s="504"/>
    </row>
    <row r="1073" spans="1:16" ht="15.75" customHeight="1">
      <c r="A1073" s="738" t="s">
        <v>2691</v>
      </c>
      <c r="B1073" s="731" t="s">
        <v>3194</v>
      </c>
      <c r="C1073" s="55"/>
      <c r="D1073" s="507"/>
      <c r="E1073" s="504"/>
      <c r="F1073" s="504"/>
      <c r="G1073" s="504"/>
      <c r="H1073" s="504"/>
      <c r="I1073" s="501"/>
      <c r="J1073" s="515"/>
      <c r="K1073" s="506"/>
      <c r="L1073" s="504"/>
      <c r="M1073" s="504"/>
      <c r="N1073" s="504"/>
      <c r="O1073" s="504"/>
      <c r="P1073" s="504"/>
    </row>
    <row r="1074" spans="1:16" ht="15.75" customHeight="1">
      <c r="A1074" s="739" t="s">
        <v>2693</v>
      </c>
      <c r="B1074" s="731" t="s">
        <v>2680</v>
      </c>
      <c r="C1074" s="55"/>
      <c r="D1074" s="507"/>
      <c r="E1074" s="504"/>
      <c r="F1074" s="504"/>
      <c r="G1074" s="504"/>
      <c r="H1074" s="504"/>
      <c r="I1074" s="501"/>
      <c r="J1074" s="515"/>
      <c r="K1074" s="506"/>
      <c r="L1074" s="504"/>
      <c r="M1074" s="504"/>
      <c r="N1074" s="504"/>
      <c r="O1074" s="504"/>
      <c r="P1074" s="504"/>
    </row>
    <row r="1075" spans="1:16" ht="15.75" customHeight="1">
      <c r="A1075" s="740"/>
      <c r="B1075" s="559"/>
      <c r="C1075" s="55"/>
      <c r="D1075" s="507"/>
      <c r="E1075" s="504"/>
      <c r="F1075" s="504"/>
      <c r="G1075" s="504"/>
      <c r="H1075" s="504"/>
      <c r="I1075" s="501"/>
      <c r="J1075" s="515"/>
      <c r="K1075" s="506"/>
      <c r="L1075" s="504"/>
      <c r="M1075" s="504"/>
      <c r="N1075" s="504"/>
      <c r="O1075" s="504"/>
      <c r="P1075" s="504"/>
    </row>
    <row r="1076" spans="1:16" ht="15.75" customHeight="1">
      <c r="A1076" s="729" t="s">
        <v>3195</v>
      </c>
      <c r="B1076" s="731" t="s">
        <v>2674</v>
      </c>
      <c r="C1076" s="55"/>
      <c r="D1076" s="507"/>
      <c r="E1076" s="504"/>
      <c r="F1076" s="504"/>
      <c r="G1076" s="504"/>
      <c r="H1076" s="504"/>
      <c r="I1076" s="501"/>
      <c r="J1076" s="515"/>
      <c r="K1076" s="506"/>
      <c r="L1076" s="504"/>
      <c r="M1076" s="504"/>
      <c r="N1076" s="504"/>
      <c r="O1076" s="504"/>
      <c r="P1076" s="504"/>
    </row>
    <row r="1077" spans="1:16" ht="15.75" customHeight="1">
      <c r="A1077" s="732" t="s">
        <v>2675</v>
      </c>
      <c r="B1077" s="731" t="s">
        <v>3196</v>
      </c>
      <c r="C1077" s="55"/>
      <c r="D1077" s="507"/>
      <c r="E1077" s="504"/>
      <c r="F1077" s="504"/>
      <c r="G1077" s="504"/>
      <c r="H1077" s="504"/>
      <c r="I1077" s="501"/>
      <c r="J1077" s="505"/>
      <c r="K1077" s="506"/>
      <c r="L1077" s="504"/>
      <c r="M1077" s="504"/>
      <c r="N1077" s="504"/>
      <c r="O1077" s="504"/>
      <c r="P1077" s="504"/>
    </row>
    <row r="1078" spans="1:16" ht="15.45">
      <c r="A1078" s="732" t="s">
        <v>2675</v>
      </c>
      <c r="B1078" s="731" t="s">
        <v>2680</v>
      </c>
      <c r="C1078" s="55"/>
      <c r="D1078" s="507"/>
      <c r="E1078" s="504"/>
      <c r="F1078" s="504"/>
      <c r="G1078" s="504"/>
      <c r="H1078" s="504"/>
      <c r="I1078" s="501"/>
      <c r="J1078" s="517"/>
      <c r="K1078" s="506"/>
      <c r="L1078" s="504"/>
      <c r="M1078" s="504"/>
      <c r="N1078" s="504"/>
      <c r="O1078" s="504"/>
      <c r="P1078" s="504"/>
    </row>
    <row r="1079" spans="1:16" ht="15.75" customHeight="1">
      <c r="A1079" s="733" t="s">
        <v>5723</v>
      </c>
      <c r="B1079" s="731" t="s">
        <v>5789</v>
      </c>
      <c r="C1079" s="55"/>
      <c r="D1079" s="507"/>
      <c r="E1079" s="504"/>
      <c r="F1079" s="504"/>
      <c r="G1079" s="504"/>
      <c r="H1079" s="504"/>
      <c r="I1079" s="501"/>
      <c r="J1079" s="511"/>
      <c r="K1079" s="506"/>
      <c r="L1079" s="504"/>
      <c r="M1079" s="504"/>
      <c r="N1079" s="504"/>
      <c r="O1079" s="504"/>
      <c r="P1079" s="504"/>
    </row>
    <row r="1080" spans="1:16" ht="15.75" customHeight="1">
      <c r="A1080" s="733" t="s">
        <v>5723</v>
      </c>
      <c r="B1080" s="731" t="s">
        <v>2680</v>
      </c>
      <c r="C1080" s="55"/>
      <c r="D1080" s="507"/>
      <c r="E1080" s="504"/>
      <c r="F1080" s="504"/>
      <c r="G1080" s="504"/>
      <c r="H1080" s="504"/>
      <c r="I1080" s="501"/>
      <c r="J1080" s="511"/>
      <c r="K1080" s="506"/>
      <c r="L1080" s="504"/>
      <c r="M1080" s="504"/>
      <c r="N1080" s="504"/>
      <c r="O1080" s="504"/>
      <c r="P1080" s="504"/>
    </row>
    <row r="1081" spans="1:16" ht="15.75" customHeight="1">
      <c r="A1081" s="734" t="s">
        <v>2677</v>
      </c>
      <c r="B1081" s="731" t="s">
        <v>3197</v>
      </c>
      <c r="C1081" s="55"/>
      <c r="D1081" s="507"/>
      <c r="E1081" s="504"/>
      <c r="F1081" s="504"/>
      <c r="G1081" s="504"/>
      <c r="H1081" s="504"/>
      <c r="I1081" s="501"/>
      <c r="J1081" s="511"/>
      <c r="K1081" s="506"/>
      <c r="L1081" s="504"/>
      <c r="M1081" s="504"/>
      <c r="N1081" s="504"/>
      <c r="O1081" s="504"/>
      <c r="P1081" s="504"/>
    </row>
    <row r="1082" spans="1:16" ht="15.75" customHeight="1">
      <c r="A1082" s="734" t="s">
        <v>2677</v>
      </c>
      <c r="B1082" s="731" t="s">
        <v>2680</v>
      </c>
      <c r="C1082" s="55"/>
      <c r="D1082" s="507"/>
      <c r="E1082" s="504"/>
      <c r="F1082" s="504"/>
      <c r="G1082" s="504"/>
      <c r="H1082" s="504"/>
      <c r="I1082" s="501"/>
      <c r="J1082" s="511"/>
      <c r="K1082" s="506"/>
      <c r="L1082" s="504"/>
      <c r="M1082" s="504"/>
      <c r="N1082" s="504"/>
      <c r="O1082" s="504"/>
      <c r="P1082" s="504"/>
    </row>
    <row r="1083" spans="1:16" ht="15.75" customHeight="1">
      <c r="A1083" s="734" t="s">
        <v>2677</v>
      </c>
      <c r="B1083" s="731" t="s">
        <v>2680</v>
      </c>
      <c r="C1083" s="55"/>
      <c r="D1083" s="507"/>
      <c r="E1083" s="504"/>
      <c r="F1083" s="504"/>
      <c r="G1083" s="504"/>
      <c r="H1083" s="504"/>
      <c r="I1083" s="501"/>
      <c r="J1083" s="511"/>
      <c r="K1083" s="506"/>
      <c r="L1083" s="504"/>
      <c r="M1083" s="504"/>
      <c r="N1083" s="504"/>
      <c r="O1083" s="504"/>
      <c r="P1083" s="504"/>
    </row>
    <row r="1084" spans="1:16" ht="15.75" customHeight="1">
      <c r="A1084" s="735" t="s">
        <v>2681</v>
      </c>
      <c r="B1084" s="731" t="s">
        <v>3198</v>
      </c>
      <c r="C1084" s="55"/>
      <c r="D1084" s="507"/>
      <c r="E1084" s="504"/>
      <c r="F1084" s="504"/>
      <c r="G1084" s="504"/>
      <c r="H1084" s="504"/>
      <c r="I1084" s="501"/>
      <c r="J1084" s="511"/>
      <c r="K1084" s="506"/>
      <c r="L1084" s="504"/>
      <c r="M1084" s="504"/>
      <c r="N1084" s="504"/>
      <c r="O1084" s="504"/>
      <c r="P1084" s="504"/>
    </row>
    <row r="1085" spans="1:16" ht="15.75" customHeight="1">
      <c r="A1085" s="735" t="s">
        <v>2681</v>
      </c>
      <c r="B1085" s="731" t="s">
        <v>2680</v>
      </c>
      <c r="C1085" s="55"/>
      <c r="D1085" s="507"/>
      <c r="E1085" s="504"/>
      <c r="F1085" s="504"/>
      <c r="G1085" s="504"/>
      <c r="H1085" s="504"/>
      <c r="I1085" s="501"/>
      <c r="J1085" s="511"/>
      <c r="K1085" s="506"/>
      <c r="L1085" s="504"/>
      <c r="M1085" s="504"/>
      <c r="N1085" s="504"/>
      <c r="O1085" s="504"/>
      <c r="P1085" s="504"/>
    </row>
    <row r="1086" spans="1:16" ht="15.75" customHeight="1">
      <c r="A1086" s="735" t="s">
        <v>2681</v>
      </c>
      <c r="B1086" s="731" t="s">
        <v>2680</v>
      </c>
      <c r="C1086" s="55"/>
      <c r="D1086" s="507"/>
      <c r="E1086" s="504"/>
      <c r="F1086" s="504"/>
      <c r="G1086" s="504"/>
      <c r="H1086" s="504"/>
      <c r="I1086" s="501"/>
      <c r="J1086" s="511"/>
      <c r="K1086" s="506"/>
      <c r="L1086" s="504"/>
      <c r="M1086" s="504"/>
      <c r="N1086" s="504"/>
      <c r="O1086" s="504"/>
      <c r="P1086" s="504"/>
    </row>
    <row r="1087" spans="1:16" ht="15.75" customHeight="1">
      <c r="A1087" s="735" t="s">
        <v>2681</v>
      </c>
      <c r="B1087" s="731" t="s">
        <v>2680</v>
      </c>
      <c r="C1087" s="55"/>
      <c r="D1087" s="507"/>
      <c r="E1087" s="504"/>
      <c r="F1087" s="504"/>
      <c r="G1087" s="504"/>
      <c r="H1087" s="504"/>
      <c r="I1087" s="501"/>
      <c r="J1087" s="511"/>
      <c r="K1087" s="506"/>
      <c r="L1087" s="504"/>
      <c r="M1087" s="504"/>
      <c r="N1087" s="504"/>
      <c r="O1087" s="504"/>
      <c r="P1087" s="504"/>
    </row>
    <row r="1088" spans="1:16">
      <c r="A1088" s="737" t="s">
        <v>2686</v>
      </c>
      <c r="B1088" s="731" t="s">
        <v>3199</v>
      </c>
      <c r="C1088" s="55"/>
      <c r="D1088" s="507"/>
      <c r="E1088" s="504"/>
      <c r="F1088" s="504"/>
      <c r="G1088" s="504"/>
      <c r="H1088" s="504"/>
      <c r="I1088" s="501"/>
      <c r="J1088" s="511"/>
      <c r="K1088" s="506"/>
      <c r="L1088" s="504"/>
      <c r="M1088" s="504"/>
      <c r="N1088" s="504"/>
      <c r="O1088" s="504"/>
      <c r="P1088" s="504"/>
    </row>
    <row r="1089" spans="1:16" ht="15.75" customHeight="1">
      <c r="A1089" s="737" t="s">
        <v>2686</v>
      </c>
      <c r="B1089" s="731" t="s">
        <v>3200</v>
      </c>
      <c r="C1089" s="55"/>
      <c r="D1089" s="507"/>
      <c r="E1089" s="504"/>
      <c r="F1089" s="504"/>
      <c r="G1089" s="504"/>
      <c r="H1089" s="504"/>
      <c r="I1089" s="501"/>
      <c r="J1089" s="511"/>
      <c r="K1089" s="506"/>
      <c r="L1089" s="504"/>
      <c r="M1089" s="504"/>
      <c r="N1089" s="504"/>
      <c r="O1089" s="504"/>
      <c r="P1089" s="504"/>
    </row>
    <row r="1090" spans="1:16" ht="15.75" customHeight="1">
      <c r="A1090" s="737" t="s">
        <v>2686</v>
      </c>
      <c r="B1090" s="731" t="s">
        <v>2680</v>
      </c>
      <c r="C1090" s="55"/>
      <c r="D1090" s="507"/>
      <c r="E1090" s="504"/>
      <c r="F1090" s="504"/>
      <c r="G1090" s="504"/>
      <c r="H1090" s="504"/>
      <c r="I1090" s="501"/>
      <c r="J1090" s="511"/>
      <c r="K1090" s="506"/>
      <c r="L1090" s="504"/>
      <c r="M1090" s="504"/>
      <c r="N1090" s="504"/>
      <c r="O1090" s="504"/>
      <c r="P1090" s="504"/>
    </row>
    <row r="1091" spans="1:16" ht="15.75" customHeight="1">
      <c r="A1091" s="737" t="s">
        <v>2686</v>
      </c>
      <c r="B1091" s="731" t="s">
        <v>2680</v>
      </c>
      <c r="C1091" s="55"/>
      <c r="D1091" s="507"/>
      <c r="E1091" s="504"/>
      <c r="F1091" s="504"/>
      <c r="G1091" s="504"/>
      <c r="H1091" s="504"/>
      <c r="I1091" s="501"/>
      <c r="J1091" s="511"/>
      <c r="K1091" s="506"/>
      <c r="L1091" s="504"/>
      <c r="M1091" s="504"/>
      <c r="N1091" s="504"/>
      <c r="O1091" s="504"/>
      <c r="P1091" s="504"/>
    </row>
    <row r="1092" spans="1:16" ht="15.75" customHeight="1">
      <c r="A1092" s="737" t="s">
        <v>2686</v>
      </c>
      <c r="B1092" s="731" t="s">
        <v>2680</v>
      </c>
      <c r="C1092" s="55"/>
      <c r="D1092" s="507"/>
      <c r="E1092" s="504"/>
      <c r="F1092" s="504"/>
      <c r="G1092" s="504"/>
      <c r="H1092" s="504"/>
      <c r="I1092" s="501"/>
      <c r="J1092" s="511"/>
      <c r="K1092" s="506"/>
      <c r="L1092" s="504"/>
      <c r="M1092" s="504"/>
      <c r="N1092" s="504"/>
      <c r="O1092" s="504"/>
      <c r="P1092" s="504"/>
    </row>
    <row r="1093" spans="1:16" ht="15.75" customHeight="1">
      <c r="A1093" s="738" t="s">
        <v>2691</v>
      </c>
      <c r="B1093" s="731" t="s">
        <v>3201</v>
      </c>
      <c r="C1093" s="55"/>
      <c r="D1093" s="507"/>
      <c r="E1093" s="504"/>
      <c r="F1093" s="504"/>
      <c r="G1093" s="504"/>
      <c r="H1093" s="504"/>
      <c r="I1093" s="501"/>
      <c r="J1093" s="511"/>
      <c r="K1093" s="506"/>
      <c r="L1093" s="504"/>
      <c r="M1093" s="504"/>
      <c r="N1093" s="504"/>
      <c r="O1093" s="504"/>
      <c r="P1093" s="504"/>
    </row>
    <row r="1094" spans="1:16" ht="15.75" customHeight="1">
      <c r="A1094" s="738" t="s">
        <v>2691</v>
      </c>
      <c r="B1094" s="731" t="s">
        <v>2680</v>
      </c>
      <c r="C1094" s="55"/>
      <c r="D1094" s="507"/>
      <c r="E1094" s="504"/>
      <c r="F1094" s="504"/>
      <c r="G1094" s="504"/>
      <c r="H1094" s="504"/>
      <c r="I1094" s="501"/>
      <c r="J1094" s="511"/>
      <c r="K1094" s="506"/>
      <c r="L1094" s="504"/>
      <c r="M1094" s="504"/>
      <c r="N1094" s="504"/>
      <c r="O1094" s="504"/>
      <c r="P1094" s="504"/>
    </row>
    <row r="1095" spans="1:16" ht="15.75" customHeight="1">
      <c r="A1095" s="739" t="s">
        <v>2693</v>
      </c>
      <c r="B1095" s="731" t="s">
        <v>2680</v>
      </c>
      <c r="C1095" s="55"/>
      <c r="D1095" s="507"/>
      <c r="E1095" s="504"/>
      <c r="F1095" s="504"/>
      <c r="G1095" s="504"/>
      <c r="H1095" s="504"/>
      <c r="I1095" s="501"/>
      <c r="J1095" s="511"/>
      <c r="K1095" s="506"/>
      <c r="L1095" s="504"/>
      <c r="M1095" s="504"/>
      <c r="N1095" s="504"/>
      <c r="O1095" s="504"/>
      <c r="P1095" s="504"/>
    </row>
    <row r="1096" spans="1:16" ht="15.75" customHeight="1">
      <c r="A1096" s="730"/>
      <c r="B1096" s="559"/>
      <c r="C1096" s="55"/>
      <c r="D1096" s="507"/>
      <c r="E1096" s="504"/>
      <c r="F1096" s="504"/>
      <c r="G1096" s="504"/>
      <c r="H1096" s="504"/>
      <c r="I1096" s="501"/>
      <c r="J1096" s="511"/>
      <c r="K1096" s="506"/>
      <c r="L1096" s="504"/>
      <c r="M1096" s="504"/>
      <c r="N1096" s="504"/>
      <c r="O1096" s="504"/>
      <c r="P1096" s="504"/>
    </row>
    <row r="1097" spans="1:16" ht="15.75" customHeight="1">
      <c r="A1097" s="729" t="s">
        <v>3202</v>
      </c>
      <c r="B1097" s="731" t="s">
        <v>2943</v>
      </c>
      <c r="C1097" s="55"/>
      <c r="D1097" s="507"/>
      <c r="E1097" s="504"/>
      <c r="F1097" s="504"/>
      <c r="G1097" s="504"/>
      <c r="H1097" s="504"/>
      <c r="I1097" s="501"/>
      <c r="J1097" s="511"/>
      <c r="K1097" s="506"/>
      <c r="L1097" s="504"/>
      <c r="M1097" s="504"/>
      <c r="N1097" s="504"/>
      <c r="O1097" s="504"/>
      <c r="P1097" s="504"/>
    </row>
    <row r="1098" spans="1:16" ht="15.75" customHeight="1">
      <c r="A1098" s="732" t="s">
        <v>2675</v>
      </c>
      <c r="B1098" s="731" t="s">
        <v>3203</v>
      </c>
      <c r="C1098" s="55"/>
      <c r="D1098" s="507"/>
      <c r="E1098" s="504"/>
      <c r="F1098" s="504"/>
      <c r="G1098" s="504"/>
      <c r="H1098" s="504"/>
      <c r="I1098" s="501"/>
      <c r="J1098" s="511"/>
      <c r="K1098" s="506"/>
      <c r="L1098" s="504"/>
      <c r="M1098" s="504"/>
      <c r="N1098" s="504"/>
      <c r="O1098" s="504"/>
      <c r="P1098" s="504"/>
    </row>
    <row r="1099" spans="1:16" ht="15.75" customHeight="1">
      <c r="A1099" s="732" t="s">
        <v>2675</v>
      </c>
      <c r="B1099" s="731" t="s">
        <v>3204</v>
      </c>
      <c r="C1099" s="55"/>
      <c r="D1099" s="507"/>
      <c r="E1099" s="504"/>
      <c r="F1099" s="504"/>
      <c r="G1099" s="504"/>
      <c r="H1099" s="504"/>
      <c r="I1099" s="501"/>
      <c r="J1099" s="511"/>
      <c r="K1099" s="506"/>
      <c r="L1099" s="504"/>
      <c r="M1099" s="504"/>
      <c r="N1099" s="504"/>
      <c r="O1099" s="504"/>
      <c r="P1099" s="504"/>
    </row>
    <row r="1100" spans="1:16" ht="15.75" customHeight="1">
      <c r="A1100" s="733" t="s">
        <v>5723</v>
      </c>
      <c r="B1100" s="731" t="s">
        <v>5790</v>
      </c>
      <c r="C1100" s="55"/>
      <c r="D1100" s="507"/>
      <c r="E1100" s="504"/>
      <c r="F1100" s="504"/>
      <c r="G1100" s="504"/>
      <c r="H1100" s="504"/>
      <c r="I1100" s="501"/>
      <c r="J1100" s="511"/>
      <c r="K1100" s="506"/>
      <c r="L1100" s="504"/>
      <c r="M1100" s="504"/>
      <c r="N1100" s="504"/>
      <c r="O1100" s="504"/>
      <c r="P1100" s="504"/>
    </row>
    <row r="1101" spans="1:16" ht="15.75" customHeight="1">
      <c r="A1101" s="733" t="s">
        <v>5723</v>
      </c>
      <c r="B1101" s="731" t="s">
        <v>2680</v>
      </c>
      <c r="C1101" s="55"/>
      <c r="D1101" s="507"/>
      <c r="E1101" s="504"/>
      <c r="F1101" s="504"/>
      <c r="G1101" s="504"/>
      <c r="H1101" s="504"/>
      <c r="I1101" s="501"/>
      <c r="J1101" s="511"/>
      <c r="K1101" s="506"/>
      <c r="L1101" s="504"/>
      <c r="M1101" s="504"/>
      <c r="N1101" s="504"/>
      <c r="O1101" s="504"/>
      <c r="P1101" s="504"/>
    </row>
    <row r="1102" spans="1:16" ht="15.75" customHeight="1">
      <c r="A1102" s="734" t="s">
        <v>2677</v>
      </c>
      <c r="B1102" s="731" t="s">
        <v>3205</v>
      </c>
      <c r="C1102" s="55"/>
      <c r="D1102" s="507"/>
      <c r="E1102" s="504"/>
      <c r="F1102" s="504"/>
      <c r="G1102" s="504"/>
      <c r="H1102" s="504"/>
      <c r="I1102" s="501"/>
      <c r="J1102" s="511"/>
      <c r="K1102" s="506"/>
      <c r="L1102" s="504"/>
      <c r="M1102" s="504"/>
      <c r="N1102" s="504"/>
      <c r="O1102" s="504"/>
      <c r="P1102" s="504"/>
    </row>
    <row r="1103" spans="1:16" ht="15.75" customHeight="1">
      <c r="A1103" s="734" t="s">
        <v>2677</v>
      </c>
      <c r="B1103" s="731" t="s">
        <v>3206</v>
      </c>
      <c r="C1103" s="55"/>
      <c r="D1103" s="507"/>
      <c r="E1103" s="504"/>
      <c r="F1103" s="504"/>
      <c r="G1103" s="504"/>
      <c r="H1103" s="504"/>
      <c r="I1103" s="501"/>
      <c r="J1103" s="511"/>
      <c r="K1103" s="506"/>
      <c r="L1103" s="504"/>
      <c r="M1103" s="504"/>
      <c r="N1103" s="504"/>
      <c r="O1103" s="504"/>
      <c r="P1103" s="504"/>
    </row>
    <row r="1104" spans="1:16" ht="15.75" customHeight="1">
      <c r="A1104" s="734" t="s">
        <v>2677</v>
      </c>
      <c r="B1104" s="731" t="s">
        <v>3207</v>
      </c>
      <c r="C1104" s="55"/>
      <c r="D1104" s="507"/>
      <c r="E1104" s="504"/>
      <c r="F1104" s="504"/>
      <c r="G1104" s="504"/>
      <c r="H1104" s="504"/>
      <c r="I1104" s="501"/>
      <c r="J1104" s="511"/>
      <c r="K1104" s="506"/>
      <c r="L1104" s="504"/>
      <c r="M1104" s="504"/>
      <c r="N1104" s="504"/>
      <c r="O1104" s="504"/>
      <c r="P1104" s="504"/>
    </row>
    <row r="1105" spans="1:16" ht="15.75" customHeight="1">
      <c r="A1105" s="735" t="s">
        <v>2681</v>
      </c>
      <c r="B1105" s="731" t="s">
        <v>2680</v>
      </c>
      <c r="C1105" s="55"/>
      <c r="D1105" s="507"/>
      <c r="E1105" s="504"/>
      <c r="F1105" s="504"/>
      <c r="G1105" s="504"/>
      <c r="H1105" s="504"/>
      <c r="I1105" s="501"/>
      <c r="J1105" s="511"/>
      <c r="K1105" s="506"/>
      <c r="L1105" s="504"/>
      <c r="M1105" s="504"/>
      <c r="N1105" s="504"/>
      <c r="O1105" s="504"/>
      <c r="P1105" s="504"/>
    </row>
    <row r="1106" spans="1:16" ht="15.75" customHeight="1">
      <c r="A1106" s="735" t="s">
        <v>2681</v>
      </c>
      <c r="B1106" s="731" t="s">
        <v>3208</v>
      </c>
      <c r="C1106" s="55"/>
      <c r="D1106" s="507"/>
      <c r="E1106" s="504"/>
      <c r="F1106" s="504"/>
      <c r="G1106" s="504"/>
      <c r="H1106" s="504"/>
      <c r="I1106" s="501"/>
      <c r="J1106" s="511"/>
      <c r="K1106" s="506"/>
      <c r="L1106" s="504"/>
      <c r="M1106" s="504"/>
      <c r="N1106" s="504"/>
      <c r="O1106" s="504"/>
      <c r="P1106" s="504"/>
    </row>
    <row r="1107" spans="1:16">
      <c r="A1107" s="735" t="s">
        <v>2681</v>
      </c>
      <c r="B1107" s="731" t="s">
        <v>3209</v>
      </c>
      <c r="C1107" s="55"/>
      <c r="D1107" s="507"/>
      <c r="E1107" s="504"/>
      <c r="F1107" s="504"/>
      <c r="G1107" s="504"/>
      <c r="H1107" s="504"/>
      <c r="I1107" s="501"/>
      <c r="J1107" s="511"/>
      <c r="K1107" s="506"/>
      <c r="L1107" s="504"/>
      <c r="M1107" s="504"/>
      <c r="N1107" s="504"/>
      <c r="O1107" s="504"/>
      <c r="P1107" s="504"/>
    </row>
    <row r="1108" spans="1:16" ht="15.75" customHeight="1">
      <c r="A1108" s="735" t="s">
        <v>2681</v>
      </c>
      <c r="B1108" s="731" t="s">
        <v>2680</v>
      </c>
      <c r="C1108" s="55"/>
      <c r="D1108" s="507"/>
      <c r="E1108" s="504"/>
      <c r="F1108" s="504"/>
      <c r="G1108" s="504"/>
      <c r="H1108" s="504"/>
      <c r="I1108" s="501"/>
      <c r="J1108" s="511"/>
      <c r="K1108" s="506"/>
      <c r="L1108" s="504"/>
      <c r="M1108" s="504"/>
      <c r="N1108" s="504"/>
      <c r="O1108" s="504"/>
      <c r="P1108" s="504"/>
    </row>
    <row r="1109" spans="1:16" ht="15.75" customHeight="1">
      <c r="A1109" s="737" t="s">
        <v>2686</v>
      </c>
      <c r="B1109" s="731" t="s">
        <v>2680</v>
      </c>
      <c r="C1109" s="55"/>
      <c r="D1109" s="507"/>
      <c r="E1109" s="504"/>
      <c r="F1109" s="504"/>
      <c r="G1109" s="504"/>
      <c r="H1109" s="504"/>
      <c r="I1109" s="501"/>
      <c r="J1109" s="511"/>
      <c r="K1109" s="506"/>
      <c r="L1109" s="504"/>
      <c r="M1109" s="504"/>
      <c r="N1109" s="504"/>
      <c r="O1109" s="504"/>
      <c r="P1109" s="504"/>
    </row>
    <row r="1110" spans="1:16" ht="15.75" customHeight="1">
      <c r="A1110" s="737" t="s">
        <v>2686</v>
      </c>
      <c r="B1110" s="731" t="s">
        <v>3210</v>
      </c>
      <c r="C1110" s="55"/>
      <c r="D1110" s="507"/>
      <c r="E1110" s="504"/>
      <c r="F1110" s="504"/>
      <c r="G1110" s="504"/>
      <c r="H1110" s="504"/>
      <c r="I1110" s="501"/>
      <c r="J1110" s="515"/>
      <c r="K1110" s="506"/>
      <c r="L1110" s="504"/>
      <c r="M1110" s="504"/>
      <c r="N1110" s="504"/>
      <c r="O1110" s="504"/>
      <c r="P1110" s="504"/>
    </row>
    <row r="1111" spans="1:16" ht="15.75" customHeight="1">
      <c r="A1111" s="737" t="s">
        <v>2686</v>
      </c>
      <c r="B1111" s="731" t="s">
        <v>3211</v>
      </c>
      <c r="C1111" s="55"/>
      <c r="D1111" s="507"/>
      <c r="E1111" s="504"/>
      <c r="F1111" s="504"/>
      <c r="G1111" s="504"/>
      <c r="H1111" s="504"/>
      <c r="I1111" s="501"/>
      <c r="J1111" s="515"/>
      <c r="K1111" s="506"/>
      <c r="L1111" s="504"/>
      <c r="M1111" s="504"/>
      <c r="N1111" s="504"/>
      <c r="O1111" s="504"/>
      <c r="P1111" s="504"/>
    </row>
    <row r="1112" spans="1:16" ht="15.75" customHeight="1">
      <c r="A1112" s="737" t="s">
        <v>2686</v>
      </c>
      <c r="B1112" s="731" t="s">
        <v>3212</v>
      </c>
      <c r="C1112" s="55"/>
      <c r="D1112" s="507"/>
      <c r="E1112" s="504"/>
      <c r="F1112" s="504"/>
      <c r="G1112" s="504"/>
      <c r="H1112" s="504"/>
      <c r="I1112" s="501"/>
      <c r="J1112" s="515"/>
      <c r="K1112" s="506"/>
      <c r="L1112" s="504"/>
      <c r="M1112" s="504"/>
      <c r="N1112" s="504"/>
      <c r="O1112" s="504"/>
      <c r="P1112" s="504"/>
    </row>
    <row r="1113" spans="1:16" ht="15.75" customHeight="1">
      <c r="A1113" s="737" t="s">
        <v>2686</v>
      </c>
      <c r="B1113" s="731" t="s">
        <v>3213</v>
      </c>
      <c r="C1113" s="55"/>
      <c r="D1113" s="507"/>
      <c r="E1113" s="504"/>
      <c r="F1113" s="504"/>
      <c r="G1113" s="504"/>
      <c r="H1113" s="504"/>
      <c r="I1113" s="501"/>
      <c r="J1113" s="515"/>
      <c r="K1113" s="506"/>
      <c r="L1113" s="504"/>
      <c r="M1113" s="504"/>
      <c r="N1113" s="504"/>
      <c r="O1113" s="504"/>
      <c r="P1113" s="504"/>
    </row>
    <row r="1114" spans="1:16" ht="15.75" customHeight="1">
      <c r="A1114" s="738" t="s">
        <v>2691</v>
      </c>
      <c r="B1114" s="731" t="s">
        <v>2680</v>
      </c>
      <c r="C1114" s="55"/>
      <c r="D1114" s="507"/>
      <c r="E1114" s="504"/>
      <c r="F1114" s="504"/>
      <c r="G1114" s="504"/>
      <c r="H1114" s="504"/>
      <c r="I1114" s="501"/>
      <c r="J1114" s="515"/>
      <c r="K1114" s="506"/>
      <c r="L1114" s="504"/>
      <c r="M1114" s="504"/>
      <c r="N1114" s="504"/>
      <c r="O1114" s="504"/>
      <c r="P1114" s="504"/>
    </row>
    <row r="1115" spans="1:16" ht="15.75" customHeight="1">
      <c r="A1115" s="738" t="s">
        <v>2691</v>
      </c>
      <c r="B1115" s="731" t="s">
        <v>3214</v>
      </c>
      <c r="C1115" s="55"/>
      <c r="D1115" s="507"/>
      <c r="E1115" s="504"/>
      <c r="F1115" s="504"/>
      <c r="G1115" s="504"/>
      <c r="H1115" s="504"/>
      <c r="I1115" s="501"/>
      <c r="J1115" s="515"/>
      <c r="K1115" s="506"/>
      <c r="L1115" s="504"/>
      <c r="M1115" s="504"/>
      <c r="N1115" s="504"/>
      <c r="O1115" s="504"/>
      <c r="P1115" s="504"/>
    </row>
    <row r="1116" spans="1:16" ht="15.75" customHeight="1">
      <c r="A1116" s="739" t="s">
        <v>2693</v>
      </c>
      <c r="B1116" s="731" t="s">
        <v>3215</v>
      </c>
      <c r="C1116" s="55"/>
      <c r="D1116" s="507"/>
      <c r="E1116" s="504"/>
      <c r="F1116" s="504"/>
      <c r="G1116" s="504"/>
      <c r="H1116" s="504"/>
      <c r="I1116" s="501"/>
      <c r="J1116" s="516"/>
      <c r="K1116" s="506"/>
      <c r="L1116" s="504"/>
      <c r="M1116" s="504"/>
      <c r="N1116" s="504"/>
      <c r="O1116" s="504"/>
      <c r="P1116" s="504"/>
    </row>
    <row r="1117" spans="1:16">
      <c r="A1117" s="730"/>
      <c r="B1117" s="559"/>
      <c r="C1117" s="55"/>
      <c r="D1117" s="507"/>
      <c r="E1117" s="504"/>
      <c r="F1117" s="504"/>
      <c r="G1117" s="504"/>
      <c r="H1117" s="504"/>
      <c r="I1117" s="501"/>
      <c r="J1117" s="516"/>
      <c r="K1117" s="506"/>
      <c r="L1117" s="504"/>
      <c r="M1117" s="504"/>
      <c r="N1117" s="504"/>
      <c r="O1117" s="504"/>
      <c r="P1117" s="504"/>
    </row>
    <row r="1118" spans="1:16" ht="15.45">
      <c r="A1118" s="729" t="s">
        <v>3216</v>
      </c>
      <c r="B1118" s="731" t="s">
        <v>2943</v>
      </c>
      <c r="C1118" s="55"/>
      <c r="D1118" s="507"/>
      <c r="E1118" s="504"/>
      <c r="F1118" s="504"/>
      <c r="G1118" s="504"/>
      <c r="H1118" s="504"/>
      <c r="I1118" s="501"/>
      <c r="J1118" s="516"/>
      <c r="K1118" s="506"/>
      <c r="L1118" s="504"/>
      <c r="M1118" s="504"/>
      <c r="N1118" s="504"/>
      <c r="O1118" s="504"/>
      <c r="P1118" s="504"/>
    </row>
    <row r="1119" spans="1:16" ht="15.75" customHeight="1">
      <c r="A1119" s="732" t="s">
        <v>2675</v>
      </c>
      <c r="B1119" s="731" t="s">
        <v>3217</v>
      </c>
      <c r="C1119" s="55"/>
      <c r="D1119" s="507"/>
      <c r="E1119" s="504"/>
      <c r="F1119" s="504"/>
      <c r="G1119" s="504"/>
      <c r="H1119" s="504"/>
      <c r="I1119" s="501"/>
      <c r="J1119" s="516"/>
      <c r="K1119" s="506"/>
      <c r="L1119" s="504"/>
      <c r="M1119" s="504"/>
      <c r="N1119" s="504"/>
      <c r="O1119" s="504"/>
      <c r="P1119" s="504"/>
    </row>
    <row r="1120" spans="1:16" ht="15.75" customHeight="1">
      <c r="A1120" s="732" t="s">
        <v>2675</v>
      </c>
      <c r="B1120" s="731" t="s">
        <v>3218</v>
      </c>
      <c r="C1120" s="55"/>
      <c r="D1120" s="507"/>
      <c r="E1120" s="504"/>
      <c r="F1120" s="504"/>
      <c r="G1120" s="504"/>
      <c r="H1120" s="504"/>
      <c r="I1120" s="501"/>
      <c r="J1120" s="516"/>
      <c r="K1120" s="506"/>
      <c r="L1120" s="504"/>
      <c r="M1120" s="504"/>
      <c r="N1120" s="504"/>
      <c r="O1120" s="504"/>
      <c r="P1120" s="504"/>
    </row>
    <row r="1121" spans="1:16" ht="15.75" customHeight="1">
      <c r="A1121" s="733" t="s">
        <v>5723</v>
      </c>
      <c r="B1121" s="731" t="s">
        <v>5791</v>
      </c>
      <c r="C1121" s="55"/>
      <c r="D1121" s="507"/>
      <c r="E1121" s="504"/>
      <c r="F1121" s="504"/>
      <c r="G1121" s="504"/>
      <c r="H1121" s="504"/>
      <c r="I1121" s="501"/>
      <c r="J1121" s="516"/>
      <c r="K1121" s="506"/>
      <c r="L1121" s="504"/>
      <c r="M1121" s="504"/>
      <c r="N1121" s="504"/>
      <c r="O1121" s="504"/>
      <c r="P1121" s="504"/>
    </row>
    <row r="1122" spans="1:16" ht="15.75" customHeight="1">
      <c r="A1122" s="733" t="s">
        <v>5723</v>
      </c>
      <c r="B1122" s="731" t="s">
        <v>2680</v>
      </c>
      <c r="C1122" s="55"/>
      <c r="D1122" s="507"/>
      <c r="E1122" s="504"/>
      <c r="F1122" s="504"/>
      <c r="G1122" s="504"/>
      <c r="H1122" s="504"/>
      <c r="I1122" s="501"/>
      <c r="J1122" s="516"/>
      <c r="K1122" s="506"/>
      <c r="L1122" s="504"/>
      <c r="M1122" s="504"/>
      <c r="N1122" s="504"/>
      <c r="O1122" s="504"/>
      <c r="P1122" s="504"/>
    </row>
    <row r="1123" spans="1:16" ht="15.75" customHeight="1">
      <c r="A1123" s="734" t="s">
        <v>2677</v>
      </c>
      <c r="B1123" s="731" t="s">
        <v>3219</v>
      </c>
      <c r="C1123" s="55"/>
      <c r="D1123" s="507"/>
      <c r="E1123" s="504"/>
      <c r="F1123" s="504"/>
      <c r="G1123" s="504"/>
      <c r="H1123" s="504"/>
      <c r="I1123" s="501"/>
      <c r="J1123" s="516"/>
      <c r="K1123" s="506"/>
      <c r="L1123" s="504"/>
      <c r="M1123" s="504"/>
      <c r="N1123" s="504"/>
      <c r="O1123" s="504"/>
      <c r="P1123" s="504"/>
    </row>
    <row r="1124" spans="1:16" ht="15.75" customHeight="1">
      <c r="A1124" s="734" t="s">
        <v>2677</v>
      </c>
      <c r="B1124" s="731" t="s">
        <v>2680</v>
      </c>
      <c r="C1124" s="55"/>
      <c r="D1124" s="507"/>
      <c r="E1124" s="504"/>
      <c r="F1124" s="504"/>
      <c r="G1124" s="504"/>
      <c r="H1124" s="504"/>
      <c r="I1124" s="501"/>
      <c r="J1124" s="527"/>
      <c r="K1124" s="506"/>
      <c r="L1124" s="504"/>
      <c r="M1124" s="504"/>
      <c r="N1124" s="504"/>
      <c r="O1124" s="504"/>
      <c r="P1124" s="504"/>
    </row>
    <row r="1125" spans="1:16" ht="15.75" customHeight="1">
      <c r="A1125" s="734" t="s">
        <v>2677</v>
      </c>
      <c r="B1125" s="731" t="s">
        <v>2680</v>
      </c>
      <c r="C1125" s="55"/>
      <c r="D1125" s="507"/>
      <c r="E1125" s="504"/>
      <c r="F1125" s="504"/>
      <c r="G1125" s="504"/>
      <c r="H1125" s="504"/>
      <c r="I1125" s="501"/>
      <c r="J1125" s="527"/>
      <c r="K1125" s="506"/>
      <c r="L1125" s="504"/>
      <c r="M1125" s="504"/>
      <c r="N1125" s="504"/>
      <c r="O1125" s="504"/>
      <c r="P1125" s="504"/>
    </row>
    <row r="1126" spans="1:16">
      <c r="A1126" s="735" t="s">
        <v>2681</v>
      </c>
      <c r="B1126" s="731" t="s">
        <v>3171</v>
      </c>
      <c r="C1126" s="55"/>
      <c r="D1126" s="507"/>
      <c r="E1126" s="504"/>
      <c r="F1126" s="504"/>
      <c r="G1126" s="504"/>
      <c r="H1126" s="504"/>
      <c r="I1126" s="501"/>
      <c r="J1126" s="527"/>
      <c r="K1126" s="506"/>
      <c r="L1126" s="504"/>
      <c r="M1126" s="504"/>
      <c r="N1126" s="504"/>
      <c r="O1126" s="504"/>
      <c r="P1126" s="504"/>
    </row>
    <row r="1127" spans="1:16" ht="15.75" customHeight="1">
      <c r="A1127" s="735" t="s">
        <v>2681</v>
      </c>
      <c r="B1127" s="731" t="s">
        <v>2680</v>
      </c>
      <c r="C1127" s="55"/>
      <c r="D1127" s="507"/>
      <c r="E1127" s="504"/>
      <c r="F1127" s="504"/>
      <c r="G1127" s="504"/>
      <c r="H1127" s="504"/>
      <c r="I1127" s="501"/>
      <c r="J1127" s="527"/>
      <c r="K1127" s="506"/>
      <c r="L1127" s="504"/>
      <c r="M1127" s="504"/>
      <c r="N1127" s="504"/>
      <c r="O1127" s="504"/>
      <c r="P1127" s="504"/>
    </row>
    <row r="1128" spans="1:16" ht="15.75" customHeight="1">
      <c r="A1128" s="735" t="s">
        <v>2681</v>
      </c>
      <c r="B1128" s="731" t="s">
        <v>3220</v>
      </c>
      <c r="C1128" s="55"/>
      <c r="D1128" s="507"/>
      <c r="E1128" s="504"/>
      <c r="F1128" s="504"/>
      <c r="G1128" s="504"/>
      <c r="H1128" s="504"/>
      <c r="I1128" s="501"/>
      <c r="J1128" s="527"/>
      <c r="K1128" s="506"/>
      <c r="L1128" s="504"/>
      <c r="M1128" s="504"/>
      <c r="N1128" s="504"/>
      <c r="O1128" s="504"/>
      <c r="P1128" s="504"/>
    </row>
    <row r="1129" spans="1:16" ht="15.75" customHeight="1">
      <c r="A1129" s="735" t="s">
        <v>2681</v>
      </c>
      <c r="B1129" s="731" t="s">
        <v>2680</v>
      </c>
      <c r="C1129" s="55"/>
      <c r="D1129" s="507"/>
      <c r="E1129" s="504"/>
      <c r="F1129" s="504"/>
      <c r="G1129" s="504"/>
      <c r="H1129" s="504"/>
      <c r="I1129" s="501"/>
      <c r="J1129" s="527"/>
      <c r="K1129" s="506"/>
      <c r="L1129" s="504"/>
      <c r="M1129" s="504"/>
      <c r="N1129" s="504"/>
      <c r="O1129" s="504"/>
      <c r="P1129" s="504"/>
    </row>
    <row r="1130" spans="1:16" ht="15.75" customHeight="1">
      <c r="A1130" s="737" t="s">
        <v>2686</v>
      </c>
      <c r="B1130" s="731" t="s">
        <v>3221</v>
      </c>
      <c r="C1130" s="55"/>
      <c r="D1130" s="507"/>
      <c r="E1130" s="504"/>
      <c r="F1130" s="504"/>
      <c r="G1130" s="504"/>
      <c r="H1130" s="504"/>
      <c r="I1130" s="501"/>
      <c r="J1130" s="527"/>
      <c r="K1130" s="506"/>
      <c r="L1130" s="504"/>
      <c r="M1130" s="504"/>
      <c r="N1130" s="504"/>
      <c r="O1130" s="504"/>
      <c r="P1130" s="504"/>
    </row>
    <row r="1131" spans="1:16" ht="15.75" customHeight="1">
      <c r="A1131" s="737" t="s">
        <v>2686</v>
      </c>
      <c r="B1131" s="731" t="s">
        <v>3222</v>
      </c>
      <c r="C1131" s="55"/>
      <c r="D1131" s="507"/>
      <c r="E1131" s="504"/>
      <c r="F1131" s="504"/>
      <c r="G1131" s="504"/>
      <c r="H1131" s="504"/>
      <c r="I1131" s="501"/>
      <c r="J1131" s="527"/>
      <c r="K1131" s="506"/>
      <c r="L1131" s="504"/>
      <c r="M1131" s="504"/>
      <c r="N1131" s="504"/>
      <c r="O1131" s="504"/>
      <c r="P1131" s="504"/>
    </row>
    <row r="1132" spans="1:16" ht="15.75" customHeight="1">
      <c r="A1132" s="737" t="s">
        <v>2686</v>
      </c>
      <c r="B1132" s="731" t="s">
        <v>3223</v>
      </c>
      <c r="C1132" s="55"/>
      <c r="D1132" s="507"/>
      <c r="E1132" s="504"/>
      <c r="F1132" s="504"/>
      <c r="G1132" s="504"/>
      <c r="H1132" s="504"/>
      <c r="I1132" s="501"/>
      <c r="J1132" s="528"/>
      <c r="K1132" s="506"/>
      <c r="L1132" s="504"/>
      <c r="M1132" s="504"/>
      <c r="N1132" s="504"/>
      <c r="O1132" s="504"/>
      <c r="P1132" s="504"/>
    </row>
    <row r="1133" spans="1:16" ht="15.75" customHeight="1">
      <c r="A1133" s="737" t="s">
        <v>2686</v>
      </c>
      <c r="B1133" s="731" t="s">
        <v>3224</v>
      </c>
      <c r="C1133" s="55"/>
      <c r="D1133" s="507"/>
      <c r="E1133" s="504"/>
      <c r="F1133" s="504"/>
      <c r="G1133" s="504"/>
      <c r="H1133" s="504"/>
      <c r="I1133" s="501"/>
      <c r="J1133" s="505"/>
      <c r="K1133" s="506"/>
      <c r="L1133" s="504"/>
      <c r="M1133" s="504"/>
      <c r="N1133" s="504"/>
      <c r="O1133" s="504"/>
      <c r="P1133" s="504"/>
    </row>
    <row r="1134" spans="1:16" ht="15.75" customHeight="1">
      <c r="A1134" s="737" t="s">
        <v>2686</v>
      </c>
      <c r="B1134" s="731" t="s">
        <v>2680</v>
      </c>
      <c r="C1134" s="55"/>
      <c r="D1134" s="507"/>
      <c r="E1134" s="504"/>
      <c r="F1134" s="504"/>
      <c r="G1134" s="504"/>
      <c r="H1134" s="504"/>
      <c r="I1134" s="501"/>
      <c r="J1134" s="505"/>
      <c r="K1134" s="506"/>
      <c r="L1134" s="504"/>
      <c r="M1134" s="504"/>
      <c r="N1134" s="504"/>
      <c r="O1134" s="504"/>
      <c r="P1134" s="504"/>
    </row>
    <row r="1135" spans="1:16" ht="15.75" customHeight="1">
      <c r="A1135" s="738" t="s">
        <v>2691</v>
      </c>
      <c r="B1135" s="731" t="s">
        <v>5946</v>
      </c>
      <c r="C1135" s="55"/>
      <c r="D1135" s="507"/>
      <c r="E1135" s="504"/>
      <c r="F1135" s="504"/>
      <c r="G1135" s="504"/>
      <c r="H1135" s="504"/>
      <c r="I1135" s="501"/>
      <c r="J1135" s="505"/>
      <c r="K1135" s="506"/>
      <c r="L1135" s="504"/>
      <c r="M1135" s="504"/>
      <c r="N1135" s="504"/>
      <c r="O1135" s="504"/>
      <c r="P1135" s="504"/>
    </row>
    <row r="1136" spans="1:16" ht="15.75" customHeight="1">
      <c r="A1136" s="738" t="s">
        <v>2691</v>
      </c>
      <c r="B1136" s="731" t="s">
        <v>3225</v>
      </c>
      <c r="C1136" s="55"/>
      <c r="D1136" s="507"/>
      <c r="E1136" s="504"/>
      <c r="F1136" s="504"/>
      <c r="G1136" s="504"/>
      <c r="H1136" s="504"/>
      <c r="I1136" s="501"/>
      <c r="J1136" s="505"/>
      <c r="K1136" s="506"/>
      <c r="L1136" s="504"/>
      <c r="M1136" s="504"/>
      <c r="N1136" s="504"/>
      <c r="O1136" s="504"/>
      <c r="P1136" s="504"/>
    </row>
    <row r="1137" spans="1:16" ht="15.75" customHeight="1">
      <c r="A1137" s="739" t="s">
        <v>2693</v>
      </c>
      <c r="B1137" s="731" t="s">
        <v>2680</v>
      </c>
      <c r="C1137" s="55"/>
      <c r="D1137" s="507"/>
      <c r="E1137" s="504"/>
      <c r="F1137" s="504"/>
      <c r="G1137" s="504"/>
      <c r="H1137" s="504"/>
      <c r="I1137" s="501"/>
      <c r="J1137" s="505"/>
      <c r="K1137" s="506"/>
      <c r="L1137" s="504"/>
      <c r="M1137" s="504"/>
      <c r="N1137" s="504"/>
      <c r="O1137" s="504"/>
      <c r="P1137" s="504"/>
    </row>
    <row r="1138" spans="1:16" ht="15.75" customHeight="1">
      <c r="A1138" s="730"/>
      <c r="B1138" s="559"/>
      <c r="C1138" s="55"/>
      <c r="D1138" s="507"/>
      <c r="E1138" s="504"/>
      <c r="F1138" s="504"/>
      <c r="G1138" s="504"/>
      <c r="H1138" s="504"/>
      <c r="I1138" s="501"/>
      <c r="J1138" s="505"/>
      <c r="K1138" s="506"/>
      <c r="L1138" s="504"/>
      <c r="M1138" s="504"/>
      <c r="N1138" s="504"/>
      <c r="O1138" s="504"/>
      <c r="P1138" s="504"/>
    </row>
    <row r="1139" spans="1:16" ht="15.75" customHeight="1">
      <c r="A1139" s="729" t="s">
        <v>3226</v>
      </c>
      <c r="B1139" s="731" t="s">
        <v>2674</v>
      </c>
      <c r="C1139" s="55"/>
      <c r="D1139" s="507"/>
      <c r="E1139" s="504"/>
      <c r="F1139" s="504"/>
      <c r="G1139" s="504"/>
      <c r="H1139" s="504"/>
      <c r="I1139" s="501"/>
      <c r="J1139" s="505"/>
      <c r="K1139" s="506"/>
      <c r="L1139" s="504"/>
      <c r="M1139" s="504"/>
      <c r="N1139" s="504"/>
      <c r="O1139" s="504"/>
      <c r="P1139" s="504"/>
    </row>
    <row r="1140" spans="1:16" ht="15.75" customHeight="1">
      <c r="A1140" s="732" t="s">
        <v>2675</v>
      </c>
      <c r="B1140" s="731" t="s">
        <v>3227</v>
      </c>
      <c r="C1140" s="55"/>
      <c r="D1140" s="507"/>
      <c r="E1140" s="504"/>
      <c r="F1140" s="504"/>
      <c r="G1140" s="504"/>
      <c r="H1140" s="504"/>
      <c r="I1140" s="501"/>
      <c r="J1140" s="505"/>
      <c r="K1140" s="506"/>
      <c r="L1140" s="504"/>
      <c r="M1140" s="504"/>
      <c r="N1140" s="504"/>
      <c r="O1140" s="504"/>
      <c r="P1140" s="504"/>
    </row>
    <row r="1141" spans="1:16" ht="15.75" customHeight="1">
      <c r="A1141" s="732" t="s">
        <v>2675</v>
      </c>
      <c r="B1141" s="731" t="s">
        <v>2680</v>
      </c>
      <c r="C1141" s="55"/>
      <c r="D1141" s="507"/>
      <c r="E1141" s="504"/>
      <c r="F1141" s="504"/>
      <c r="G1141" s="504"/>
      <c r="H1141" s="504"/>
      <c r="I1141" s="501"/>
      <c r="J1141" s="505"/>
      <c r="K1141" s="506"/>
      <c r="L1141" s="504"/>
      <c r="M1141" s="504"/>
      <c r="N1141" s="504"/>
      <c r="O1141" s="504"/>
      <c r="P1141" s="504"/>
    </row>
    <row r="1142" spans="1:16" ht="15.75" customHeight="1">
      <c r="A1142" s="733" t="s">
        <v>5723</v>
      </c>
      <c r="B1142" s="731" t="s">
        <v>5792</v>
      </c>
      <c r="C1142" s="55"/>
      <c r="D1142" s="507"/>
      <c r="E1142" s="504"/>
      <c r="F1142" s="504"/>
      <c r="G1142" s="504"/>
      <c r="H1142" s="504"/>
      <c r="I1142" s="501"/>
      <c r="J1142" s="505"/>
      <c r="K1142" s="506"/>
      <c r="L1142" s="504"/>
      <c r="M1142" s="504"/>
      <c r="N1142" s="504"/>
      <c r="O1142" s="504"/>
      <c r="P1142" s="504"/>
    </row>
    <row r="1143" spans="1:16" ht="15.75" customHeight="1">
      <c r="A1143" s="733" t="s">
        <v>5723</v>
      </c>
      <c r="B1143" s="731" t="s">
        <v>2680</v>
      </c>
      <c r="C1143" s="55"/>
      <c r="D1143" s="507"/>
      <c r="E1143" s="504"/>
      <c r="F1143" s="504"/>
      <c r="G1143" s="504"/>
      <c r="H1143" s="504"/>
      <c r="I1143" s="501"/>
      <c r="J1143" s="505"/>
      <c r="K1143" s="506"/>
      <c r="L1143" s="504"/>
      <c r="M1143" s="504"/>
      <c r="N1143" s="504"/>
      <c r="O1143" s="504"/>
      <c r="P1143" s="504"/>
    </row>
    <row r="1144" spans="1:16" ht="15.75" customHeight="1">
      <c r="A1144" s="734" t="s">
        <v>2677</v>
      </c>
      <c r="B1144" s="731" t="s">
        <v>3228</v>
      </c>
      <c r="C1144" s="55"/>
      <c r="D1144" s="507"/>
      <c r="E1144" s="504"/>
      <c r="F1144" s="504"/>
      <c r="G1144" s="504"/>
      <c r="H1144" s="504"/>
      <c r="I1144" s="501"/>
      <c r="J1144" s="505"/>
      <c r="K1144" s="506"/>
      <c r="L1144" s="504"/>
      <c r="M1144" s="504"/>
      <c r="N1144" s="504"/>
      <c r="O1144" s="504"/>
      <c r="P1144" s="504"/>
    </row>
    <row r="1145" spans="1:16">
      <c r="A1145" s="734" t="s">
        <v>2677</v>
      </c>
      <c r="B1145" s="731" t="s">
        <v>2680</v>
      </c>
      <c r="C1145" s="55"/>
      <c r="D1145" s="507"/>
      <c r="E1145" s="504"/>
      <c r="F1145" s="504"/>
      <c r="G1145" s="504"/>
      <c r="H1145" s="504"/>
      <c r="I1145" s="501"/>
      <c r="J1145" s="505"/>
      <c r="K1145" s="506"/>
      <c r="L1145" s="504"/>
      <c r="M1145" s="504"/>
      <c r="N1145" s="504"/>
      <c r="O1145" s="504"/>
      <c r="P1145" s="504"/>
    </row>
    <row r="1146" spans="1:16" ht="15.75" customHeight="1">
      <c r="A1146" s="734" t="s">
        <v>2677</v>
      </c>
      <c r="B1146" s="731" t="s">
        <v>2680</v>
      </c>
      <c r="C1146" s="55"/>
      <c r="D1146" s="507"/>
      <c r="E1146" s="504"/>
      <c r="F1146" s="504"/>
      <c r="G1146" s="504"/>
      <c r="H1146" s="504"/>
      <c r="I1146" s="501"/>
      <c r="J1146" s="505"/>
      <c r="K1146" s="506"/>
      <c r="L1146" s="504"/>
      <c r="M1146" s="504"/>
      <c r="N1146" s="504"/>
      <c r="O1146" s="504"/>
      <c r="P1146" s="504"/>
    </row>
    <row r="1147" spans="1:16" ht="15.75" customHeight="1">
      <c r="A1147" s="735" t="s">
        <v>2681</v>
      </c>
      <c r="B1147" s="731" t="s">
        <v>3229</v>
      </c>
      <c r="C1147" s="55"/>
      <c r="D1147" s="507"/>
      <c r="E1147" s="504"/>
      <c r="F1147" s="504"/>
      <c r="G1147" s="504"/>
      <c r="H1147" s="504"/>
      <c r="I1147" s="501"/>
      <c r="J1147" s="505"/>
      <c r="K1147" s="506"/>
      <c r="L1147" s="504"/>
      <c r="M1147" s="504"/>
      <c r="N1147" s="504"/>
      <c r="O1147" s="504"/>
      <c r="P1147" s="504"/>
    </row>
    <row r="1148" spans="1:16" ht="15.75" customHeight="1">
      <c r="A1148" s="735" t="s">
        <v>2681</v>
      </c>
      <c r="B1148" s="731" t="s">
        <v>2680</v>
      </c>
      <c r="C1148" s="55"/>
      <c r="D1148" s="507"/>
      <c r="E1148" s="504"/>
      <c r="F1148" s="504"/>
      <c r="G1148" s="504"/>
      <c r="H1148" s="504"/>
      <c r="I1148" s="501"/>
      <c r="J1148" s="505"/>
      <c r="K1148" s="506"/>
      <c r="L1148" s="504"/>
      <c r="M1148" s="504"/>
      <c r="N1148" s="504"/>
      <c r="O1148" s="504"/>
      <c r="P1148" s="504"/>
    </row>
    <row r="1149" spans="1:16" ht="15.75" customHeight="1">
      <c r="A1149" s="735" t="s">
        <v>2681</v>
      </c>
      <c r="B1149" s="731" t="s">
        <v>3230</v>
      </c>
      <c r="C1149" s="55"/>
      <c r="D1149" s="507"/>
      <c r="E1149" s="504"/>
      <c r="F1149" s="504"/>
      <c r="G1149" s="504"/>
      <c r="H1149" s="504"/>
      <c r="I1149" s="501"/>
      <c r="J1149" s="505"/>
      <c r="K1149" s="506"/>
      <c r="L1149" s="504"/>
      <c r="M1149" s="504"/>
      <c r="N1149" s="504"/>
      <c r="O1149" s="504"/>
      <c r="P1149" s="504"/>
    </row>
    <row r="1150" spans="1:16" ht="15.75" customHeight="1">
      <c r="A1150" s="735" t="s">
        <v>2681</v>
      </c>
      <c r="B1150" s="731" t="s">
        <v>2680</v>
      </c>
      <c r="C1150" s="55"/>
      <c r="D1150" s="507"/>
      <c r="E1150" s="504"/>
      <c r="F1150" s="504"/>
      <c r="G1150" s="504"/>
      <c r="H1150" s="504"/>
      <c r="I1150" s="501"/>
      <c r="J1150" s="505"/>
      <c r="K1150" s="506"/>
      <c r="L1150" s="504"/>
      <c r="M1150" s="504"/>
      <c r="N1150" s="504"/>
      <c r="O1150" s="504"/>
      <c r="P1150" s="504"/>
    </row>
    <row r="1151" spans="1:16" ht="15.75" customHeight="1">
      <c r="A1151" s="737" t="s">
        <v>2686</v>
      </c>
      <c r="B1151" s="731" t="s">
        <v>3231</v>
      </c>
      <c r="C1151" s="55"/>
      <c r="D1151" s="507"/>
      <c r="E1151" s="504"/>
      <c r="F1151" s="504"/>
      <c r="G1151" s="504"/>
      <c r="H1151" s="504"/>
      <c r="I1151" s="501"/>
      <c r="J1151" s="505"/>
      <c r="K1151" s="506"/>
      <c r="L1151" s="504"/>
      <c r="M1151" s="504"/>
      <c r="N1151" s="504"/>
      <c r="O1151" s="504"/>
      <c r="P1151" s="504"/>
    </row>
    <row r="1152" spans="1:16" ht="15.75" customHeight="1">
      <c r="A1152" s="737" t="s">
        <v>2686</v>
      </c>
      <c r="B1152" s="731" t="s">
        <v>3232</v>
      </c>
      <c r="C1152" s="55"/>
      <c r="D1152" s="507"/>
      <c r="E1152" s="504"/>
      <c r="F1152" s="504"/>
      <c r="G1152" s="504"/>
      <c r="H1152" s="504"/>
      <c r="I1152" s="501"/>
      <c r="J1152" s="505"/>
      <c r="K1152" s="506"/>
      <c r="L1152" s="504"/>
      <c r="M1152" s="504"/>
      <c r="N1152" s="504"/>
      <c r="O1152" s="504"/>
      <c r="P1152" s="504"/>
    </row>
    <row r="1153" spans="1:16" ht="15.75" customHeight="1">
      <c r="A1153" s="737" t="s">
        <v>2686</v>
      </c>
      <c r="B1153" s="731" t="s">
        <v>3233</v>
      </c>
      <c r="C1153" s="55"/>
      <c r="D1153" s="507"/>
      <c r="E1153" s="504"/>
      <c r="F1153" s="504"/>
      <c r="G1153" s="504"/>
      <c r="H1153" s="504"/>
      <c r="I1153" s="501"/>
      <c r="J1153" s="505"/>
      <c r="K1153" s="506"/>
      <c r="L1153" s="504"/>
      <c r="M1153" s="504"/>
      <c r="N1153" s="504"/>
      <c r="O1153" s="504"/>
      <c r="P1153" s="504"/>
    </row>
    <row r="1154" spans="1:16" ht="15.75" customHeight="1">
      <c r="A1154" s="737" t="s">
        <v>2686</v>
      </c>
      <c r="B1154" s="731" t="s">
        <v>2680</v>
      </c>
      <c r="C1154" s="55"/>
      <c r="D1154" s="507"/>
      <c r="E1154" s="504"/>
      <c r="F1154" s="504"/>
      <c r="G1154" s="504"/>
      <c r="H1154" s="504"/>
      <c r="I1154" s="501"/>
      <c r="J1154" s="505"/>
      <c r="K1154" s="506"/>
      <c r="L1154" s="504"/>
      <c r="M1154" s="504"/>
      <c r="N1154" s="504"/>
      <c r="O1154" s="504"/>
      <c r="P1154" s="504"/>
    </row>
    <row r="1155" spans="1:16" ht="15.75" customHeight="1">
      <c r="A1155" s="737" t="s">
        <v>2686</v>
      </c>
      <c r="B1155" s="731" t="s">
        <v>2680</v>
      </c>
      <c r="C1155" s="55"/>
      <c r="D1155" s="507"/>
      <c r="E1155" s="504"/>
      <c r="F1155" s="504"/>
      <c r="G1155" s="504"/>
      <c r="H1155" s="504"/>
      <c r="I1155" s="501"/>
      <c r="J1155" s="505"/>
      <c r="K1155" s="506"/>
      <c r="L1155" s="504"/>
      <c r="M1155" s="504"/>
      <c r="N1155" s="504"/>
      <c r="O1155" s="504"/>
      <c r="P1155" s="504"/>
    </row>
    <row r="1156" spans="1:16" ht="15.75" customHeight="1">
      <c r="A1156" s="738" t="s">
        <v>2691</v>
      </c>
      <c r="B1156" s="731" t="s">
        <v>3234</v>
      </c>
      <c r="C1156" s="55"/>
      <c r="D1156" s="507"/>
      <c r="E1156" s="504"/>
      <c r="F1156" s="504"/>
      <c r="G1156" s="504"/>
      <c r="H1156" s="504"/>
      <c r="I1156" s="501"/>
      <c r="J1156" s="505"/>
      <c r="K1156" s="506"/>
      <c r="L1156" s="504"/>
      <c r="M1156" s="504"/>
      <c r="N1156" s="504"/>
      <c r="O1156" s="504"/>
      <c r="P1156" s="504"/>
    </row>
    <row r="1157" spans="1:16" ht="15.75" customHeight="1">
      <c r="A1157" s="738" t="s">
        <v>2691</v>
      </c>
      <c r="B1157" s="731" t="s">
        <v>2680</v>
      </c>
      <c r="C1157" s="55"/>
      <c r="D1157" s="507"/>
      <c r="E1157" s="504"/>
      <c r="F1157" s="504"/>
      <c r="G1157" s="504"/>
      <c r="H1157" s="504"/>
      <c r="I1157" s="501"/>
      <c r="J1157" s="505"/>
      <c r="K1157" s="506"/>
      <c r="L1157" s="504"/>
      <c r="M1157" s="504"/>
      <c r="N1157" s="504"/>
      <c r="O1157" s="504"/>
      <c r="P1157" s="504"/>
    </row>
    <row r="1158" spans="1:16" ht="15.75" customHeight="1">
      <c r="A1158" s="739" t="s">
        <v>2693</v>
      </c>
      <c r="B1158" s="731" t="s">
        <v>2680</v>
      </c>
      <c r="C1158" s="55"/>
      <c r="D1158" s="507"/>
      <c r="E1158" s="504"/>
      <c r="F1158" s="504"/>
      <c r="G1158" s="504"/>
      <c r="H1158" s="504"/>
      <c r="I1158" s="501"/>
      <c r="J1158" s="505"/>
      <c r="K1158" s="506"/>
      <c r="L1158" s="504"/>
      <c r="M1158" s="504"/>
      <c r="N1158" s="504"/>
      <c r="O1158" s="504"/>
      <c r="P1158" s="504"/>
    </row>
    <row r="1159" spans="1:16" ht="15.75" customHeight="1">
      <c r="A1159" s="533"/>
      <c r="B1159" s="559"/>
      <c r="C1159" s="55"/>
      <c r="D1159" s="507"/>
      <c r="E1159" s="504"/>
      <c r="F1159" s="504"/>
      <c r="G1159" s="504"/>
      <c r="H1159" s="504"/>
      <c r="I1159" s="501"/>
      <c r="J1159" s="505"/>
      <c r="K1159" s="506"/>
      <c r="L1159" s="504"/>
      <c r="M1159" s="504"/>
      <c r="N1159" s="504"/>
      <c r="O1159" s="504"/>
      <c r="P1159" s="504"/>
    </row>
    <row r="1160" spans="1:16" ht="15.75" customHeight="1">
      <c r="A1160" s="729" t="s">
        <v>3235</v>
      </c>
      <c r="B1160" s="731" t="s">
        <v>2674</v>
      </c>
      <c r="C1160" s="55"/>
      <c r="D1160" s="507"/>
      <c r="E1160" s="504"/>
      <c r="F1160" s="504"/>
      <c r="G1160" s="504"/>
      <c r="H1160" s="504"/>
      <c r="I1160" s="501"/>
      <c r="J1160" s="505"/>
      <c r="K1160" s="506"/>
      <c r="L1160" s="504"/>
      <c r="M1160" s="504"/>
      <c r="N1160" s="504"/>
      <c r="O1160" s="504"/>
      <c r="P1160" s="504"/>
    </row>
    <row r="1161" spans="1:16" ht="15.75" customHeight="1">
      <c r="A1161" s="732" t="s">
        <v>2675</v>
      </c>
      <c r="B1161" s="731" t="s">
        <v>3236</v>
      </c>
      <c r="C1161" s="55"/>
      <c r="D1161" s="507"/>
      <c r="E1161" s="504"/>
      <c r="F1161" s="504"/>
      <c r="G1161" s="504"/>
      <c r="H1161" s="504"/>
      <c r="I1161" s="501"/>
      <c r="J1161" s="505"/>
      <c r="K1161" s="506"/>
      <c r="L1161" s="504"/>
      <c r="M1161" s="504"/>
      <c r="N1161" s="504"/>
      <c r="O1161" s="504"/>
      <c r="P1161" s="504"/>
    </row>
    <row r="1162" spans="1:16" ht="15.75" customHeight="1">
      <c r="A1162" s="732" t="s">
        <v>2675</v>
      </c>
      <c r="B1162" s="731" t="s">
        <v>2680</v>
      </c>
      <c r="C1162" s="55"/>
      <c r="D1162" s="507"/>
      <c r="E1162" s="504"/>
      <c r="F1162" s="504"/>
      <c r="G1162" s="504"/>
      <c r="H1162" s="504"/>
      <c r="I1162" s="501"/>
      <c r="J1162" s="505"/>
      <c r="K1162" s="506"/>
      <c r="L1162" s="504"/>
      <c r="M1162" s="504"/>
      <c r="N1162" s="504"/>
      <c r="O1162" s="504"/>
      <c r="P1162" s="504"/>
    </row>
    <row r="1163" spans="1:16" ht="15.75" customHeight="1">
      <c r="A1163" s="733" t="s">
        <v>5723</v>
      </c>
      <c r="B1163" s="731" t="s">
        <v>5793</v>
      </c>
      <c r="C1163" s="55"/>
      <c r="D1163" s="507"/>
      <c r="E1163" s="504"/>
      <c r="F1163" s="504"/>
      <c r="G1163" s="504"/>
      <c r="H1163" s="504"/>
      <c r="I1163" s="501"/>
      <c r="J1163" s="505"/>
      <c r="K1163" s="506"/>
      <c r="L1163" s="504"/>
      <c r="M1163" s="504"/>
      <c r="N1163" s="504"/>
      <c r="O1163" s="504"/>
      <c r="P1163" s="504"/>
    </row>
    <row r="1164" spans="1:16">
      <c r="A1164" s="733" t="s">
        <v>5723</v>
      </c>
      <c r="B1164" s="731" t="s">
        <v>2680</v>
      </c>
      <c r="C1164" s="55"/>
      <c r="D1164" s="507"/>
      <c r="E1164" s="504"/>
      <c r="F1164" s="504"/>
      <c r="G1164" s="504"/>
      <c r="H1164" s="504"/>
      <c r="I1164" s="501"/>
      <c r="J1164" s="505"/>
      <c r="K1164" s="506"/>
      <c r="L1164" s="504"/>
      <c r="M1164" s="504"/>
      <c r="N1164" s="504"/>
      <c r="O1164" s="504"/>
      <c r="P1164" s="504"/>
    </row>
    <row r="1165" spans="1:16" ht="15.75" customHeight="1">
      <c r="A1165" s="734" t="s">
        <v>2677</v>
      </c>
      <c r="B1165" s="731" t="s">
        <v>3237</v>
      </c>
      <c r="C1165" s="55"/>
      <c r="D1165" s="507"/>
      <c r="E1165" s="504"/>
      <c r="F1165" s="504"/>
      <c r="G1165" s="504"/>
      <c r="H1165" s="504"/>
      <c r="I1165" s="501"/>
      <c r="J1165" s="505"/>
      <c r="K1165" s="506"/>
      <c r="L1165" s="504"/>
      <c r="M1165" s="504"/>
      <c r="N1165" s="504"/>
      <c r="O1165" s="504"/>
      <c r="P1165" s="504"/>
    </row>
    <row r="1166" spans="1:16" ht="15.75" customHeight="1">
      <c r="A1166" s="734" t="s">
        <v>2677</v>
      </c>
      <c r="B1166" s="731" t="s">
        <v>3238</v>
      </c>
      <c r="C1166" s="55"/>
      <c r="D1166" s="507"/>
      <c r="E1166" s="504"/>
      <c r="F1166" s="504"/>
      <c r="G1166" s="504"/>
      <c r="H1166" s="504"/>
      <c r="I1166" s="501"/>
      <c r="J1166" s="505"/>
      <c r="K1166" s="506"/>
      <c r="L1166" s="504"/>
      <c r="M1166" s="504"/>
      <c r="N1166" s="504"/>
      <c r="O1166" s="504"/>
      <c r="P1166" s="504"/>
    </row>
    <row r="1167" spans="1:16" ht="15.75" customHeight="1">
      <c r="A1167" s="734" t="s">
        <v>2677</v>
      </c>
      <c r="B1167" s="731" t="s">
        <v>2680</v>
      </c>
      <c r="C1167" s="55"/>
      <c r="D1167" s="507"/>
      <c r="E1167" s="504"/>
      <c r="F1167" s="504"/>
      <c r="G1167" s="504"/>
      <c r="H1167" s="504"/>
      <c r="I1167" s="501"/>
      <c r="J1167" s="505"/>
      <c r="K1167" s="506"/>
      <c r="L1167" s="504"/>
      <c r="M1167" s="504"/>
      <c r="N1167" s="504"/>
      <c r="O1167" s="504"/>
      <c r="P1167" s="504"/>
    </row>
    <row r="1168" spans="1:16" ht="15.75" customHeight="1">
      <c r="A1168" s="735" t="s">
        <v>2681</v>
      </c>
      <c r="B1168" s="731" t="s">
        <v>2680</v>
      </c>
      <c r="C1168" s="55"/>
      <c r="D1168" s="507"/>
      <c r="E1168" s="504"/>
      <c r="F1168" s="504"/>
      <c r="G1168" s="504"/>
      <c r="H1168" s="504"/>
      <c r="I1168" s="501"/>
      <c r="J1168" s="505"/>
      <c r="K1168" s="506"/>
      <c r="L1168" s="504"/>
      <c r="M1168" s="504"/>
      <c r="N1168" s="504"/>
      <c r="O1168" s="504"/>
      <c r="P1168" s="504"/>
    </row>
    <row r="1169" spans="1:16" ht="15.75" customHeight="1">
      <c r="A1169" s="735" t="s">
        <v>2681</v>
      </c>
      <c r="B1169" s="731" t="s">
        <v>3239</v>
      </c>
      <c r="C1169" s="55"/>
      <c r="D1169" s="507"/>
      <c r="E1169" s="504"/>
      <c r="F1169" s="504"/>
      <c r="G1169" s="504"/>
      <c r="H1169" s="504"/>
      <c r="I1169" s="501"/>
      <c r="J1169" s="505"/>
      <c r="K1169" s="506"/>
      <c r="L1169" s="504"/>
      <c r="M1169" s="504"/>
      <c r="N1169" s="504"/>
      <c r="O1169" s="504"/>
      <c r="P1169" s="504"/>
    </row>
    <row r="1170" spans="1:16" ht="15.75" customHeight="1">
      <c r="A1170" s="735" t="s">
        <v>2681</v>
      </c>
      <c r="B1170" s="731" t="s">
        <v>3240</v>
      </c>
      <c r="C1170" s="55"/>
      <c r="D1170" s="507"/>
      <c r="E1170" s="504"/>
      <c r="F1170" s="504"/>
      <c r="G1170" s="504"/>
      <c r="H1170" s="504"/>
      <c r="I1170" s="501"/>
      <c r="J1170" s="505"/>
      <c r="K1170" s="506"/>
      <c r="L1170" s="504"/>
      <c r="M1170" s="504"/>
      <c r="N1170" s="504"/>
      <c r="O1170" s="504"/>
      <c r="P1170" s="504"/>
    </row>
    <row r="1171" spans="1:16" ht="15.75" customHeight="1">
      <c r="A1171" s="735" t="s">
        <v>2681</v>
      </c>
      <c r="B1171" s="731" t="s">
        <v>2680</v>
      </c>
      <c r="C1171" s="55"/>
      <c r="D1171" s="507"/>
      <c r="E1171" s="504"/>
      <c r="F1171" s="504"/>
      <c r="G1171" s="504"/>
      <c r="H1171" s="504"/>
      <c r="I1171" s="501"/>
      <c r="J1171" s="505"/>
      <c r="K1171" s="506"/>
      <c r="L1171" s="504"/>
      <c r="M1171" s="504"/>
      <c r="N1171" s="504"/>
      <c r="O1171" s="504"/>
      <c r="P1171" s="504"/>
    </row>
    <row r="1172" spans="1:16" ht="15.75" customHeight="1">
      <c r="A1172" s="737" t="s">
        <v>2686</v>
      </c>
      <c r="B1172" s="731" t="s">
        <v>2680</v>
      </c>
      <c r="C1172" s="55"/>
      <c r="D1172" s="507"/>
      <c r="E1172" s="504"/>
      <c r="F1172" s="504"/>
      <c r="G1172" s="504"/>
      <c r="H1172" s="504"/>
      <c r="I1172" s="501"/>
      <c r="J1172" s="505"/>
      <c r="K1172" s="506"/>
      <c r="L1172" s="504"/>
      <c r="M1172" s="504"/>
      <c r="N1172" s="504"/>
      <c r="O1172" s="504"/>
      <c r="P1172" s="504"/>
    </row>
    <row r="1173" spans="1:16" ht="15.75" customHeight="1">
      <c r="A1173" s="737" t="s">
        <v>2686</v>
      </c>
      <c r="B1173" s="731" t="s">
        <v>3241</v>
      </c>
      <c r="C1173" s="55"/>
      <c r="D1173" s="507"/>
      <c r="E1173" s="504"/>
      <c r="F1173" s="504"/>
      <c r="G1173" s="504"/>
      <c r="H1173" s="504"/>
      <c r="I1173" s="501"/>
      <c r="J1173" s="505"/>
      <c r="K1173" s="506"/>
      <c r="L1173" s="504"/>
      <c r="M1173" s="504"/>
      <c r="N1173" s="504"/>
      <c r="O1173" s="504"/>
      <c r="P1173" s="504"/>
    </row>
    <row r="1174" spans="1:16" ht="15.75" customHeight="1">
      <c r="A1174" s="737" t="s">
        <v>2686</v>
      </c>
      <c r="B1174" s="731" t="s">
        <v>2680</v>
      </c>
      <c r="C1174" s="55"/>
      <c r="D1174" s="507"/>
      <c r="E1174" s="504"/>
      <c r="F1174" s="504"/>
      <c r="G1174" s="504"/>
      <c r="H1174" s="504"/>
      <c r="I1174" s="501"/>
      <c r="J1174" s="505"/>
      <c r="K1174" s="506"/>
      <c r="L1174" s="504"/>
      <c r="M1174" s="504"/>
      <c r="N1174" s="504"/>
      <c r="O1174" s="504"/>
      <c r="P1174" s="504"/>
    </row>
    <row r="1175" spans="1:16" ht="15.75" customHeight="1">
      <c r="A1175" s="737" t="s">
        <v>2686</v>
      </c>
      <c r="B1175" s="736" t="s">
        <v>3242</v>
      </c>
      <c r="C1175" s="55"/>
      <c r="D1175" s="507"/>
      <c r="E1175" s="504"/>
      <c r="F1175" s="504"/>
      <c r="G1175" s="504"/>
      <c r="H1175" s="504"/>
      <c r="I1175" s="501"/>
      <c r="J1175" s="505"/>
      <c r="K1175" s="506"/>
      <c r="L1175" s="504"/>
      <c r="M1175" s="504"/>
      <c r="N1175" s="504"/>
      <c r="O1175" s="504"/>
      <c r="P1175" s="504"/>
    </row>
    <row r="1176" spans="1:16" ht="15.75" customHeight="1">
      <c r="A1176" s="737" t="s">
        <v>2686</v>
      </c>
      <c r="B1176" s="731" t="s">
        <v>2680</v>
      </c>
      <c r="C1176" s="55"/>
      <c r="D1176" s="507"/>
      <c r="E1176" s="504"/>
      <c r="F1176" s="504"/>
      <c r="G1176" s="504"/>
      <c r="H1176" s="504"/>
      <c r="I1176" s="501"/>
      <c r="J1176" s="505"/>
      <c r="K1176" s="506"/>
      <c r="L1176" s="504"/>
      <c r="M1176" s="504"/>
      <c r="N1176" s="504"/>
      <c r="O1176" s="504"/>
      <c r="P1176" s="504"/>
    </row>
    <row r="1177" spans="1:16" ht="15.75" customHeight="1">
      <c r="A1177" s="738" t="s">
        <v>2691</v>
      </c>
      <c r="B1177" s="731" t="s">
        <v>3243</v>
      </c>
      <c r="C1177" s="55"/>
      <c r="D1177" s="507"/>
      <c r="E1177" s="504"/>
      <c r="F1177" s="504"/>
      <c r="G1177" s="504"/>
      <c r="H1177" s="504"/>
      <c r="I1177" s="501"/>
      <c r="J1177" s="505"/>
      <c r="K1177" s="506"/>
      <c r="L1177" s="504"/>
      <c r="M1177" s="504"/>
      <c r="N1177" s="504"/>
      <c r="O1177" s="504"/>
      <c r="P1177" s="504"/>
    </row>
    <row r="1178" spans="1:16" ht="15.75" customHeight="1">
      <c r="A1178" s="738" t="s">
        <v>2691</v>
      </c>
      <c r="B1178" s="731" t="s">
        <v>3244</v>
      </c>
      <c r="C1178" s="55"/>
      <c r="D1178" s="507"/>
      <c r="E1178" s="504"/>
      <c r="F1178" s="504"/>
      <c r="G1178" s="504"/>
      <c r="H1178" s="504"/>
      <c r="I1178" s="501"/>
      <c r="J1178" s="505"/>
      <c r="K1178" s="506"/>
      <c r="L1178" s="504"/>
      <c r="M1178" s="504"/>
      <c r="N1178" s="504"/>
      <c r="O1178" s="504"/>
      <c r="P1178" s="504"/>
    </row>
    <row r="1179" spans="1:16" ht="15.75" customHeight="1">
      <c r="A1179" s="739" t="s">
        <v>2693</v>
      </c>
      <c r="B1179" s="731" t="s">
        <v>2680</v>
      </c>
      <c r="C1179" s="55"/>
      <c r="D1179" s="507"/>
      <c r="E1179" s="504"/>
      <c r="F1179" s="504"/>
      <c r="G1179" s="504"/>
      <c r="H1179" s="504"/>
      <c r="I1179" s="501"/>
      <c r="J1179" s="505"/>
      <c r="K1179" s="506"/>
      <c r="L1179" s="504"/>
      <c r="M1179" s="504"/>
      <c r="N1179" s="504"/>
      <c r="O1179" s="504"/>
      <c r="P1179" s="504"/>
    </row>
    <row r="1180" spans="1:16" ht="15.75" customHeight="1">
      <c r="A1180" s="730"/>
      <c r="B1180" s="559"/>
      <c r="C1180" s="55"/>
      <c r="D1180" s="507"/>
      <c r="E1180" s="504"/>
      <c r="F1180" s="504"/>
      <c r="G1180" s="504"/>
      <c r="H1180" s="504"/>
      <c r="I1180" s="501"/>
      <c r="J1180" s="505"/>
      <c r="K1180" s="506"/>
      <c r="L1180" s="504"/>
      <c r="M1180" s="504"/>
      <c r="N1180" s="504"/>
      <c r="O1180" s="504"/>
      <c r="P1180" s="504"/>
    </row>
    <row r="1181" spans="1:16" ht="15.75" customHeight="1">
      <c r="A1181" s="729" t="s">
        <v>3245</v>
      </c>
      <c r="B1181" s="731" t="s">
        <v>2943</v>
      </c>
      <c r="C1181" s="55"/>
      <c r="D1181" s="507"/>
      <c r="E1181" s="504"/>
      <c r="F1181" s="504"/>
      <c r="G1181" s="504"/>
      <c r="H1181" s="504"/>
      <c r="I1181" s="501"/>
      <c r="J1181" s="505"/>
      <c r="K1181" s="506"/>
      <c r="L1181" s="504"/>
      <c r="M1181" s="504"/>
      <c r="N1181" s="504"/>
      <c r="O1181" s="504"/>
      <c r="P1181" s="504"/>
    </row>
    <row r="1182" spans="1:16" ht="15.75" customHeight="1">
      <c r="A1182" s="732" t="s">
        <v>2675</v>
      </c>
      <c r="B1182" s="731" t="s">
        <v>3246</v>
      </c>
      <c r="C1182" s="55"/>
      <c r="D1182" s="507"/>
      <c r="E1182" s="504"/>
      <c r="F1182" s="504"/>
      <c r="G1182" s="504"/>
      <c r="H1182" s="504"/>
      <c r="I1182" s="501"/>
      <c r="J1182" s="505"/>
      <c r="K1182" s="506"/>
      <c r="L1182" s="504"/>
      <c r="M1182" s="504"/>
      <c r="N1182" s="504"/>
      <c r="O1182" s="504"/>
      <c r="P1182" s="504"/>
    </row>
    <row r="1183" spans="1:16" ht="15.75" customHeight="1">
      <c r="A1183" s="732" t="s">
        <v>2675</v>
      </c>
      <c r="B1183" s="731" t="s">
        <v>3247</v>
      </c>
      <c r="C1183" s="55"/>
      <c r="D1183" s="507"/>
      <c r="E1183" s="504"/>
      <c r="F1183" s="504"/>
      <c r="G1183" s="504"/>
      <c r="H1183" s="504"/>
      <c r="I1183" s="501"/>
      <c r="J1183" s="505"/>
      <c r="K1183" s="506"/>
      <c r="L1183" s="504"/>
      <c r="M1183" s="504"/>
      <c r="N1183" s="504"/>
      <c r="O1183" s="504"/>
      <c r="P1183" s="504"/>
    </row>
    <row r="1184" spans="1:16" ht="15.75" customHeight="1">
      <c r="A1184" s="733" t="s">
        <v>5723</v>
      </c>
      <c r="B1184" s="731" t="s">
        <v>5794</v>
      </c>
      <c r="C1184" s="55"/>
      <c r="D1184" s="507"/>
      <c r="E1184" s="504"/>
      <c r="F1184" s="504"/>
      <c r="G1184" s="504"/>
      <c r="H1184" s="504"/>
      <c r="I1184" s="501"/>
      <c r="J1184" s="505"/>
      <c r="K1184" s="506"/>
      <c r="L1184" s="504"/>
      <c r="M1184" s="504"/>
      <c r="N1184" s="504"/>
      <c r="O1184" s="504"/>
      <c r="P1184" s="504"/>
    </row>
    <row r="1185" spans="1:16">
      <c r="A1185" s="733" t="s">
        <v>5723</v>
      </c>
      <c r="B1185" s="731" t="s">
        <v>2680</v>
      </c>
      <c r="C1185" s="55"/>
      <c r="D1185" s="507"/>
      <c r="E1185" s="504"/>
      <c r="F1185" s="504"/>
      <c r="G1185" s="504"/>
      <c r="H1185" s="504"/>
      <c r="I1185" s="501"/>
      <c r="J1185" s="505"/>
      <c r="K1185" s="506"/>
      <c r="L1185" s="504"/>
      <c r="M1185" s="504"/>
      <c r="N1185" s="504"/>
      <c r="O1185" s="504"/>
      <c r="P1185" s="504"/>
    </row>
    <row r="1186" spans="1:16" ht="15.75" customHeight="1">
      <c r="A1186" s="734" t="s">
        <v>2677</v>
      </c>
      <c r="B1186" s="731" t="s">
        <v>3248</v>
      </c>
      <c r="C1186" s="55"/>
      <c r="D1186" s="507"/>
      <c r="E1186" s="504"/>
      <c r="F1186" s="504"/>
      <c r="G1186" s="504"/>
      <c r="H1186" s="504"/>
      <c r="I1186" s="501"/>
      <c r="J1186" s="505"/>
      <c r="K1186" s="506"/>
      <c r="L1186" s="504"/>
      <c r="M1186" s="504"/>
      <c r="N1186" s="504"/>
      <c r="O1186" s="504"/>
      <c r="P1186" s="504"/>
    </row>
    <row r="1187" spans="1:16" ht="15.75" customHeight="1">
      <c r="A1187" s="734" t="s">
        <v>2677</v>
      </c>
      <c r="B1187" s="731" t="s">
        <v>3249</v>
      </c>
      <c r="C1187" s="55"/>
      <c r="D1187" s="507"/>
      <c r="E1187" s="504"/>
      <c r="F1187" s="504"/>
      <c r="G1187" s="504"/>
      <c r="H1187" s="504"/>
      <c r="I1187" s="501"/>
      <c r="J1187" s="505"/>
      <c r="K1187" s="506"/>
      <c r="L1187" s="504"/>
      <c r="M1187" s="504"/>
      <c r="N1187" s="504"/>
      <c r="O1187" s="504"/>
      <c r="P1187" s="504"/>
    </row>
    <row r="1188" spans="1:16" ht="15.75" customHeight="1">
      <c r="A1188" s="734" t="s">
        <v>2677</v>
      </c>
      <c r="B1188" s="731" t="s">
        <v>3250</v>
      </c>
      <c r="C1188" s="55"/>
      <c r="D1188" s="507"/>
      <c r="E1188" s="504"/>
      <c r="F1188" s="504"/>
      <c r="G1188" s="504"/>
      <c r="H1188" s="504"/>
      <c r="I1188" s="501"/>
      <c r="J1188" s="505"/>
      <c r="K1188" s="506"/>
      <c r="L1188" s="504"/>
      <c r="M1188" s="504"/>
      <c r="N1188" s="504"/>
      <c r="O1188" s="504"/>
      <c r="P1188" s="504"/>
    </row>
    <row r="1189" spans="1:16" ht="15.75" customHeight="1">
      <c r="A1189" s="735" t="s">
        <v>2681</v>
      </c>
      <c r="B1189" s="731" t="s">
        <v>3251</v>
      </c>
      <c r="C1189" s="55"/>
      <c r="D1189" s="507"/>
      <c r="E1189" s="504"/>
      <c r="F1189" s="504"/>
      <c r="G1189" s="504"/>
      <c r="H1189" s="504"/>
      <c r="I1189" s="501"/>
      <c r="J1189" s="505"/>
      <c r="K1189" s="506"/>
      <c r="L1189" s="504"/>
      <c r="M1189" s="504"/>
      <c r="N1189" s="504"/>
      <c r="O1189" s="504"/>
      <c r="P1189" s="504"/>
    </row>
    <row r="1190" spans="1:16" ht="15.75" customHeight="1">
      <c r="A1190" s="735" t="s">
        <v>2681</v>
      </c>
      <c r="B1190" s="731" t="s">
        <v>3252</v>
      </c>
      <c r="C1190" s="55"/>
      <c r="D1190" s="507"/>
      <c r="E1190" s="504"/>
      <c r="F1190" s="504"/>
      <c r="G1190" s="504"/>
      <c r="H1190" s="504"/>
      <c r="I1190" s="501"/>
      <c r="J1190" s="505"/>
      <c r="K1190" s="506"/>
      <c r="L1190" s="504"/>
      <c r="M1190" s="504"/>
      <c r="N1190" s="504"/>
      <c r="O1190" s="504"/>
      <c r="P1190" s="504"/>
    </row>
    <row r="1191" spans="1:16" ht="15.75" customHeight="1">
      <c r="A1191" s="735" t="s">
        <v>2681</v>
      </c>
      <c r="B1191" s="731" t="s">
        <v>3253</v>
      </c>
      <c r="C1191" s="55"/>
      <c r="D1191" s="507"/>
      <c r="E1191" s="504"/>
      <c r="F1191" s="504"/>
      <c r="G1191" s="504"/>
      <c r="H1191" s="504"/>
      <c r="I1191" s="501"/>
      <c r="J1191" s="505"/>
      <c r="K1191" s="506"/>
      <c r="L1191" s="504"/>
      <c r="M1191" s="504"/>
      <c r="N1191" s="504"/>
      <c r="O1191" s="504"/>
      <c r="P1191" s="504"/>
    </row>
    <row r="1192" spans="1:16" ht="15.75" customHeight="1">
      <c r="A1192" s="735" t="s">
        <v>2681</v>
      </c>
      <c r="B1192" s="731" t="s">
        <v>2680</v>
      </c>
      <c r="C1192" s="55"/>
      <c r="D1192" s="507"/>
      <c r="E1192" s="504"/>
      <c r="F1192" s="504"/>
      <c r="G1192" s="504"/>
      <c r="H1192" s="504"/>
      <c r="I1192" s="501"/>
      <c r="J1192" s="505"/>
      <c r="K1192" s="506"/>
      <c r="L1192" s="504"/>
      <c r="M1192" s="504"/>
      <c r="N1192" s="504"/>
      <c r="O1192" s="504"/>
      <c r="P1192" s="504"/>
    </row>
    <row r="1193" spans="1:16" ht="15.75" customHeight="1">
      <c r="A1193" s="737" t="s">
        <v>2686</v>
      </c>
      <c r="B1193" s="731" t="s">
        <v>3254</v>
      </c>
      <c r="C1193" s="55"/>
      <c r="D1193" s="507"/>
      <c r="E1193" s="504"/>
      <c r="F1193" s="504"/>
      <c r="G1193" s="504"/>
      <c r="H1193" s="504"/>
      <c r="I1193" s="501"/>
      <c r="J1193" s="505"/>
      <c r="K1193" s="506"/>
      <c r="L1193" s="504"/>
      <c r="M1193" s="504"/>
      <c r="N1193" s="504"/>
      <c r="O1193" s="504"/>
      <c r="P1193" s="504"/>
    </row>
    <row r="1194" spans="1:16" ht="15.75" customHeight="1">
      <c r="A1194" s="737" t="s">
        <v>2686</v>
      </c>
      <c r="B1194" s="731" t="s">
        <v>2680</v>
      </c>
      <c r="C1194" s="55"/>
      <c r="D1194" s="507"/>
      <c r="E1194" s="504"/>
      <c r="F1194" s="504"/>
      <c r="G1194" s="504"/>
      <c r="H1194" s="504"/>
      <c r="I1194" s="501"/>
      <c r="J1194" s="505"/>
      <c r="K1194" s="506"/>
      <c r="L1194" s="504"/>
      <c r="M1194" s="504"/>
      <c r="N1194" s="504"/>
      <c r="O1194" s="504"/>
      <c r="P1194" s="504"/>
    </row>
    <row r="1195" spans="1:16" ht="15.75" customHeight="1">
      <c r="A1195" s="737" t="s">
        <v>2686</v>
      </c>
      <c r="B1195" s="731" t="s">
        <v>3255</v>
      </c>
      <c r="C1195" s="55"/>
      <c r="D1195" s="507"/>
      <c r="E1195" s="504"/>
      <c r="F1195" s="504"/>
      <c r="G1195" s="504"/>
      <c r="H1195" s="504"/>
      <c r="I1195" s="501"/>
      <c r="J1195" s="505"/>
      <c r="K1195" s="506"/>
      <c r="L1195" s="504"/>
      <c r="M1195" s="504"/>
      <c r="N1195" s="504"/>
      <c r="O1195" s="504"/>
      <c r="P1195" s="504"/>
    </row>
    <row r="1196" spans="1:16" ht="15.75" customHeight="1">
      <c r="A1196" s="737" t="s">
        <v>2686</v>
      </c>
      <c r="B1196" s="731" t="s">
        <v>2680</v>
      </c>
      <c r="C1196" s="55"/>
      <c r="D1196" s="507"/>
      <c r="E1196" s="504"/>
      <c r="F1196" s="504"/>
      <c r="G1196" s="504"/>
      <c r="H1196" s="504"/>
      <c r="I1196" s="501"/>
      <c r="J1196" s="505"/>
      <c r="K1196" s="506"/>
      <c r="L1196" s="504"/>
      <c r="M1196" s="504"/>
      <c r="N1196" s="504"/>
      <c r="O1196" s="504"/>
      <c r="P1196" s="504"/>
    </row>
    <row r="1197" spans="1:16" ht="15.75" customHeight="1">
      <c r="A1197" s="737" t="s">
        <v>2686</v>
      </c>
      <c r="B1197" s="731" t="s">
        <v>2680</v>
      </c>
      <c r="C1197" s="55"/>
      <c r="D1197" s="507"/>
      <c r="E1197" s="504"/>
      <c r="F1197" s="504"/>
      <c r="G1197" s="504"/>
      <c r="H1197" s="504"/>
      <c r="I1197" s="501"/>
      <c r="J1197" s="505"/>
      <c r="K1197" s="506"/>
      <c r="L1197" s="504"/>
      <c r="M1197" s="504"/>
      <c r="N1197" s="504"/>
      <c r="O1197" s="504"/>
      <c r="P1197" s="504"/>
    </row>
    <row r="1198" spans="1:16" ht="15.75" customHeight="1">
      <c r="A1198" s="738" t="s">
        <v>2691</v>
      </c>
      <c r="B1198" s="731" t="s">
        <v>3256</v>
      </c>
      <c r="C1198" s="55"/>
      <c r="D1198" s="507"/>
      <c r="E1198" s="504"/>
      <c r="F1198" s="504"/>
      <c r="G1198" s="504"/>
      <c r="H1198" s="504"/>
      <c r="I1198" s="501"/>
      <c r="J1198" s="505"/>
      <c r="K1198" s="506"/>
      <c r="L1198" s="504"/>
      <c r="M1198" s="504"/>
      <c r="N1198" s="504"/>
      <c r="O1198" s="504"/>
      <c r="P1198" s="504"/>
    </row>
    <row r="1199" spans="1:16" ht="15.75" customHeight="1">
      <c r="A1199" s="738" t="s">
        <v>2691</v>
      </c>
      <c r="B1199" s="731" t="s">
        <v>2680</v>
      </c>
      <c r="C1199" s="55"/>
      <c r="D1199" s="507"/>
      <c r="E1199" s="504"/>
      <c r="F1199" s="504"/>
      <c r="G1199" s="504"/>
      <c r="H1199" s="504"/>
      <c r="I1199" s="501"/>
      <c r="J1199" s="505"/>
      <c r="K1199" s="506"/>
      <c r="L1199" s="504"/>
      <c r="M1199" s="504"/>
      <c r="N1199" s="504"/>
      <c r="O1199" s="504"/>
      <c r="P1199" s="504"/>
    </row>
    <row r="1200" spans="1:16" ht="15.75" customHeight="1">
      <c r="A1200" s="739" t="s">
        <v>2693</v>
      </c>
      <c r="B1200" s="731" t="s">
        <v>2680</v>
      </c>
      <c r="C1200" s="55"/>
      <c r="D1200" s="507"/>
      <c r="E1200" s="504"/>
      <c r="F1200" s="504"/>
      <c r="G1200" s="504"/>
      <c r="H1200" s="504"/>
      <c r="I1200" s="501"/>
      <c r="J1200" s="505"/>
      <c r="K1200" s="506"/>
      <c r="L1200" s="504"/>
      <c r="M1200" s="504"/>
      <c r="N1200" s="504"/>
      <c r="O1200" s="504"/>
      <c r="P1200" s="504"/>
    </row>
    <row r="1201" spans="1:16" ht="15.75" customHeight="1">
      <c r="A1201" s="730"/>
      <c r="B1201" s="559"/>
      <c r="C1201" s="55"/>
      <c r="D1201" s="507"/>
      <c r="E1201" s="504"/>
      <c r="F1201" s="504"/>
      <c r="G1201" s="504"/>
      <c r="H1201" s="504"/>
      <c r="I1201" s="501"/>
      <c r="J1201" s="505"/>
      <c r="K1201" s="506"/>
      <c r="L1201" s="504"/>
      <c r="M1201" s="504"/>
      <c r="N1201" s="504"/>
      <c r="O1201" s="504"/>
      <c r="P1201" s="504"/>
    </row>
    <row r="1202" spans="1:16" ht="15.75" customHeight="1">
      <c r="A1202" s="729" t="s">
        <v>3257</v>
      </c>
      <c r="B1202" s="731" t="s">
        <v>2943</v>
      </c>
      <c r="C1202" s="55"/>
      <c r="D1202" s="507"/>
      <c r="E1202" s="504"/>
      <c r="F1202" s="504"/>
      <c r="G1202" s="504"/>
      <c r="H1202" s="504"/>
      <c r="I1202" s="501"/>
      <c r="J1202" s="505"/>
      <c r="K1202" s="506"/>
      <c r="L1202" s="504"/>
      <c r="M1202" s="504"/>
      <c r="N1202" s="504"/>
      <c r="O1202" s="504"/>
      <c r="P1202" s="504"/>
    </row>
    <row r="1203" spans="1:16" ht="15.75" customHeight="1">
      <c r="A1203" s="732" t="s">
        <v>2675</v>
      </c>
      <c r="B1203" s="731" t="s">
        <v>3258</v>
      </c>
      <c r="C1203" s="55"/>
      <c r="D1203" s="507"/>
      <c r="E1203" s="504"/>
      <c r="F1203" s="504"/>
      <c r="G1203" s="504"/>
      <c r="H1203" s="504"/>
      <c r="I1203" s="501"/>
      <c r="J1203" s="505"/>
      <c r="K1203" s="506"/>
      <c r="L1203" s="504"/>
      <c r="M1203" s="504"/>
      <c r="N1203" s="504"/>
      <c r="O1203" s="504"/>
      <c r="P1203" s="504"/>
    </row>
    <row r="1204" spans="1:16" ht="15.75" customHeight="1">
      <c r="A1204" s="732" t="s">
        <v>2675</v>
      </c>
      <c r="B1204" s="731" t="s">
        <v>2680</v>
      </c>
      <c r="C1204" s="55"/>
      <c r="D1204" s="507"/>
      <c r="E1204" s="504"/>
      <c r="F1204" s="504"/>
      <c r="G1204" s="504"/>
      <c r="H1204" s="504"/>
      <c r="I1204" s="501"/>
      <c r="J1204" s="505"/>
      <c r="K1204" s="506"/>
      <c r="L1204" s="504"/>
      <c r="M1204" s="504"/>
      <c r="N1204" s="504"/>
      <c r="O1204" s="504"/>
      <c r="P1204" s="504"/>
    </row>
    <row r="1205" spans="1:16" ht="15.75" customHeight="1">
      <c r="A1205" s="733" t="s">
        <v>5723</v>
      </c>
      <c r="B1205" s="731" t="s">
        <v>5795</v>
      </c>
      <c r="C1205" s="55"/>
      <c r="D1205" s="507"/>
      <c r="E1205" s="504"/>
      <c r="F1205" s="504"/>
      <c r="G1205" s="504"/>
      <c r="H1205" s="504"/>
      <c r="I1205" s="501"/>
      <c r="J1205" s="505"/>
      <c r="K1205" s="506"/>
      <c r="L1205" s="504"/>
      <c r="M1205" s="504"/>
      <c r="N1205" s="504"/>
      <c r="O1205" s="504"/>
      <c r="P1205" s="504"/>
    </row>
    <row r="1206" spans="1:16" ht="15.75" customHeight="1">
      <c r="A1206" s="733" t="s">
        <v>5723</v>
      </c>
      <c r="B1206" s="731" t="s">
        <v>2680</v>
      </c>
      <c r="C1206" s="55"/>
      <c r="D1206" s="507"/>
      <c r="E1206" s="504"/>
      <c r="F1206" s="504"/>
      <c r="G1206" s="504"/>
      <c r="H1206" s="504"/>
      <c r="I1206" s="501"/>
      <c r="J1206" s="505"/>
      <c r="K1206" s="506"/>
      <c r="L1206" s="504"/>
      <c r="M1206" s="504"/>
      <c r="N1206" s="504"/>
      <c r="O1206" s="504"/>
      <c r="P1206" s="504"/>
    </row>
    <row r="1207" spans="1:16" ht="15.75" customHeight="1">
      <c r="A1207" s="734" t="s">
        <v>2677</v>
      </c>
      <c r="B1207" s="731" t="s">
        <v>3259</v>
      </c>
      <c r="C1207" s="55"/>
      <c r="D1207" s="507"/>
      <c r="E1207" s="504"/>
      <c r="F1207" s="504"/>
      <c r="G1207" s="504"/>
      <c r="H1207" s="504"/>
      <c r="I1207" s="501"/>
      <c r="J1207" s="505"/>
      <c r="K1207" s="506"/>
      <c r="L1207" s="504"/>
      <c r="M1207" s="504"/>
      <c r="N1207" s="504"/>
      <c r="O1207" s="504"/>
      <c r="P1207" s="504"/>
    </row>
    <row r="1208" spans="1:16" ht="15.75" customHeight="1">
      <c r="A1208" s="734" t="s">
        <v>2677</v>
      </c>
      <c r="B1208" s="731" t="s">
        <v>3260</v>
      </c>
      <c r="C1208" s="55"/>
      <c r="D1208" s="507"/>
      <c r="E1208" s="504"/>
      <c r="F1208" s="504"/>
      <c r="G1208" s="504"/>
      <c r="H1208" s="504"/>
      <c r="I1208" s="501"/>
      <c r="J1208" s="505"/>
      <c r="K1208" s="506"/>
      <c r="L1208" s="504"/>
      <c r="M1208" s="504"/>
      <c r="N1208" s="504"/>
      <c r="O1208" s="504"/>
      <c r="P1208" s="504"/>
    </row>
    <row r="1209" spans="1:16" ht="15.75" customHeight="1">
      <c r="A1209" s="734" t="s">
        <v>2677</v>
      </c>
      <c r="B1209" s="731" t="s">
        <v>2680</v>
      </c>
      <c r="C1209" s="55"/>
      <c r="D1209" s="507"/>
      <c r="E1209" s="504"/>
      <c r="F1209" s="504"/>
      <c r="G1209" s="504"/>
      <c r="H1209" s="504"/>
      <c r="I1209" s="501"/>
      <c r="J1209" s="505"/>
      <c r="K1209" s="506"/>
      <c r="L1209" s="504"/>
      <c r="M1209" s="504"/>
      <c r="N1209" s="504"/>
      <c r="O1209" s="504"/>
      <c r="P1209" s="504"/>
    </row>
    <row r="1210" spans="1:16" ht="15.75" customHeight="1">
      <c r="A1210" s="735" t="s">
        <v>2681</v>
      </c>
      <c r="B1210" s="731" t="s">
        <v>3261</v>
      </c>
      <c r="C1210" s="55"/>
      <c r="D1210" s="507"/>
      <c r="E1210" s="504"/>
      <c r="F1210" s="504"/>
      <c r="G1210" s="504"/>
      <c r="H1210" s="504"/>
      <c r="I1210" s="501"/>
      <c r="J1210" s="505"/>
      <c r="K1210" s="506"/>
      <c r="L1210" s="504"/>
      <c r="M1210" s="504"/>
      <c r="N1210" s="504"/>
      <c r="O1210" s="504"/>
      <c r="P1210" s="504"/>
    </row>
    <row r="1211" spans="1:16" ht="15.75" customHeight="1">
      <c r="A1211" s="735" t="s">
        <v>2681</v>
      </c>
      <c r="B1211" s="731" t="s">
        <v>3262</v>
      </c>
      <c r="C1211" s="55"/>
      <c r="D1211" s="507"/>
      <c r="E1211" s="504"/>
      <c r="F1211" s="504"/>
      <c r="G1211" s="504"/>
      <c r="H1211" s="504"/>
      <c r="I1211" s="501"/>
      <c r="J1211" s="505"/>
      <c r="K1211" s="506"/>
      <c r="L1211" s="504"/>
      <c r="M1211" s="504"/>
      <c r="N1211" s="504"/>
      <c r="O1211" s="504"/>
      <c r="P1211" s="504"/>
    </row>
    <row r="1212" spans="1:16" ht="15.75" customHeight="1">
      <c r="A1212" s="735" t="s">
        <v>2681</v>
      </c>
      <c r="B1212" s="731" t="s">
        <v>3263</v>
      </c>
      <c r="C1212" s="55"/>
      <c r="D1212" s="507"/>
      <c r="E1212" s="504"/>
      <c r="F1212" s="504"/>
      <c r="G1212" s="504"/>
      <c r="H1212" s="504"/>
      <c r="I1212" s="501"/>
      <c r="J1212" s="505"/>
      <c r="K1212" s="506"/>
      <c r="L1212" s="504"/>
      <c r="M1212" s="504"/>
      <c r="N1212" s="504"/>
      <c r="O1212" s="504"/>
      <c r="P1212" s="504"/>
    </row>
    <row r="1213" spans="1:16" ht="15.75" customHeight="1">
      <c r="A1213" s="735" t="s">
        <v>2681</v>
      </c>
      <c r="B1213" s="731" t="s">
        <v>2680</v>
      </c>
      <c r="C1213" s="55"/>
      <c r="D1213" s="507"/>
      <c r="E1213" s="504"/>
      <c r="F1213" s="504"/>
      <c r="G1213" s="504"/>
      <c r="H1213" s="504"/>
      <c r="I1213" s="501"/>
      <c r="J1213" s="505"/>
      <c r="K1213" s="506"/>
      <c r="L1213" s="504"/>
      <c r="M1213" s="504"/>
      <c r="N1213" s="504"/>
      <c r="O1213" s="504"/>
      <c r="P1213" s="504"/>
    </row>
    <row r="1214" spans="1:16" ht="15.75" customHeight="1">
      <c r="A1214" s="737" t="s">
        <v>2686</v>
      </c>
      <c r="B1214" s="731" t="s">
        <v>3264</v>
      </c>
      <c r="C1214" s="55"/>
      <c r="D1214" s="507"/>
      <c r="E1214" s="504"/>
      <c r="F1214" s="504"/>
      <c r="G1214" s="504"/>
      <c r="H1214" s="504"/>
      <c r="I1214" s="501"/>
      <c r="J1214" s="505"/>
      <c r="K1214" s="506"/>
      <c r="L1214" s="504"/>
      <c r="M1214" s="504"/>
      <c r="N1214" s="504"/>
      <c r="O1214" s="504"/>
      <c r="P1214" s="504"/>
    </row>
    <row r="1215" spans="1:16" ht="15.75" customHeight="1">
      <c r="A1215" s="737" t="s">
        <v>2686</v>
      </c>
      <c r="B1215" s="731" t="s">
        <v>5796</v>
      </c>
      <c r="C1215" s="55"/>
      <c r="D1215" s="507"/>
      <c r="E1215" s="504"/>
      <c r="F1215" s="504"/>
      <c r="G1215" s="504"/>
      <c r="H1215" s="504"/>
      <c r="I1215" s="501"/>
      <c r="J1215" s="505"/>
      <c r="K1215" s="506"/>
      <c r="L1215" s="504"/>
      <c r="M1215" s="504"/>
      <c r="N1215" s="504"/>
      <c r="O1215" s="504"/>
      <c r="P1215" s="504"/>
    </row>
    <row r="1216" spans="1:16" ht="15.75" customHeight="1">
      <c r="A1216" s="737" t="s">
        <v>2686</v>
      </c>
      <c r="B1216" s="731" t="s">
        <v>2680</v>
      </c>
      <c r="C1216" s="55"/>
      <c r="D1216" s="507"/>
      <c r="E1216" s="504"/>
      <c r="F1216" s="504"/>
      <c r="G1216" s="504"/>
      <c r="H1216" s="504"/>
      <c r="I1216" s="501"/>
      <c r="J1216" s="505"/>
      <c r="K1216" s="506"/>
      <c r="L1216" s="504"/>
      <c r="M1216" s="504"/>
      <c r="N1216" s="504"/>
      <c r="O1216" s="504"/>
      <c r="P1216" s="504"/>
    </row>
    <row r="1217" spans="1:16" ht="15.75" customHeight="1">
      <c r="A1217" s="737" t="s">
        <v>2686</v>
      </c>
      <c r="B1217" s="731" t="s">
        <v>2680</v>
      </c>
      <c r="C1217" s="55"/>
      <c r="D1217" s="507"/>
      <c r="E1217" s="504"/>
      <c r="F1217" s="504"/>
      <c r="G1217" s="504"/>
      <c r="H1217" s="504"/>
      <c r="I1217" s="501"/>
      <c r="J1217" s="505"/>
      <c r="K1217" s="506"/>
      <c r="L1217" s="504"/>
      <c r="M1217" s="504"/>
      <c r="N1217" s="504"/>
      <c r="O1217" s="504"/>
      <c r="P1217" s="504"/>
    </row>
    <row r="1218" spans="1:16" ht="15.75" customHeight="1">
      <c r="A1218" s="737" t="s">
        <v>2686</v>
      </c>
      <c r="B1218" s="731" t="s">
        <v>2680</v>
      </c>
      <c r="C1218" s="55"/>
      <c r="D1218" s="507"/>
      <c r="E1218" s="504"/>
      <c r="F1218" s="504"/>
      <c r="G1218" s="504"/>
      <c r="H1218" s="504"/>
      <c r="I1218" s="501"/>
      <c r="J1218" s="505"/>
      <c r="K1218" s="506"/>
      <c r="L1218" s="504"/>
      <c r="M1218" s="504"/>
      <c r="N1218" s="504"/>
      <c r="O1218" s="504"/>
      <c r="P1218" s="504"/>
    </row>
    <row r="1219" spans="1:16" ht="15.75" customHeight="1">
      <c r="A1219" s="738" t="s">
        <v>2691</v>
      </c>
      <c r="B1219" s="731" t="s">
        <v>3265</v>
      </c>
      <c r="C1219" s="55"/>
      <c r="D1219" s="507"/>
      <c r="E1219" s="504"/>
      <c r="F1219" s="504"/>
      <c r="G1219" s="504"/>
      <c r="H1219" s="504"/>
      <c r="I1219" s="501"/>
      <c r="J1219" s="505"/>
      <c r="K1219" s="506"/>
      <c r="L1219" s="504"/>
      <c r="M1219" s="504"/>
      <c r="N1219" s="504"/>
      <c r="O1219" s="504"/>
      <c r="P1219" s="504"/>
    </row>
    <row r="1220" spans="1:16" ht="15.75" customHeight="1">
      <c r="A1220" s="738" t="s">
        <v>2691</v>
      </c>
      <c r="B1220" s="731" t="s">
        <v>2680</v>
      </c>
      <c r="C1220" s="55"/>
      <c r="D1220" s="507"/>
      <c r="E1220" s="504"/>
      <c r="F1220" s="504"/>
      <c r="G1220" s="504"/>
      <c r="H1220" s="504"/>
      <c r="I1220" s="501"/>
      <c r="J1220" s="505"/>
      <c r="K1220" s="506"/>
      <c r="L1220" s="504"/>
      <c r="M1220" s="504"/>
      <c r="N1220" s="504"/>
      <c r="O1220" s="504"/>
      <c r="P1220" s="504"/>
    </row>
    <row r="1221" spans="1:16" ht="15.75" customHeight="1">
      <c r="A1221" s="739" t="s">
        <v>2693</v>
      </c>
      <c r="B1221" s="731" t="s">
        <v>2680</v>
      </c>
      <c r="C1221" s="55"/>
      <c r="D1221" s="507"/>
      <c r="E1221" s="504"/>
      <c r="F1221" s="504"/>
      <c r="G1221" s="504"/>
      <c r="H1221" s="504"/>
      <c r="I1221" s="501"/>
      <c r="J1221" s="505"/>
      <c r="K1221" s="506"/>
      <c r="L1221" s="504"/>
      <c r="M1221" s="504"/>
      <c r="N1221" s="504"/>
      <c r="O1221" s="504"/>
      <c r="P1221" s="504"/>
    </row>
    <row r="1222" spans="1:16" ht="15.75" customHeight="1">
      <c r="A1222" s="740"/>
      <c r="B1222" s="559"/>
      <c r="C1222" s="55"/>
      <c r="D1222" s="507"/>
      <c r="E1222" s="504"/>
      <c r="F1222" s="504"/>
      <c r="G1222" s="504"/>
      <c r="H1222" s="504"/>
      <c r="I1222" s="501"/>
      <c r="J1222" s="505"/>
      <c r="K1222" s="506"/>
      <c r="L1222" s="504"/>
      <c r="M1222" s="504"/>
      <c r="N1222" s="504"/>
      <c r="O1222" s="504"/>
      <c r="P1222" s="504"/>
    </row>
    <row r="1223" spans="1:16" ht="15.75" customHeight="1">
      <c r="A1223" s="729" t="s">
        <v>3266</v>
      </c>
      <c r="B1223" s="731" t="s">
        <v>2674</v>
      </c>
      <c r="C1223" s="55"/>
      <c r="D1223" s="507"/>
      <c r="E1223" s="504"/>
      <c r="F1223" s="504"/>
      <c r="G1223" s="504"/>
      <c r="H1223" s="504"/>
      <c r="I1223" s="501"/>
      <c r="J1223" s="505"/>
      <c r="K1223" s="506"/>
      <c r="L1223" s="504"/>
      <c r="M1223" s="504"/>
      <c r="N1223" s="504"/>
      <c r="O1223" s="504"/>
      <c r="P1223" s="504"/>
    </row>
    <row r="1224" spans="1:16" ht="15.75" customHeight="1">
      <c r="A1224" s="732" t="s">
        <v>2675</v>
      </c>
      <c r="B1224" s="731" t="s">
        <v>3267</v>
      </c>
      <c r="C1224" s="55"/>
      <c r="D1224" s="507"/>
      <c r="E1224" s="504"/>
      <c r="F1224" s="504"/>
      <c r="G1224" s="504"/>
      <c r="H1224" s="504"/>
      <c r="I1224" s="501"/>
      <c r="J1224" s="505"/>
      <c r="K1224" s="506"/>
      <c r="L1224" s="504"/>
      <c r="M1224" s="504"/>
      <c r="N1224" s="504"/>
      <c r="O1224" s="504"/>
      <c r="P1224" s="504"/>
    </row>
    <row r="1225" spans="1:16" ht="15.75" customHeight="1">
      <c r="A1225" s="732" t="s">
        <v>2675</v>
      </c>
      <c r="B1225" s="731" t="s">
        <v>2680</v>
      </c>
      <c r="C1225" s="55"/>
      <c r="D1225" s="507"/>
      <c r="E1225" s="504"/>
      <c r="F1225" s="504"/>
      <c r="G1225" s="504"/>
      <c r="H1225" s="504"/>
      <c r="I1225" s="501"/>
      <c r="J1225" s="505"/>
      <c r="K1225" s="506"/>
      <c r="L1225" s="504"/>
      <c r="M1225" s="504"/>
      <c r="N1225" s="504"/>
      <c r="O1225" s="504"/>
      <c r="P1225" s="504"/>
    </row>
    <row r="1226" spans="1:16" ht="15.75" customHeight="1">
      <c r="A1226" s="733" t="s">
        <v>5723</v>
      </c>
      <c r="B1226" s="731" t="s">
        <v>5797</v>
      </c>
      <c r="C1226" s="55"/>
      <c r="D1226" s="507"/>
      <c r="E1226" s="504"/>
      <c r="F1226" s="504"/>
      <c r="G1226" s="504"/>
      <c r="H1226" s="504"/>
      <c r="I1226" s="501"/>
      <c r="J1226" s="505"/>
      <c r="K1226" s="506"/>
      <c r="L1226" s="504"/>
      <c r="M1226" s="504"/>
      <c r="N1226" s="504"/>
      <c r="O1226" s="504"/>
      <c r="P1226" s="504"/>
    </row>
    <row r="1227" spans="1:16" ht="15.75" customHeight="1">
      <c r="A1227" s="733" t="s">
        <v>5723</v>
      </c>
      <c r="B1227" s="731" t="s">
        <v>2680</v>
      </c>
      <c r="C1227" s="55"/>
      <c r="D1227" s="507"/>
      <c r="E1227" s="504"/>
      <c r="F1227" s="504"/>
      <c r="G1227" s="504"/>
      <c r="H1227" s="504"/>
      <c r="I1227" s="501"/>
      <c r="J1227" s="505"/>
      <c r="K1227" s="506"/>
      <c r="L1227" s="504"/>
      <c r="M1227" s="504"/>
      <c r="N1227" s="504"/>
      <c r="O1227" s="504"/>
      <c r="P1227" s="504"/>
    </row>
    <row r="1228" spans="1:16" ht="15.75" customHeight="1">
      <c r="A1228" s="734" t="s">
        <v>2677</v>
      </c>
      <c r="B1228" s="731" t="s">
        <v>3268</v>
      </c>
      <c r="C1228" s="55"/>
      <c r="D1228" s="507"/>
      <c r="E1228" s="504"/>
      <c r="F1228" s="504"/>
      <c r="G1228" s="504"/>
      <c r="H1228" s="504"/>
      <c r="I1228" s="501"/>
      <c r="J1228" s="505"/>
      <c r="K1228" s="506"/>
      <c r="L1228" s="504"/>
      <c r="M1228" s="504"/>
      <c r="N1228" s="504"/>
      <c r="O1228" s="504"/>
      <c r="P1228" s="504"/>
    </row>
    <row r="1229" spans="1:16" ht="15.75" customHeight="1">
      <c r="A1229" s="734" t="s">
        <v>2677</v>
      </c>
      <c r="B1229" s="731" t="s">
        <v>3269</v>
      </c>
      <c r="C1229" s="55"/>
      <c r="D1229" s="507"/>
      <c r="E1229" s="504"/>
      <c r="F1229" s="504"/>
      <c r="G1229" s="504"/>
      <c r="H1229" s="504"/>
      <c r="I1229" s="501"/>
      <c r="J1229" s="505"/>
      <c r="K1229" s="506"/>
      <c r="L1229" s="504"/>
      <c r="M1229" s="504"/>
      <c r="N1229" s="504"/>
      <c r="O1229" s="504"/>
      <c r="P1229" s="504"/>
    </row>
    <row r="1230" spans="1:16">
      <c r="A1230" s="734" t="s">
        <v>2677</v>
      </c>
      <c r="B1230" s="731" t="s">
        <v>3270</v>
      </c>
      <c r="C1230" s="55"/>
      <c r="D1230" s="507"/>
      <c r="E1230" s="504"/>
      <c r="F1230" s="504"/>
      <c r="G1230" s="504"/>
      <c r="H1230" s="504"/>
      <c r="I1230" s="501"/>
      <c r="J1230" s="505"/>
      <c r="K1230" s="506"/>
      <c r="L1230" s="504"/>
      <c r="M1230" s="504"/>
      <c r="N1230" s="504"/>
      <c r="O1230" s="504"/>
      <c r="P1230" s="504"/>
    </row>
    <row r="1231" spans="1:16" ht="15.75" customHeight="1">
      <c r="A1231" s="735" t="s">
        <v>2681</v>
      </c>
      <c r="B1231" s="731" t="s">
        <v>3271</v>
      </c>
      <c r="C1231" s="55"/>
      <c r="D1231" s="507"/>
      <c r="E1231" s="504"/>
      <c r="F1231" s="504"/>
      <c r="G1231" s="504"/>
      <c r="H1231" s="504"/>
      <c r="I1231" s="501"/>
      <c r="J1231" s="505"/>
      <c r="K1231" s="506"/>
      <c r="L1231" s="504"/>
      <c r="M1231" s="504"/>
      <c r="N1231" s="504"/>
      <c r="O1231" s="504"/>
      <c r="P1231" s="504"/>
    </row>
    <row r="1232" spans="1:16" ht="15.75" customHeight="1">
      <c r="A1232" s="735" t="s">
        <v>2681</v>
      </c>
      <c r="B1232" s="731" t="s">
        <v>3272</v>
      </c>
      <c r="C1232" s="55"/>
      <c r="D1232" s="507"/>
      <c r="E1232" s="504"/>
      <c r="F1232" s="504"/>
      <c r="G1232" s="504"/>
      <c r="H1232" s="504"/>
      <c r="I1232" s="501"/>
      <c r="J1232" s="505"/>
      <c r="K1232" s="506"/>
      <c r="L1232" s="504"/>
      <c r="M1232" s="504"/>
      <c r="N1232" s="504"/>
      <c r="O1232" s="504"/>
      <c r="P1232" s="504"/>
    </row>
    <row r="1233" spans="1:16" ht="15.75" customHeight="1">
      <c r="A1233" s="735" t="s">
        <v>2681</v>
      </c>
      <c r="B1233" s="731" t="s">
        <v>2680</v>
      </c>
      <c r="C1233" s="55"/>
      <c r="D1233" s="507"/>
      <c r="E1233" s="504"/>
      <c r="F1233" s="504"/>
      <c r="G1233" s="504"/>
      <c r="H1233" s="504"/>
      <c r="I1233" s="501"/>
      <c r="J1233" s="505"/>
      <c r="K1233" s="506"/>
      <c r="L1233" s="504"/>
      <c r="M1233" s="504"/>
      <c r="N1233" s="504"/>
      <c r="O1233" s="504"/>
      <c r="P1233" s="504"/>
    </row>
    <row r="1234" spans="1:16" ht="15.75" customHeight="1">
      <c r="A1234" s="735" t="s">
        <v>2681</v>
      </c>
      <c r="B1234" s="731" t="s">
        <v>2680</v>
      </c>
      <c r="C1234" s="55"/>
      <c r="D1234" s="507"/>
      <c r="E1234" s="504"/>
      <c r="F1234" s="504"/>
      <c r="G1234" s="504"/>
      <c r="H1234" s="504"/>
      <c r="I1234" s="501"/>
      <c r="J1234" s="505"/>
      <c r="K1234" s="506"/>
      <c r="L1234" s="504"/>
      <c r="M1234" s="504"/>
      <c r="N1234" s="504"/>
      <c r="O1234" s="504"/>
      <c r="P1234" s="504"/>
    </row>
    <row r="1235" spans="1:16" ht="15.75" customHeight="1">
      <c r="A1235" s="737" t="s">
        <v>2686</v>
      </c>
      <c r="B1235" s="731" t="s">
        <v>3273</v>
      </c>
      <c r="C1235" s="55"/>
      <c r="D1235" s="507"/>
      <c r="E1235" s="504"/>
      <c r="F1235" s="504"/>
      <c r="G1235" s="504"/>
      <c r="H1235" s="504"/>
      <c r="I1235" s="501"/>
      <c r="J1235" s="505"/>
      <c r="K1235" s="506"/>
      <c r="L1235" s="504"/>
      <c r="M1235" s="504"/>
      <c r="N1235" s="504"/>
      <c r="O1235" s="504"/>
      <c r="P1235" s="504"/>
    </row>
    <row r="1236" spans="1:16" ht="15.75" customHeight="1">
      <c r="A1236" s="737" t="s">
        <v>2686</v>
      </c>
      <c r="B1236" s="731" t="s">
        <v>3274</v>
      </c>
      <c r="C1236" s="55"/>
      <c r="D1236" s="507"/>
      <c r="E1236" s="504"/>
      <c r="F1236" s="504"/>
      <c r="G1236" s="504"/>
      <c r="H1236" s="504"/>
      <c r="I1236" s="501"/>
      <c r="J1236" s="505"/>
      <c r="K1236" s="506"/>
      <c r="L1236" s="504"/>
      <c r="M1236" s="504"/>
      <c r="N1236" s="504"/>
      <c r="O1236" s="504"/>
      <c r="P1236" s="504"/>
    </row>
    <row r="1237" spans="1:16" ht="15.75" customHeight="1">
      <c r="A1237" s="737" t="s">
        <v>2686</v>
      </c>
      <c r="B1237" s="731" t="s">
        <v>3275</v>
      </c>
      <c r="C1237" s="55"/>
      <c r="D1237" s="507"/>
      <c r="E1237" s="504"/>
      <c r="F1237" s="504"/>
      <c r="G1237" s="504"/>
      <c r="H1237" s="504"/>
      <c r="I1237" s="501"/>
      <c r="J1237" s="505"/>
      <c r="K1237" s="506"/>
      <c r="L1237" s="504"/>
      <c r="M1237" s="504"/>
      <c r="N1237" s="504"/>
      <c r="O1237" s="504"/>
      <c r="P1237" s="504"/>
    </row>
    <row r="1238" spans="1:16" ht="15.75" customHeight="1">
      <c r="A1238" s="737" t="s">
        <v>2686</v>
      </c>
      <c r="B1238" s="731" t="s">
        <v>3276</v>
      </c>
      <c r="C1238" s="55"/>
      <c r="D1238" s="507"/>
      <c r="E1238" s="504"/>
      <c r="F1238" s="504"/>
      <c r="G1238" s="504"/>
      <c r="H1238" s="504"/>
      <c r="I1238" s="501"/>
      <c r="J1238" s="505"/>
      <c r="K1238" s="506"/>
      <c r="L1238" s="504"/>
      <c r="M1238" s="504"/>
      <c r="N1238" s="504"/>
      <c r="O1238" s="504"/>
      <c r="P1238" s="504"/>
    </row>
    <row r="1239" spans="1:16" ht="15.75" customHeight="1">
      <c r="A1239" s="737" t="s">
        <v>2686</v>
      </c>
      <c r="B1239" s="731" t="s">
        <v>3277</v>
      </c>
      <c r="C1239" s="55"/>
      <c r="D1239" s="507"/>
      <c r="E1239" s="504"/>
      <c r="F1239" s="504"/>
      <c r="G1239" s="504"/>
      <c r="H1239" s="504"/>
      <c r="I1239" s="501"/>
      <c r="J1239" s="505"/>
      <c r="K1239" s="506"/>
      <c r="L1239" s="504"/>
      <c r="M1239" s="504"/>
      <c r="N1239" s="504"/>
      <c r="O1239" s="504"/>
      <c r="P1239" s="504"/>
    </row>
    <row r="1240" spans="1:16" ht="15.75" customHeight="1">
      <c r="A1240" s="738" t="s">
        <v>2691</v>
      </c>
      <c r="B1240" s="731" t="s">
        <v>3278</v>
      </c>
      <c r="C1240" s="55"/>
      <c r="D1240" s="507"/>
      <c r="E1240" s="504"/>
      <c r="F1240" s="504"/>
      <c r="G1240" s="504"/>
      <c r="H1240" s="504"/>
      <c r="I1240" s="501"/>
      <c r="J1240" s="505"/>
      <c r="K1240" s="506"/>
      <c r="L1240" s="504"/>
      <c r="M1240" s="504"/>
      <c r="N1240" s="504"/>
      <c r="O1240" s="504"/>
      <c r="P1240" s="504"/>
    </row>
    <row r="1241" spans="1:16" ht="15.75" customHeight="1">
      <c r="A1241" s="738" t="s">
        <v>2691</v>
      </c>
      <c r="B1241" s="731" t="s">
        <v>2680</v>
      </c>
      <c r="C1241" s="55"/>
      <c r="D1241" s="507"/>
      <c r="E1241" s="504"/>
      <c r="F1241" s="504"/>
      <c r="G1241" s="504"/>
      <c r="H1241" s="504"/>
      <c r="I1241" s="501"/>
      <c r="J1241" s="505"/>
      <c r="K1241" s="506"/>
      <c r="L1241" s="504"/>
      <c r="M1241" s="504"/>
      <c r="N1241" s="504"/>
      <c r="O1241" s="504"/>
      <c r="P1241" s="504"/>
    </row>
    <row r="1242" spans="1:16" ht="15.75" customHeight="1">
      <c r="A1242" s="739" t="s">
        <v>2693</v>
      </c>
      <c r="B1242" s="731" t="s">
        <v>2680</v>
      </c>
      <c r="C1242" s="55"/>
      <c r="D1242" s="507"/>
      <c r="E1242" s="504"/>
      <c r="F1242" s="504"/>
      <c r="G1242" s="504"/>
      <c r="H1242" s="504"/>
      <c r="I1242" s="501"/>
      <c r="J1242" s="505"/>
      <c r="K1242" s="506"/>
      <c r="L1242" s="504"/>
      <c r="M1242" s="504"/>
      <c r="N1242" s="504"/>
      <c r="O1242" s="504"/>
      <c r="P1242" s="504"/>
    </row>
    <row r="1243" spans="1:16" ht="15.75" customHeight="1">
      <c r="A1243" s="730"/>
      <c r="B1243" s="559"/>
      <c r="C1243" s="55"/>
      <c r="D1243" s="507"/>
      <c r="E1243" s="504"/>
      <c r="F1243" s="504"/>
      <c r="G1243" s="504"/>
      <c r="H1243" s="504"/>
      <c r="I1243" s="501"/>
      <c r="J1243" s="505"/>
      <c r="K1243" s="506"/>
      <c r="L1243" s="504"/>
      <c r="M1243" s="504"/>
      <c r="N1243" s="504"/>
      <c r="O1243" s="504"/>
      <c r="P1243" s="504"/>
    </row>
    <row r="1244" spans="1:16" ht="15.75" customHeight="1">
      <c r="A1244" s="729" t="s">
        <v>3279</v>
      </c>
      <c r="B1244" s="731" t="s">
        <v>2674</v>
      </c>
      <c r="C1244" s="55"/>
      <c r="D1244" s="507"/>
      <c r="E1244" s="504"/>
      <c r="F1244" s="504"/>
      <c r="G1244" s="504"/>
      <c r="H1244" s="504"/>
      <c r="I1244" s="501"/>
      <c r="J1244" s="505"/>
      <c r="K1244" s="506"/>
      <c r="L1244" s="504"/>
      <c r="M1244" s="504"/>
      <c r="N1244" s="504"/>
      <c r="O1244" s="504"/>
      <c r="P1244" s="504"/>
    </row>
    <row r="1245" spans="1:16" ht="15.75" customHeight="1">
      <c r="A1245" s="732" t="s">
        <v>2675</v>
      </c>
      <c r="B1245" s="731" t="s">
        <v>3280</v>
      </c>
      <c r="C1245" s="55"/>
      <c r="D1245" s="507"/>
      <c r="E1245" s="504"/>
      <c r="F1245" s="504"/>
      <c r="G1245" s="504"/>
      <c r="H1245" s="504"/>
      <c r="I1245" s="501"/>
      <c r="J1245" s="505"/>
      <c r="K1245" s="506"/>
      <c r="L1245" s="504"/>
      <c r="M1245" s="504"/>
      <c r="N1245" s="504"/>
      <c r="O1245" s="504"/>
      <c r="P1245" s="504"/>
    </row>
    <row r="1246" spans="1:16" ht="15.75" customHeight="1">
      <c r="A1246" s="732" t="s">
        <v>2675</v>
      </c>
      <c r="B1246" s="731" t="s">
        <v>2680</v>
      </c>
      <c r="C1246" s="55"/>
      <c r="D1246" s="507"/>
      <c r="E1246" s="504"/>
      <c r="F1246" s="504"/>
      <c r="G1246" s="504"/>
      <c r="H1246" s="504"/>
      <c r="I1246" s="501"/>
      <c r="J1246" s="505"/>
      <c r="K1246" s="506"/>
      <c r="L1246" s="504"/>
      <c r="M1246" s="504"/>
      <c r="N1246" s="504"/>
      <c r="O1246" s="504"/>
      <c r="P1246" s="504"/>
    </row>
    <row r="1247" spans="1:16" ht="15.75" customHeight="1">
      <c r="A1247" s="733" t="s">
        <v>5723</v>
      </c>
      <c r="B1247" s="731" t="s">
        <v>5798</v>
      </c>
      <c r="C1247" s="55"/>
      <c r="D1247" s="507"/>
      <c r="E1247" s="504"/>
      <c r="F1247" s="504"/>
      <c r="G1247" s="504"/>
      <c r="H1247" s="504"/>
      <c r="I1247" s="501"/>
      <c r="J1247" s="505"/>
      <c r="K1247" s="506"/>
      <c r="L1247" s="504"/>
      <c r="M1247" s="504"/>
      <c r="N1247" s="504"/>
      <c r="O1247" s="504"/>
      <c r="P1247" s="504"/>
    </row>
    <row r="1248" spans="1:16" ht="15.75" customHeight="1">
      <c r="A1248" s="733" t="s">
        <v>5723</v>
      </c>
      <c r="B1248" s="731" t="s">
        <v>2680</v>
      </c>
      <c r="C1248" s="55"/>
      <c r="D1248" s="507"/>
      <c r="E1248" s="504"/>
      <c r="F1248" s="504"/>
      <c r="G1248" s="504"/>
      <c r="H1248" s="504"/>
      <c r="I1248" s="501"/>
      <c r="J1248" s="505"/>
      <c r="K1248" s="506"/>
      <c r="L1248" s="504"/>
      <c r="M1248" s="504"/>
      <c r="N1248" s="504"/>
      <c r="O1248" s="504"/>
      <c r="P1248" s="504"/>
    </row>
    <row r="1249" spans="1:16" ht="15.75" customHeight="1">
      <c r="A1249" s="734" t="s">
        <v>2677</v>
      </c>
      <c r="B1249" s="731" t="s">
        <v>3281</v>
      </c>
      <c r="C1249" s="55"/>
      <c r="D1249" s="507"/>
      <c r="E1249" s="504"/>
      <c r="F1249" s="504"/>
      <c r="G1249" s="504"/>
      <c r="H1249" s="504"/>
      <c r="I1249" s="501"/>
      <c r="J1249" s="505"/>
      <c r="K1249" s="506"/>
      <c r="L1249" s="504"/>
      <c r="M1249" s="504"/>
      <c r="N1249" s="504"/>
      <c r="O1249" s="504"/>
      <c r="P1249" s="504"/>
    </row>
    <row r="1250" spans="1:16" ht="15.75" customHeight="1">
      <c r="A1250" s="734" t="s">
        <v>2677</v>
      </c>
      <c r="B1250" s="731" t="s">
        <v>2680</v>
      </c>
      <c r="C1250" s="55"/>
      <c r="D1250" s="507"/>
      <c r="E1250" s="504"/>
      <c r="F1250" s="504"/>
      <c r="G1250" s="504"/>
      <c r="H1250" s="504"/>
      <c r="I1250" s="501"/>
      <c r="J1250" s="505"/>
      <c r="K1250" s="506"/>
      <c r="L1250" s="504"/>
      <c r="M1250" s="504"/>
      <c r="N1250" s="504"/>
      <c r="O1250" s="504"/>
      <c r="P1250" s="504"/>
    </row>
    <row r="1251" spans="1:16" ht="15.75" customHeight="1">
      <c r="A1251" s="734" t="s">
        <v>2677</v>
      </c>
      <c r="B1251" s="731" t="s">
        <v>2680</v>
      </c>
      <c r="C1251" s="55"/>
      <c r="D1251" s="507"/>
      <c r="E1251" s="504"/>
      <c r="F1251" s="504"/>
      <c r="G1251" s="504"/>
      <c r="H1251" s="504"/>
      <c r="I1251" s="501"/>
      <c r="J1251" s="505"/>
      <c r="K1251" s="506"/>
      <c r="L1251" s="504"/>
      <c r="M1251" s="504"/>
      <c r="N1251" s="504"/>
      <c r="O1251" s="504"/>
      <c r="P1251" s="504"/>
    </row>
    <row r="1252" spans="1:16" ht="15.75" customHeight="1">
      <c r="A1252" s="735" t="s">
        <v>2681</v>
      </c>
      <c r="B1252" s="731" t="s">
        <v>3282</v>
      </c>
      <c r="C1252" s="55"/>
      <c r="D1252" s="507"/>
      <c r="E1252" s="504"/>
      <c r="F1252" s="504"/>
      <c r="G1252" s="504"/>
      <c r="H1252" s="504"/>
      <c r="I1252" s="501"/>
      <c r="J1252" s="505"/>
      <c r="K1252" s="506"/>
      <c r="L1252" s="504"/>
      <c r="M1252" s="504"/>
      <c r="N1252" s="504"/>
      <c r="O1252" s="504"/>
      <c r="P1252" s="504"/>
    </row>
    <row r="1253" spans="1:16" ht="15.75" customHeight="1">
      <c r="A1253" s="735" t="s">
        <v>2681</v>
      </c>
      <c r="B1253" s="731" t="s">
        <v>2680</v>
      </c>
      <c r="C1253" s="55"/>
      <c r="D1253" s="507"/>
      <c r="E1253" s="504"/>
      <c r="F1253" s="504"/>
      <c r="G1253" s="504"/>
      <c r="H1253" s="504"/>
      <c r="I1253" s="501"/>
      <c r="J1253" s="505"/>
      <c r="K1253" s="506"/>
      <c r="L1253" s="504"/>
      <c r="M1253" s="504"/>
      <c r="N1253" s="504"/>
      <c r="O1253" s="504"/>
      <c r="P1253" s="504"/>
    </row>
    <row r="1254" spans="1:16" ht="15.75" customHeight="1">
      <c r="A1254" s="735" t="s">
        <v>2681</v>
      </c>
      <c r="B1254" s="731" t="s">
        <v>2680</v>
      </c>
      <c r="C1254" s="55"/>
      <c r="D1254" s="507"/>
      <c r="E1254" s="504"/>
      <c r="F1254" s="504"/>
      <c r="G1254" s="504"/>
      <c r="H1254" s="504"/>
      <c r="I1254" s="501"/>
      <c r="J1254" s="505"/>
      <c r="K1254" s="506"/>
      <c r="L1254" s="504"/>
      <c r="M1254" s="504"/>
      <c r="N1254" s="504"/>
      <c r="O1254" s="504"/>
      <c r="P1254" s="504"/>
    </row>
    <row r="1255" spans="1:16" ht="15.75" customHeight="1">
      <c r="A1255" s="735" t="s">
        <v>2681</v>
      </c>
      <c r="B1255" s="731" t="s">
        <v>2680</v>
      </c>
      <c r="C1255" s="55"/>
      <c r="D1255" s="507"/>
      <c r="E1255" s="504"/>
      <c r="F1255" s="504"/>
      <c r="G1255" s="504"/>
      <c r="H1255" s="504"/>
      <c r="I1255" s="501"/>
      <c r="J1255" s="505"/>
      <c r="K1255" s="506"/>
      <c r="L1255" s="504"/>
      <c r="M1255" s="504"/>
      <c r="N1255" s="504"/>
      <c r="O1255" s="504"/>
      <c r="P1255" s="504"/>
    </row>
    <row r="1256" spans="1:16" ht="15.75" customHeight="1">
      <c r="A1256" s="737" t="s">
        <v>2686</v>
      </c>
      <c r="B1256" s="731" t="s">
        <v>3283</v>
      </c>
      <c r="C1256" s="55"/>
      <c r="D1256" s="507"/>
      <c r="E1256" s="504"/>
      <c r="F1256" s="504"/>
      <c r="G1256" s="504"/>
      <c r="H1256" s="504"/>
      <c r="I1256" s="501"/>
      <c r="J1256" s="505"/>
      <c r="K1256" s="506"/>
      <c r="L1256" s="504"/>
      <c r="M1256" s="504"/>
      <c r="N1256" s="504"/>
      <c r="O1256" s="504"/>
      <c r="P1256" s="504"/>
    </row>
    <row r="1257" spans="1:16" ht="15.75" customHeight="1">
      <c r="A1257" s="737" t="s">
        <v>2686</v>
      </c>
      <c r="B1257" s="731" t="s">
        <v>3284</v>
      </c>
      <c r="C1257" s="55"/>
      <c r="D1257" s="507"/>
      <c r="E1257" s="504"/>
      <c r="F1257" s="504"/>
      <c r="G1257" s="504"/>
      <c r="H1257" s="504"/>
      <c r="I1257" s="501"/>
      <c r="J1257" s="505"/>
      <c r="K1257" s="506"/>
      <c r="L1257" s="504"/>
      <c r="M1257" s="504"/>
      <c r="N1257" s="504"/>
      <c r="O1257" s="504"/>
      <c r="P1257" s="504"/>
    </row>
    <row r="1258" spans="1:16" ht="15.75" customHeight="1">
      <c r="A1258" s="737" t="s">
        <v>2686</v>
      </c>
      <c r="B1258" s="731" t="s">
        <v>3285</v>
      </c>
      <c r="C1258" s="55"/>
      <c r="D1258" s="507"/>
      <c r="E1258" s="504"/>
      <c r="F1258" s="504"/>
      <c r="G1258" s="504"/>
      <c r="H1258" s="504"/>
      <c r="I1258" s="501"/>
      <c r="J1258" s="505"/>
      <c r="K1258" s="506"/>
      <c r="L1258" s="504"/>
      <c r="M1258" s="504"/>
      <c r="N1258" s="504"/>
      <c r="O1258" s="504"/>
      <c r="P1258" s="504"/>
    </row>
    <row r="1259" spans="1:16" ht="15.75" customHeight="1">
      <c r="A1259" s="737" t="s">
        <v>2686</v>
      </c>
      <c r="B1259" s="736" t="s">
        <v>3286</v>
      </c>
      <c r="C1259" s="55"/>
      <c r="D1259" s="507"/>
      <c r="E1259" s="504"/>
      <c r="F1259" s="504"/>
      <c r="G1259" s="504"/>
      <c r="H1259" s="504"/>
      <c r="I1259" s="501"/>
      <c r="J1259" s="505"/>
      <c r="K1259" s="506"/>
      <c r="L1259" s="504"/>
      <c r="M1259" s="504"/>
      <c r="N1259" s="504"/>
      <c r="O1259" s="504"/>
      <c r="P1259" s="504"/>
    </row>
    <row r="1260" spans="1:16" ht="15.75" customHeight="1">
      <c r="A1260" s="737" t="s">
        <v>2686</v>
      </c>
      <c r="B1260" s="731" t="s">
        <v>2680</v>
      </c>
      <c r="C1260" s="55"/>
      <c r="D1260" s="507"/>
      <c r="E1260" s="504"/>
      <c r="F1260" s="504"/>
      <c r="G1260" s="504"/>
      <c r="H1260" s="504"/>
      <c r="I1260" s="501"/>
      <c r="J1260" s="505"/>
      <c r="K1260" s="506"/>
      <c r="L1260" s="504"/>
      <c r="M1260" s="504"/>
      <c r="N1260" s="504"/>
      <c r="O1260" s="504"/>
      <c r="P1260" s="504"/>
    </row>
    <row r="1261" spans="1:16" ht="15.75" customHeight="1">
      <c r="A1261" s="738" t="s">
        <v>2691</v>
      </c>
      <c r="B1261" s="731" t="s">
        <v>3287</v>
      </c>
      <c r="C1261" s="55"/>
      <c r="D1261" s="507"/>
      <c r="E1261" s="504"/>
      <c r="F1261" s="504"/>
      <c r="G1261" s="504"/>
      <c r="H1261" s="504"/>
      <c r="I1261" s="501"/>
      <c r="J1261" s="505"/>
      <c r="K1261" s="506"/>
      <c r="L1261" s="504"/>
      <c r="M1261" s="504"/>
      <c r="N1261" s="504"/>
      <c r="O1261" s="504"/>
      <c r="P1261" s="504"/>
    </row>
    <row r="1262" spans="1:16" ht="15.75" customHeight="1">
      <c r="A1262" s="738" t="s">
        <v>2691</v>
      </c>
      <c r="B1262" s="731" t="s">
        <v>2680</v>
      </c>
      <c r="C1262" s="55"/>
      <c r="D1262" s="507"/>
      <c r="E1262" s="504"/>
      <c r="F1262" s="504"/>
      <c r="G1262" s="504"/>
      <c r="H1262" s="504"/>
      <c r="I1262" s="501"/>
      <c r="J1262" s="505"/>
      <c r="K1262" s="506"/>
      <c r="L1262" s="504"/>
      <c r="M1262" s="504"/>
      <c r="N1262" s="504"/>
      <c r="O1262" s="504"/>
      <c r="P1262" s="504"/>
    </row>
    <row r="1263" spans="1:16" ht="15.75" customHeight="1">
      <c r="A1263" s="739" t="s">
        <v>2693</v>
      </c>
      <c r="B1263" s="731" t="s">
        <v>2680</v>
      </c>
      <c r="C1263" s="55"/>
      <c r="D1263" s="507"/>
      <c r="E1263" s="504"/>
      <c r="F1263" s="504"/>
      <c r="G1263" s="504"/>
      <c r="H1263" s="504"/>
      <c r="I1263" s="501"/>
      <c r="J1263" s="505"/>
      <c r="K1263" s="506"/>
      <c r="L1263" s="504"/>
      <c r="M1263" s="504"/>
      <c r="N1263" s="504"/>
      <c r="O1263" s="504"/>
      <c r="P1263" s="504"/>
    </row>
    <row r="1264" spans="1:16" ht="15.75" customHeight="1">
      <c r="A1264" s="730"/>
      <c r="B1264" s="559"/>
      <c r="C1264" s="55"/>
      <c r="D1264" s="507"/>
      <c r="E1264" s="504"/>
      <c r="F1264" s="504"/>
      <c r="G1264" s="504"/>
      <c r="H1264" s="504"/>
      <c r="I1264" s="501"/>
      <c r="J1264" s="505"/>
      <c r="K1264" s="506"/>
      <c r="L1264" s="504"/>
      <c r="M1264" s="504"/>
      <c r="N1264" s="504"/>
      <c r="O1264" s="504"/>
      <c r="P1264" s="504"/>
    </row>
    <row r="1265" spans="1:16" ht="15.75" customHeight="1">
      <c r="A1265" s="729" t="s">
        <v>3288</v>
      </c>
      <c r="B1265" s="731" t="s">
        <v>2943</v>
      </c>
      <c r="C1265" s="55"/>
      <c r="D1265" s="507"/>
      <c r="E1265" s="504"/>
      <c r="F1265" s="504"/>
      <c r="G1265" s="504"/>
      <c r="H1265" s="504"/>
      <c r="I1265" s="501"/>
      <c r="J1265" s="505"/>
      <c r="K1265" s="506"/>
      <c r="L1265" s="504"/>
      <c r="M1265" s="504"/>
      <c r="N1265" s="504"/>
      <c r="O1265" s="504"/>
      <c r="P1265" s="504"/>
    </row>
    <row r="1266" spans="1:16" ht="15.75" customHeight="1">
      <c r="A1266" s="732" t="s">
        <v>2675</v>
      </c>
      <c r="B1266" s="731" t="s">
        <v>3289</v>
      </c>
      <c r="C1266" s="55"/>
      <c r="D1266" s="507"/>
      <c r="E1266" s="504"/>
      <c r="F1266" s="504"/>
      <c r="G1266" s="504"/>
      <c r="H1266" s="504"/>
      <c r="I1266" s="501"/>
      <c r="J1266" s="505"/>
      <c r="K1266" s="506"/>
      <c r="L1266" s="504"/>
      <c r="M1266" s="504"/>
      <c r="N1266" s="504"/>
      <c r="O1266" s="504"/>
      <c r="P1266" s="504"/>
    </row>
    <row r="1267" spans="1:16">
      <c r="A1267" s="732" t="s">
        <v>2675</v>
      </c>
      <c r="B1267" s="731" t="s">
        <v>2680</v>
      </c>
      <c r="C1267" s="55"/>
      <c r="D1267" s="507"/>
      <c r="E1267" s="504"/>
      <c r="F1267" s="504"/>
      <c r="G1267" s="504"/>
      <c r="H1267" s="504"/>
      <c r="I1267" s="501"/>
      <c r="J1267" s="505"/>
      <c r="K1267" s="506"/>
      <c r="L1267" s="504"/>
      <c r="M1267" s="504"/>
      <c r="N1267" s="504"/>
      <c r="O1267" s="504"/>
      <c r="P1267" s="504"/>
    </row>
    <row r="1268" spans="1:16" ht="15.75" customHeight="1">
      <c r="A1268" s="733" t="s">
        <v>5723</v>
      </c>
      <c r="B1268" s="731" t="s">
        <v>5799</v>
      </c>
      <c r="C1268" s="55"/>
      <c r="D1268" s="507"/>
      <c r="E1268" s="504"/>
      <c r="F1268" s="504"/>
      <c r="G1268" s="504"/>
      <c r="H1268" s="504"/>
      <c r="I1268" s="501"/>
      <c r="J1268" s="505"/>
      <c r="K1268" s="506"/>
      <c r="L1268" s="504"/>
      <c r="M1268" s="504"/>
      <c r="N1268" s="504"/>
      <c r="O1268" s="504"/>
      <c r="P1268" s="504"/>
    </row>
    <row r="1269" spans="1:16" ht="15.75" customHeight="1">
      <c r="A1269" s="733" t="s">
        <v>5723</v>
      </c>
      <c r="B1269" s="731" t="s">
        <v>2680</v>
      </c>
      <c r="C1269" s="55"/>
      <c r="D1269" s="507"/>
      <c r="E1269" s="504"/>
      <c r="F1269" s="504"/>
      <c r="G1269" s="504"/>
      <c r="H1269" s="504"/>
      <c r="I1269" s="501"/>
      <c r="J1269" s="505"/>
      <c r="K1269" s="506"/>
      <c r="L1269" s="504"/>
      <c r="M1269" s="504"/>
      <c r="N1269" s="504"/>
      <c r="O1269" s="504"/>
      <c r="P1269" s="504"/>
    </row>
    <row r="1270" spans="1:16" ht="15.75" customHeight="1">
      <c r="A1270" s="734" t="s">
        <v>2677</v>
      </c>
      <c r="B1270" s="731" t="s">
        <v>3290</v>
      </c>
      <c r="C1270" s="55"/>
      <c r="D1270" s="507"/>
      <c r="E1270" s="504"/>
      <c r="F1270" s="504"/>
      <c r="G1270" s="504"/>
      <c r="H1270" s="504"/>
      <c r="I1270" s="501"/>
      <c r="J1270" s="505"/>
      <c r="K1270" s="506"/>
      <c r="L1270" s="504"/>
      <c r="M1270" s="504"/>
      <c r="N1270" s="504"/>
      <c r="O1270" s="504"/>
      <c r="P1270" s="504"/>
    </row>
    <row r="1271" spans="1:16" ht="15.75" customHeight="1">
      <c r="A1271" s="734" t="s">
        <v>2677</v>
      </c>
      <c r="B1271" s="731" t="s">
        <v>3291</v>
      </c>
      <c r="C1271" s="55"/>
      <c r="D1271" s="507"/>
      <c r="E1271" s="504"/>
      <c r="F1271" s="504"/>
      <c r="G1271" s="504"/>
      <c r="H1271" s="504"/>
      <c r="I1271" s="501"/>
      <c r="J1271" s="505"/>
      <c r="K1271" s="506"/>
      <c r="L1271" s="504"/>
      <c r="M1271" s="504"/>
      <c r="N1271" s="504"/>
      <c r="O1271" s="504"/>
      <c r="P1271" s="504"/>
    </row>
    <row r="1272" spans="1:16" ht="15.75" customHeight="1">
      <c r="A1272" s="734" t="s">
        <v>2677</v>
      </c>
      <c r="B1272" s="731" t="s">
        <v>3292</v>
      </c>
      <c r="C1272" s="55"/>
      <c r="D1272" s="507"/>
      <c r="E1272" s="504"/>
      <c r="F1272" s="504"/>
      <c r="G1272" s="504"/>
      <c r="H1272" s="504"/>
      <c r="I1272" s="501"/>
      <c r="J1272" s="505"/>
      <c r="K1272" s="506"/>
      <c r="L1272" s="504"/>
      <c r="M1272" s="504"/>
      <c r="N1272" s="504"/>
      <c r="O1272" s="504"/>
      <c r="P1272" s="504"/>
    </row>
    <row r="1273" spans="1:16" ht="15.75" customHeight="1">
      <c r="A1273" s="735" t="s">
        <v>2681</v>
      </c>
      <c r="B1273" s="731" t="s">
        <v>3293</v>
      </c>
      <c r="C1273" s="55"/>
      <c r="D1273" s="507"/>
      <c r="E1273" s="504"/>
      <c r="F1273" s="504"/>
      <c r="G1273" s="504"/>
      <c r="H1273" s="504"/>
      <c r="I1273" s="501"/>
      <c r="J1273" s="505"/>
      <c r="K1273" s="506"/>
      <c r="L1273" s="504"/>
      <c r="M1273" s="504"/>
      <c r="N1273" s="504"/>
      <c r="O1273" s="504"/>
      <c r="P1273" s="504"/>
    </row>
    <row r="1274" spans="1:16" ht="15.75" customHeight="1">
      <c r="A1274" s="735" t="s">
        <v>2681</v>
      </c>
      <c r="B1274" s="731" t="s">
        <v>3294</v>
      </c>
      <c r="C1274" s="55"/>
      <c r="D1274" s="507"/>
      <c r="E1274" s="504"/>
      <c r="F1274" s="504"/>
      <c r="G1274" s="504"/>
      <c r="H1274" s="504"/>
      <c r="I1274" s="501"/>
      <c r="J1274" s="505"/>
      <c r="K1274" s="506"/>
      <c r="L1274" s="504"/>
      <c r="M1274" s="504"/>
      <c r="N1274" s="504"/>
      <c r="O1274" s="504"/>
      <c r="P1274" s="504"/>
    </row>
    <row r="1275" spans="1:16" ht="15.75" customHeight="1">
      <c r="A1275" s="735" t="s">
        <v>2681</v>
      </c>
      <c r="B1275" s="731" t="s">
        <v>3295</v>
      </c>
      <c r="C1275" s="55"/>
      <c r="D1275" s="507"/>
      <c r="E1275" s="504"/>
      <c r="F1275" s="504"/>
      <c r="G1275" s="504"/>
      <c r="H1275" s="504"/>
      <c r="I1275" s="501"/>
      <c r="J1275" s="505"/>
      <c r="K1275" s="506"/>
      <c r="L1275" s="504"/>
      <c r="M1275" s="504"/>
      <c r="N1275" s="504"/>
      <c r="O1275" s="504"/>
      <c r="P1275" s="504"/>
    </row>
    <row r="1276" spans="1:16" ht="15.75" customHeight="1">
      <c r="A1276" s="735" t="s">
        <v>2681</v>
      </c>
      <c r="B1276" s="731" t="s">
        <v>3296</v>
      </c>
      <c r="C1276" s="55"/>
      <c r="D1276" s="507"/>
      <c r="E1276" s="504"/>
      <c r="F1276" s="504"/>
      <c r="G1276" s="504"/>
      <c r="H1276" s="504"/>
      <c r="I1276" s="501"/>
      <c r="J1276" s="505"/>
      <c r="K1276" s="506"/>
      <c r="L1276" s="504"/>
      <c r="M1276" s="504"/>
      <c r="N1276" s="504"/>
      <c r="O1276" s="504"/>
      <c r="P1276" s="504"/>
    </row>
    <row r="1277" spans="1:16" ht="15.75" customHeight="1">
      <c r="A1277" s="737" t="s">
        <v>2686</v>
      </c>
      <c r="B1277" s="731" t="s">
        <v>3297</v>
      </c>
      <c r="C1277" s="55"/>
      <c r="D1277" s="507"/>
      <c r="E1277" s="504"/>
      <c r="F1277" s="504"/>
      <c r="G1277" s="504"/>
      <c r="H1277" s="504"/>
      <c r="I1277" s="501"/>
      <c r="J1277" s="505"/>
      <c r="K1277" s="506"/>
      <c r="L1277" s="504"/>
      <c r="M1277" s="504"/>
      <c r="N1277" s="504"/>
      <c r="O1277" s="504"/>
      <c r="P1277" s="504"/>
    </row>
    <row r="1278" spans="1:16" ht="15.75" customHeight="1">
      <c r="A1278" s="737" t="s">
        <v>2686</v>
      </c>
      <c r="B1278" s="731" t="s">
        <v>2680</v>
      </c>
      <c r="C1278" s="55"/>
      <c r="D1278" s="507"/>
      <c r="E1278" s="504"/>
      <c r="F1278" s="504"/>
      <c r="G1278" s="504"/>
      <c r="H1278" s="504"/>
      <c r="I1278" s="501"/>
      <c r="J1278" s="505"/>
      <c r="K1278" s="506"/>
      <c r="L1278" s="504"/>
      <c r="M1278" s="504"/>
      <c r="N1278" s="504"/>
      <c r="O1278" s="504"/>
      <c r="P1278" s="504"/>
    </row>
    <row r="1279" spans="1:16" ht="15.75" customHeight="1">
      <c r="A1279" s="737" t="s">
        <v>2686</v>
      </c>
      <c r="B1279" s="731" t="s">
        <v>3298</v>
      </c>
      <c r="C1279" s="55"/>
      <c r="D1279" s="507"/>
      <c r="E1279" s="504"/>
      <c r="F1279" s="504"/>
      <c r="G1279" s="504"/>
      <c r="H1279" s="504"/>
      <c r="I1279" s="501"/>
      <c r="J1279" s="505"/>
      <c r="K1279" s="506"/>
      <c r="L1279" s="504"/>
      <c r="M1279" s="504"/>
      <c r="N1279" s="504"/>
      <c r="O1279" s="504"/>
      <c r="P1279" s="504"/>
    </row>
    <row r="1280" spans="1:16" ht="29.25" customHeight="1">
      <c r="A1280" s="737" t="s">
        <v>2686</v>
      </c>
      <c r="B1280" s="731" t="s">
        <v>3299</v>
      </c>
      <c r="C1280" s="55"/>
      <c r="D1280" s="507"/>
      <c r="E1280" s="504"/>
      <c r="F1280" s="504"/>
      <c r="G1280" s="504"/>
      <c r="H1280" s="504"/>
      <c r="I1280" s="501"/>
      <c r="J1280" s="505"/>
      <c r="K1280" s="506"/>
      <c r="L1280" s="504"/>
      <c r="M1280" s="504"/>
      <c r="N1280" s="504"/>
      <c r="O1280" s="504"/>
      <c r="P1280" s="504"/>
    </row>
    <row r="1281" spans="1:16" ht="27" customHeight="1">
      <c r="A1281" s="737" t="s">
        <v>2686</v>
      </c>
      <c r="B1281" s="731" t="s">
        <v>3300</v>
      </c>
      <c r="C1281" s="55"/>
      <c r="D1281" s="507"/>
      <c r="E1281" s="504"/>
      <c r="F1281" s="504"/>
      <c r="G1281" s="504"/>
      <c r="H1281" s="504"/>
      <c r="I1281" s="501"/>
      <c r="J1281" s="505"/>
      <c r="K1281" s="506"/>
      <c r="L1281" s="504"/>
      <c r="M1281" s="504"/>
      <c r="N1281" s="504"/>
      <c r="O1281" s="504"/>
      <c r="P1281" s="504"/>
    </row>
    <row r="1282" spans="1:16" ht="29.25" customHeight="1">
      <c r="A1282" s="738" t="s">
        <v>2691</v>
      </c>
      <c r="B1282" s="731" t="s">
        <v>3301</v>
      </c>
      <c r="C1282" s="55"/>
      <c r="D1282" s="507"/>
      <c r="E1282" s="504"/>
      <c r="F1282" s="504"/>
      <c r="G1282" s="504"/>
      <c r="H1282" s="504"/>
      <c r="I1282" s="501"/>
      <c r="J1282" s="505"/>
      <c r="K1282" s="506"/>
      <c r="L1282" s="504"/>
      <c r="M1282" s="504"/>
      <c r="N1282" s="504"/>
      <c r="O1282" s="504"/>
      <c r="P1282" s="504"/>
    </row>
    <row r="1283" spans="1:16" ht="33.75" customHeight="1">
      <c r="A1283" s="738" t="s">
        <v>2691</v>
      </c>
      <c r="B1283" s="731" t="s">
        <v>2680</v>
      </c>
      <c r="C1283" s="55"/>
      <c r="D1283" s="507"/>
      <c r="E1283" s="504"/>
      <c r="F1283" s="504"/>
      <c r="G1283" s="504"/>
      <c r="H1283" s="504"/>
      <c r="I1283" s="501"/>
      <c r="J1283" s="505"/>
      <c r="K1283" s="506"/>
      <c r="L1283" s="504"/>
      <c r="M1283" s="504"/>
      <c r="N1283" s="504"/>
      <c r="O1283" s="504"/>
      <c r="P1283" s="504"/>
    </row>
    <row r="1284" spans="1:16" ht="43.5" customHeight="1">
      <c r="A1284" s="739" t="s">
        <v>2693</v>
      </c>
      <c r="B1284" s="731" t="s">
        <v>2680</v>
      </c>
      <c r="C1284" s="55"/>
      <c r="D1284" s="507"/>
      <c r="E1284" s="504"/>
      <c r="F1284" s="504"/>
      <c r="G1284" s="504"/>
      <c r="H1284" s="504"/>
      <c r="I1284" s="501"/>
      <c r="J1284" s="505"/>
      <c r="K1284" s="506"/>
      <c r="L1284" s="504"/>
      <c r="M1284" s="504"/>
      <c r="N1284" s="504"/>
      <c r="O1284" s="504"/>
      <c r="P1284" s="504"/>
    </row>
    <row r="1285" spans="1:16" ht="32.25" customHeight="1">
      <c r="A1285" s="730"/>
      <c r="B1285" s="559"/>
      <c r="C1285" s="55"/>
      <c r="D1285" s="507"/>
      <c r="E1285" s="504"/>
      <c r="F1285" s="504"/>
      <c r="G1285" s="504"/>
      <c r="H1285" s="504"/>
      <c r="I1285" s="501"/>
      <c r="J1285" s="505"/>
      <c r="K1285" s="506"/>
      <c r="L1285" s="504"/>
      <c r="M1285" s="504"/>
      <c r="N1285" s="504"/>
      <c r="O1285" s="504"/>
      <c r="P1285" s="504"/>
    </row>
    <row r="1286" spans="1:16" ht="36" customHeight="1">
      <c r="A1286" s="729" t="s">
        <v>3302</v>
      </c>
      <c r="B1286" s="731" t="s">
        <v>2943</v>
      </c>
      <c r="C1286" s="55"/>
      <c r="D1286" s="507"/>
      <c r="E1286" s="504"/>
      <c r="F1286" s="504"/>
      <c r="G1286" s="504"/>
      <c r="H1286" s="504"/>
      <c r="I1286" s="501"/>
      <c r="J1286" s="505"/>
      <c r="K1286" s="506"/>
      <c r="L1286" s="504"/>
      <c r="M1286" s="504"/>
      <c r="N1286" s="504"/>
      <c r="O1286" s="504"/>
      <c r="P1286" s="504"/>
    </row>
    <row r="1287" spans="1:16" ht="27.75" customHeight="1">
      <c r="A1287" s="732" t="s">
        <v>2675</v>
      </c>
      <c r="B1287" s="731" t="s">
        <v>3303</v>
      </c>
      <c r="C1287" s="55"/>
      <c r="D1287" s="507"/>
      <c r="E1287" s="504"/>
      <c r="F1287" s="504"/>
      <c r="G1287" s="504"/>
      <c r="H1287" s="504"/>
      <c r="I1287" s="501"/>
      <c r="J1287" s="505"/>
      <c r="K1287" s="506"/>
      <c r="L1287" s="504"/>
      <c r="M1287" s="504"/>
      <c r="N1287" s="504"/>
      <c r="O1287" s="504"/>
      <c r="P1287" s="504"/>
    </row>
    <row r="1288" spans="1:16" ht="26.25" customHeight="1">
      <c r="A1288" s="732" t="s">
        <v>2675</v>
      </c>
      <c r="B1288" s="731" t="s">
        <v>2680</v>
      </c>
      <c r="C1288" s="55"/>
      <c r="D1288" s="507"/>
      <c r="E1288" s="504"/>
      <c r="F1288" s="504"/>
      <c r="G1288" s="504"/>
      <c r="H1288" s="504"/>
      <c r="I1288" s="501"/>
      <c r="J1288" s="505"/>
      <c r="K1288" s="506"/>
      <c r="L1288" s="504"/>
      <c r="M1288" s="504"/>
      <c r="N1288" s="504"/>
      <c r="O1288" s="504"/>
      <c r="P1288" s="504"/>
    </row>
    <row r="1289" spans="1:16" ht="25.5" customHeight="1">
      <c r="A1289" s="733" t="s">
        <v>5723</v>
      </c>
      <c r="B1289" s="731" t="s">
        <v>5800</v>
      </c>
      <c r="C1289" s="55"/>
      <c r="D1289" s="507"/>
      <c r="E1289" s="504"/>
      <c r="F1289" s="504"/>
      <c r="G1289" s="504"/>
      <c r="H1289" s="504"/>
      <c r="I1289" s="501"/>
      <c r="J1289" s="505"/>
      <c r="K1289" s="506"/>
      <c r="L1289" s="504"/>
      <c r="M1289" s="504"/>
      <c r="N1289" s="504"/>
      <c r="O1289" s="504"/>
      <c r="P1289" s="504"/>
    </row>
    <row r="1290" spans="1:16" ht="15.75" customHeight="1">
      <c r="A1290" s="733" t="s">
        <v>5723</v>
      </c>
      <c r="B1290" s="731" t="s">
        <v>2680</v>
      </c>
      <c r="C1290" s="55"/>
      <c r="D1290" s="507"/>
      <c r="E1290" s="504"/>
      <c r="F1290" s="504"/>
      <c r="G1290" s="504"/>
      <c r="H1290" s="504"/>
      <c r="I1290" s="501"/>
      <c r="J1290" s="505"/>
      <c r="K1290" s="506"/>
      <c r="L1290" s="504"/>
      <c r="M1290" s="504"/>
      <c r="N1290" s="504"/>
      <c r="O1290" s="504"/>
      <c r="P1290" s="504"/>
    </row>
    <row r="1291" spans="1:16" ht="15.75" customHeight="1">
      <c r="A1291" s="734" t="s">
        <v>2677</v>
      </c>
      <c r="B1291" s="731" t="s">
        <v>3304</v>
      </c>
      <c r="C1291" s="55"/>
      <c r="D1291" s="507"/>
      <c r="E1291" s="504"/>
      <c r="F1291" s="504"/>
      <c r="G1291" s="504"/>
      <c r="H1291" s="504"/>
      <c r="I1291" s="501"/>
      <c r="J1291" s="505"/>
      <c r="K1291" s="506"/>
      <c r="L1291" s="504"/>
      <c r="M1291" s="504"/>
      <c r="N1291" s="504"/>
      <c r="O1291" s="504"/>
      <c r="P1291" s="504"/>
    </row>
    <row r="1292" spans="1:16" ht="15.75" customHeight="1">
      <c r="A1292" s="734" t="s">
        <v>2677</v>
      </c>
      <c r="B1292" s="731" t="s">
        <v>3305</v>
      </c>
      <c r="C1292" s="55"/>
      <c r="D1292" s="507"/>
      <c r="E1292" s="504"/>
      <c r="F1292" s="504"/>
      <c r="G1292" s="504"/>
      <c r="H1292" s="504"/>
      <c r="I1292" s="501"/>
      <c r="J1292" s="505"/>
      <c r="K1292" s="506"/>
      <c r="L1292" s="504"/>
      <c r="M1292" s="504"/>
      <c r="N1292" s="504"/>
      <c r="O1292" s="504"/>
      <c r="P1292" s="504"/>
    </row>
    <row r="1293" spans="1:16" ht="15.75" customHeight="1">
      <c r="A1293" s="734" t="s">
        <v>2677</v>
      </c>
      <c r="B1293" s="731" t="s">
        <v>2680</v>
      </c>
      <c r="C1293" s="55"/>
      <c r="D1293" s="507"/>
      <c r="E1293" s="504"/>
      <c r="F1293" s="504"/>
      <c r="G1293" s="504"/>
      <c r="H1293" s="504"/>
      <c r="I1293" s="501"/>
      <c r="J1293" s="505"/>
      <c r="K1293" s="506"/>
      <c r="L1293" s="504"/>
      <c r="M1293" s="504"/>
      <c r="N1293" s="504"/>
      <c r="O1293" s="504"/>
      <c r="P1293" s="504"/>
    </row>
    <row r="1294" spans="1:16" ht="15.75" customHeight="1">
      <c r="A1294" s="735" t="s">
        <v>2681</v>
      </c>
      <c r="B1294" s="731" t="s">
        <v>3306</v>
      </c>
      <c r="C1294" s="55"/>
      <c r="D1294" s="507"/>
      <c r="E1294" s="504"/>
      <c r="F1294" s="504"/>
      <c r="G1294" s="504"/>
      <c r="H1294" s="504"/>
      <c r="I1294" s="501"/>
      <c r="J1294" s="505"/>
      <c r="K1294" s="506"/>
      <c r="L1294" s="504"/>
      <c r="M1294" s="504"/>
      <c r="N1294" s="504"/>
      <c r="O1294" s="504"/>
      <c r="P1294" s="504"/>
    </row>
    <row r="1295" spans="1:16" ht="15.75" customHeight="1">
      <c r="A1295" s="735" t="s">
        <v>2681</v>
      </c>
      <c r="B1295" s="731" t="s">
        <v>2680</v>
      </c>
      <c r="C1295" s="55"/>
      <c r="D1295" s="507"/>
      <c r="E1295" s="504"/>
      <c r="F1295" s="504"/>
      <c r="G1295" s="504"/>
      <c r="H1295" s="504"/>
      <c r="I1295" s="501"/>
      <c r="J1295" s="505"/>
      <c r="K1295" s="506"/>
      <c r="L1295" s="504"/>
      <c r="M1295" s="504"/>
      <c r="N1295" s="504"/>
      <c r="O1295" s="504"/>
      <c r="P1295" s="504"/>
    </row>
    <row r="1296" spans="1:16" ht="15.75" customHeight="1">
      <c r="A1296" s="735" t="s">
        <v>2681</v>
      </c>
      <c r="B1296" s="731" t="s">
        <v>2680</v>
      </c>
      <c r="C1296" s="55"/>
      <c r="D1296" s="507"/>
      <c r="E1296" s="504"/>
      <c r="F1296" s="504"/>
      <c r="G1296" s="504"/>
      <c r="H1296" s="504"/>
      <c r="I1296" s="501"/>
      <c r="J1296" s="505"/>
      <c r="K1296" s="506"/>
      <c r="L1296" s="504"/>
      <c r="M1296" s="504"/>
      <c r="N1296" s="504"/>
      <c r="O1296" s="504"/>
      <c r="P1296" s="504"/>
    </row>
    <row r="1297" spans="1:16" ht="15.75" customHeight="1">
      <c r="A1297" s="735" t="s">
        <v>2681</v>
      </c>
      <c r="B1297" s="731" t="s">
        <v>2680</v>
      </c>
      <c r="C1297" s="55"/>
      <c r="D1297" s="507"/>
      <c r="E1297" s="504"/>
      <c r="F1297" s="504"/>
      <c r="G1297" s="504"/>
      <c r="H1297" s="504"/>
      <c r="I1297" s="501"/>
      <c r="J1297" s="505"/>
      <c r="K1297" s="506"/>
      <c r="L1297" s="504"/>
      <c r="M1297" s="504"/>
      <c r="N1297" s="504"/>
      <c r="O1297" s="504"/>
      <c r="P1297" s="504"/>
    </row>
    <row r="1298" spans="1:16" ht="30" customHeight="1">
      <c r="A1298" s="737" t="s">
        <v>2686</v>
      </c>
      <c r="B1298" s="731" t="s">
        <v>3307</v>
      </c>
      <c r="C1298" s="55"/>
      <c r="D1298" s="507"/>
      <c r="E1298" s="504"/>
      <c r="F1298" s="504"/>
      <c r="G1298" s="504"/>
      <c r="H1298" s="504"/>
      <c r="I1298" s="501"/>
      <c r="J1298" s="505"/>
      <c r="K1298" s="506"/>
      <c r="L1298" s="504"/>
      <c r="M1298" s="504"/>
      <c r="N1298" s="504"/>
      <c r="O1298" s="504"/>
      <c r="P1298" s="504"/>
    </row>
    <row r="1299" spans="1:16" ht="15.75" customHeight="1">
      <c r="A1299" s="737" t="s">
        <v>2686</v>
      </c>
      <c r="B1299" s="731" t="s">
        <v>3308</v>
      </c>
      <c r="C1299" s="55"/>
      <c r="D1299" s="507"/>
      <c r="E1299" s="504"/>
      <c r="F1299" s="504"/>
      <c r="G1299" s="504"/>
      <c r="H1299" s="504"/>
      <c r="I1299" s="501"/>
      <c r="J1299" s="505"/>
      <c r="K1299" s="506"/>
      <c r="L1299" s="504"/>
      <c r="M1299" s="504"/>
      <c r="N1299" s="504"/>
      <c r="O1299" s="504"/>
      <c r="P1299" s="504"/>
    </row>
    <row r="1300" spans="1:16" ht="15.75" customHeight="1">
      <c r="A1300" s="737" t="s">
        <v>2686</v>
      </c>
      <c r="B1300" s="731" t="s">
        <v>2680</v>
      </c>
      <c r="C1300" s="55"/>
      <c r="D1300" s="507"/>
      <c r="E1300" s="504"/>
      <c r="F1300" s="504"/>
      <c r="G1300" s="504"/>
      <c r="H1300" s="504"/>
      <c r="I1300" s="501"/>
      <c r="J1300" s="505"/>
      <c r="K1300" s="506"/>
      <c r="L1300" s="504"/>
      <c r="M1300" s="504"/>
      <c r="N1300" s="504"/>
      <c r="O1300" s="504"/>
      <c r="P1300" s="504"/>
    </row>
    <row r="1301" spans="1:16" ht="15.75" customHeight="1">
      <c r="A1301" s="737" t="s">
        <v>2686</v>
      </c>
      <c r="B1301" s="731" t="s">
        <v>2680</v>
      </c>
      <c r="C1301" s="55"/>
      <c r="D1301" s="507"/>
      <c r="E1301" s="504"/>
      <c r="F1301" s="504"/>
      <c r="G1301" s="504"/>
      <c r="H1301" s="504"/>
      <c r="I1301" s="501"/>
      <c r="J1301" s="505"/>
      <c r="K1301" s="506"/>
      <c r="L1301" s="504"/>
      <c r="M1301" s="504"/>
      <c r="N1301" s="504"/>
      <c r="O1301" s="504"/>
      <c r="P1301" s="504"/>
    </row>
    <row r="1302" spans="1:16" ht="15.75" customHeight="1">
      <c r="A1302" s="737" t="s">
        <v>2686</v>
      </c>
      <c r="B1302" s="731" t="s">
        <v>2680</v>
      </c>
      <c r="C1302" s="55"/>
      <c r="D1302" s="507"/>
      <c r="E1302" s="504"/>
      <c r="F1302" s="504"/>
      <c r="G1302" s="504"/>
      <c r="H1302" s="504"/>
      <c r="I1302" s="501"/>
      <c r="J1302" s="505"/>
      <c r="K1302" s="506"/>
      <c r="L1302" s="504"/>
      <c r="M1302" s="504"/>
      <c r="N1302" s="504"/>
      <c r="O1302" s="504"/>
      <c r="P1302" s="504"/>
    </row>
    <row r="1303" spans="1:16" ht="15.75" customHeight="1">
      <c r="A1303" s="738" t="s">
        <v>2691</v>
      </c>
      <c r="B1303" s="731" t="s">
        <v>3309</v>
      </c>
      <c r="C1303" s="55"/>
      <c r="D1303" s="507"/>
      <c r="E1303" s="504"/>
      <c r="F1303" s="504"/>
      <c r="G1303" s="504"/>
      <c r="H1303" s="504"/>
      <c r="I1303" s="501"/>
      <c r="J1303" s="505"/>
      <c r="K1303" s="506"/>
      <c r="L1303" s="504"/>
      <c r="M1303" s="504"/>
      <c r="N1303" s="504"/>
      <c r="O1303" s="504"/>
      <c r="P1303" s="504"/>
    </row>
    <row r="1304" spans="1:16" ht="15.75" customHeight="1">
      <c r="A1304" s="738" t="s">
        <v>2691</v>
      </c>
      <c r="B1304" s="731" t="s">
        <v>2680</v>
      </c>
      <c r="C1304" s="55"/>
      <c r="D1304" s="507"/>
      <c r="E1304" s="504"/>
      <c r="F1304" s="504"/>
      <c r="G1304" s="504"/>
      <c r="H1304" s="504"/>
      <c r="I1304" s="501"/>
      <c r="J1304" s="505"/>
      <c r="K1304" s="506"/>
      <c r="L1304" s="504"/>
      <c r="M1304" s="504"/>
      <c r="N1304" s="504"/>
      <c r="O1304" s="504"/>
      <c r="P1304" s="504"/>
    </row>
    <row r="1305" spans="1:16" ht="15.75" customHeight="1">
      <c r="A1305" s="739" t="s">
        <v>2693</v>
      </c>
      <c r="B1305" s="731" t="s">
        <v>2680</v>
      </c>
      <c r="C1305" s="55"/>
      <c r="D1305" s="507"/>
      <c r="E1305" s="504"/>
      <c r="F1305" s="504"/>
      <c r="G1305" s="504"/>
      <c r="H1305" s="504"/>
      <c r="I1305" s="501"/>
      <c r="J1305" s="505"/>
      <c r="K1305" s="506"/>
      <c r="L1305" s="504"/>
      <c r="M1305" s="504"/>
      <c r="N1305" s="504"/>
      <c r="O1305" s="504"/>
      <c r="P1305" s="504"/>
    </row>
    <row r="1306" spans="1:16" ht="15.75" customHeight="1">
      <c r="A1306" s="737"/>
      <c r="B1306" s="731"/>
      <c r="C1306" s="55"/>
      <c r="D1306" s="507"/>
      <c r="E1306" s="504"/>
      <c r="F1306" s="504"/>
      <c r="G1306" s="504"/>
      <c r="H1306" s="504"/>
      <c r="I1306" s="501"/>
      <c r="J1306" s="505"/>
      <c r="K1306" s="506"/>
      <c r="L1306" s="504"/>
      <c r="M1306" s="504"/>
      <c r="N1306" s="504"/>
      <c r="O1306" s="504"/>
      <c r="P1306" s="504"/>
    </row>
    <row r="1307" spans="1:16" ht="15.75" customHeight="1">
      <c r="A1307" s="728" t="s">
        <v>3310</v>
      </c>
      <c r="B1307" s="559"/>
      <c r="C1307" s="55"/>
      <c r="D1307" s="507"/>
      <c r="E1307" s="504"/>
      <c r="F1307" s="504"/>
      <c r="G1307" s="504"/>
      <c r="H1307" s="504"/>
      <c r="I1307" s="501"/>
      <c r="J1307" s="505"/>
      <c r="K1307" s="506"/>
      <c r="L1307" s="504"/>
      <c r="M1307" s="504"/>
      <c r="N1307" s="504"/>
      <c r="O1307" s="504"/>
      <c r="P1307" s="504"/>
    </row>
    <row r="1308" spans="1:16">
      <c r="A1308" s="730"/>
      <c r="B1308" s="559"/>
      <c r="C1308" s="55"/>
      <c r="D1308" s="507"/>
      <c r="E1308" s="504"/>
      <c r="F1308" s="504"/>
      <c r="G1308" s="504"/>
      <c r="H1308" s="504"/>
      <c r="I1308" s="501"/>
      <c r="J1308" s="505"/>
      <c r="K1308" s="506"/>
      <c r="L1308" s="504"/>
      <c r="M1308" s="504"/>
      <c r="N1308" s="504"/>
      <c r="O1308" s="504"/>
      <c r="P1308" s="504"/>
    </row>
    <row r="1309" spans="1:16" ht="15.75" customHeight="1">
      <c r="A1309" s="729" t="s">
        <v>3311</v>
      </c>
      <c r="B1309" s="731" t="s">
        <v>2674</v>
      </c>
      <c r="C1309" s="55"/>
      <c r="D1309" s="507"/>
      <c r="E1309" s="504"/>
      <c r="F1309" s="504"/>
      <c r="G1309" s="504"/>
      <c r="H1309" s="504"/>
      <c r="I1309" s="501"/>
      <c r="J1309" s="505"/>
      <c r="K1309" s="506"/>
      <c r="L1309" s="504"/>
      <c r="M1309" s="504"/>
      <c r="N1309" s="504"/>
      <c r="O1309" s="504"/>
      <c r="P1309" s="504"/>
    </row>
    <row r="1310" spans="1:16" ht="15.75" customHeight="1">
      <c r="A1310" s="732" t="s">
        <v>3312</v>
      </c>
      <c r="B1310" s="731" t="s">
        <v>3313</v>
      </c>
      <c r="C1310" s="55"/>
      <c r="D1310" s="507"/>
      <c r="E1310" s="504"/>
      <c r="F1310" s="504"/>
      <c r="G1310" s="504"/>
      <c r="H1310" s="504"/>
      <c r="I1310" s="501"/>
      <c r="J1310" s="505"/>
      <c r="K1310" s="506"/>
      <c r="L1310" s="504"/>
      <c r="M1310" s="504"/>
      <c r="N1310" s="504"/>
      <c r="O1310" s="504"/>
      <c r="P1310" s="504"/>
    </row>
    <row r="1311" spans="1:16" ht="15.75" customHeight="1">
      <c r="A1311" s="732" t="s">
        <v>3312</v>
      </c>
      <c r="B1311" s="731" t="s">
        <v>3314</v>
      </c>
      <c r="C1311" s="55"/>
      <c r="D1311" s="507"/>
      <c r="E1311" s="504"/>
      <c r="F1311" s="504"/>
      <c r="G1311" s="504"/>
      <c r="H1311" s="504"/>
      <c r="I1311" s="501"/>
      <c r="J1311" s="505"/>
      <c r="K1311" s="506"/>
      <c r="L1311" s="504"/>
      <c r="M1311" s="504"/>
      <c r="N1311" s="504"/>
      <c r="O1311" s="504"/>
      <c r="P1311" s="504"/>
    </row>
    <row r="1312" spans="1:16" ht="15.75" customHeight="1">
      <c r="A1312" s="732" t="s">
        <v>3312</v>
      </c>
      <c r="B1312" s="731" t="s">
        <v>3315</v>
      </c>
      <c r="C1312" s="55"/>
      <c r="D1312" s="507"/>
      <c r="E1312" s="504"/>
      <c r="F1312" s="504"/>
      <c r="G1312" s="504"/>
      <c r="H1312" s="504"/>
      <c r="I1312" s="501"/>
      <c r="J1312" s="505"/>
      <c r="K1312" s="506"/>
      <c r="L1312" s="504"/>
      <c r="M1312" s="504"/>
      <c r="N1312" s="504"/>
      <c r="O1312" s="504"/>
      <c r="P1312" s="504"/>
    </row>
    <row r="1313" spans="1:16" ht="15.75" customHeight="1">
      <c r="A1313" s="732" t="s">
        <v>3312</v>
      </c>
      <c r="B1313" s="731" t="s">
        <v>3316</v>
      </c>
      <c r="C1313" s="55"/>
      <c r="D1313" s="507"/>
      <c r="E1313" s="504"/>
      <c r="F1313" s="504"/>
      <c r="G1313" s="504"/>
      <c r="H1313" s="504"/>
      <c r="I1313" s="501"/>
      <c r="J1313" s="505"/>
      <c r="K1313" s="506"/>
      <c r="L1313" s="504"/>
      <c r="M1313" s="504"/>
      <c r="N1313" s="504"/>
      <c r="O1313" s="504"/>
      <c r="P1313" s="504"/>
    </row>
    <row r="1314" spans="1:16" ht="15.75" customHeight="1">
      <c r="A1314" s="732" t="s">
        <v>3312</v>
      </c>
      <c r="B1314" s="731" t="s">
        <v>3317</v>
      </c>
      <c r="C1314" s="55"/>
      <c r="D1314" s="507"/>
      <c r="E1314" s="504"/>
      <c r="F1314" s="504"/>
      <c r="G1314" s="504"/>
      <c r="H1314" s="504"/>
      <c r="I1314" s="501"/>
      <c r="J1314" s="505"/>
      <c r="K1314" s="506"/>
      <c r="L1314" s="504"/>
      <c r="M1314" s="504"/>
      <c r="N1314" s="504"/>
      <c r="O1314" s="504"/>
      <c r="P1314" s="504"/>
    </row>
    <row r="1315" spans="1:16" ht="15.75" customHeight="1">
      <c r="A1315" s="732" t="s">
        <v>3312</v>
      </c>
      <c r="B1315" s="731" t="s">
        <v>3318</v>
      </c>
      <c r="C1315" s="55"/>
      <c r="D1315" s="507"/>
      <c r="E1315" s="504"/>
      <c r="F1315" s="504"/>
      <c r="G1315" s="504"/>
      <c r="H1315" s="504"/>
      <c r="I1315" s="501"/>
      <c r="J1315" s="505"/>
      <c r="K1315" s="506"/>
      <c r="L1315" s="504"/>
      <c r="M1315" s="504"/>
      <c r="N1315" s="504"/>
      <c r="O1315" s="504"/>
      <c r="P1315" s="504"/>
    </row>
    <row r="1316" spans="1:16" ht="15.75" customHeight="1">
      <c r="A1316" s="732" t="s">
        <v>3312</v>
      </c>
      <c r="B1316" s="731" t="s">
        <v>3319</v>
      </c>
      <c r="C1316" s="55"/>
      <c r="D1316" s="507"/>
      <c r="E1316" s="504"/>
      <c r="F1316" s="504"/>
      <c r="G1316" s="504"/>
      <c r="H1316" s="504"/>
      <c r="I1316" s="501"/>
      <c r="J1316" s="505"/>
      <c r="K1316" s="506"/>
      <c r="L1316" s="504"/>
      <c r="M1316" s="504"/>
      <c r="N1316" s="504"/>
      <c r="O1316" s="504"/>
      <c r="P1316" s="504"/>
    </row>
    <row r="1317" spans="1:16" ht="15.75" customHeight="1">
      <c r="A1317" s="732" t="s">
        <v>3312</v>
      </c>
      <c r="B1317" s="731" t="s">
        <v>3320</v>
      </c>
      <c r="C1317" s="55"/>
      <c r="D1317" s="507"/>
      <c r="E1317" s="504"/>
      <c r="F1317" s="504"/>
      <c r="G1317" s="504"/>
      <c r="H1317" s="504"/>
      <c r="I1317" s="501"/>
      <c r="J1317" s="505"/>
      <c r="K1317" s="506"/>
      <c r="L1317" s="504"/>
      <c r="M1317" s="504"/>
      <c r="N1317" s="504"/>
      <c r="O1317" s="504"/>
      <c r="P1317" s="504"/>
    </row>
    <row r="1318" spans="1:16" ht="15.75" customHeight="1">
      <c r="A1318" s="732" t="s">
        <v>3312</v>
      </c>
      <c r="B1318" s="731" t="s">
        <v>3321</v>
      </c>
      <c r="C1318" s="55"/>
      <c r="D1318" s="507"/>
      <c r="E1318" s="504"/>
      <c r="F1318" s="504"/>
      <c r="G1318" s="504"/>
      <c r="H1318" s="504"/>
      <c r="I1318" s="501"/>
      <c r="J1318" s="505"/>
      <c r="K1318" s="506"/>
      <c r="L1318" s="504"/>
      <c r="M1318" s="504"/>
      <c r="N1318" s="504"/>
      <c r="O1318" s="504"/>
      <c r="P1318" s="504"/>
    </row>
    <row r="1319" spans="1:16" ht="15.75" customHeight="1">
      <c r="A1319" s="732" t="s">
        <v>3312</v>
      </c>
      <c r="B1319" s="731" t="s">
        <v>5801</v>
      </c>
      <c r="C1319" s="55"/>
      <c r="D1319" s="507"/>
      <c r="E1319" s="504"/>
      <c r="F1319" s="504"/>
      <c r="G1319" s="504"/>
      <c r="H1319" s="504"/>
      <c r="I1319" s="501"/>
      <c r="J1319" s="505"/>
      <c r="K1319" s="506"/>
      <c r="L1319" s="504"/>
      <c r="M1319" s="504"/>
      <c r="N1319" s="504"/>
      <c r="O1319" s="504"/>
      <c r="P1319" s="504"/>
    </row>
    <row r="1320" spans="1:16" ht="15.75" customHeight="1">
      <c r="A1320" s="733" t="s">
        <v>5723</v>
      </c>
      <c r="B1320" s="731" t="s">
        <v>5802</v>
      </c>
      <c r="C1320" s="55"/>
      <c r="D1320" s="507"/>
      <c r="E1320" s="504"/>
      <c r="F1320" s="504"/>
      <c r="G1320" s="504"/>
      <c r="H1320" s="504"/>
      <c r="I1320" s="501"/>
      <c r="J1320" s="505"/>
      <c r="K1320" s="506"/>
      <c r="L1320" s="504"/>
      <c r="M1320" s="504"/>
      <c r="N1320" s="504"/>
      <c r="O1320" s="504"/>
      <c r="P1320" s="504"/>
    </row>
    <row r="1321" spans="1:16" ht="15.75" customHeight="1">
      <c r="A1321" s="733" t="s">
        <v>5723</v>
      </c>
      <c r="B1321" s="731" t="s">
        <v>5803</v>
      </c>
      <c r="C1321" s="55"/>
      <c r="D1321" s="507"/>
      <c r="E1321" s="504"/>
      <c r="F1321" s="504"/>
      <c r="G1321" s="504"/>
      <c r="H1321" s="504"/>
      <c r="I1321" s="501"/>
      <c r="J1321" s="505"/>
      <c r="K1321" s="506"/>
      <c r="L1321" s="504"/>
      <c r="M1321" s="504"/>
      <c r="N1321" s="504"/>
      <c r="O1321" s="504"/>
      <c r="P1321" s="504"/>
    </row>
    <row r="1322" spans="1:16" ht="15.75" customHeight="1">
      <c r="A1322" s="733" t="s">
        <v>5723</v>
      </c>
      <c r="B1322" s="731" t="s">
        <v>5804</v>
      </c>
      <c r="C1322" s="55"/>
      <c r="D1322" s="507"/>
      <c r="E1322" s="504"/>
      <c r="F1322" s="504"/>
      <c r="G1322" s="504"/>
      <c r="H1322" s="504"/>
      <c r="I1322" s="501"/>
      <c r="J1322" s="505"/>
      <c r="K1322" s="506"/>
      <c r="L1322" s="504"/>
      <c r="M1322" s="504"/>
      <c r="N1322" s="504"/>
      <c r="O1322" s="504"/>
      <c r="P1322" s="504"/>
    </row>
    <row r="1323" spans="1:16" ht="15.75" customHeight="1">
      <c r="A1323" s="733" t="s">
        <v>5723</v>
      </c>
      <c r="B1323" s="731" t="s">
        <v>5805</v>
      </c>
      <c r="C1323" s="55"/>
      <c r="D1323" s="507"/>
      <c r="E1323" s="504"/>
      <c r="F1323" s="504"/>
      <c r="G1323" s="504"/>
      <c r="H1323" s="504"/>
      <c r="I1323" s="501"/>
      <c r="J1323" s="505"/>
      <c r="K1323" s="506"/>
      <c r="L1323" s="504"/>
      <c r="M1323" s="504"/>
      <c r="N1323" s="504"/>
      <c r="O1323" s="504"/>
      <c r="P1323" s="504"/>
    </row>
    <row r="1324" spans="1:16" ht="15.75" customHeight="1">
      <c r="A1324" s="733" t="s">
        <v>5723</v>
      </c>
      <c r="B1324" s="731" t="s">
        <v>5806</v>
      </c>
      <c r="C1324" s="55"/>
      <c r="D1324" s="507"/>
      <c r="E1324" s="504"/>
      <c r="F1324" s="504"/>
      <c r="G1324" s="504"/>
      <c r="H1324" s="504"/>
      <c r="I1324" s="501"/>
      <c r="J1324" s="505"/>
      <c r="K1324" s="506"/>
      <c r="L1324" s="504"/>
      <c r="M1324" s="504"/>
      <c r="N1324" s="504"/>
      <c r="O1324" s="504"/>
      <c r="P1324" s="504"/>
    </row>
    <row r="1325" spans="1:16" ht="15.75" customHeight="1">
      <c r="A1325" s="733" t="s">
        <v>5723</v>
      </c>
      <c r="B1325" s="731" t="s">
        <v>5807</v>
      </c>
      <c r="C1325" s="55"/>
      <c r="D1325" s="507"/>
      <c r="E1325" s="504"/>
      <c r="F1325" s="504"/>
      <c r="G1325" s="504"/>
      <c r="H1325" s="504"/>
      <c r="I1325" s="501"/>
      <c r="J1325" s="505"/>
      <c r="K1325" s="506"/>
      <c r="L1325" s="504"/>
      <c r="M1325" s="504"/>
      <c r="N1325" s="504"/>
      <c r="O1325" s="504"/>
      <c r="P1325" s="504"/>
    </row>
    <row r="1326" spans="1:16" ht="15.75" customHeight="1">
      <c r="A1326" s="733" t="s">
        <v>5723</v>
      </c>
      <c r="B1326" s="731" t="s">
        <v>2680</v>
      </c>
      <c r="C1326" s="55"/>
      <c r="D1326" s="507"/>
      <c r="E1326" s="504"/>
      <c r="F1326" s="504"/>
      <c r="G1326" s="504"/>
      <c r="H1326" s="504"/>
      <c r="I1326" s="501"/>
      <c r="J1326" s="505"/>
      <c r="K1326" s="506"/>
      <c r="L1326" s="504"/>
      <c r="M1326" s="504"/>
      <c r="N1326" s="504"/>
      <c r="O1326" s="504"/>
      <c r="P1326" s="504"/>
    </row>
    <row r="1327" spans="1:16" ht="15.75" customHeight="1">
      <c r="A1327" s="733" t="s">
        <v>5723</v>
      </c>
      <c r="B1327" s="731" t="s">
        <v>2680</v>
      </c>
      <c r="C1327" s="55"/>
      <c r="D1327" s="507"/>
      <c r="E1327" s="504"/>
      <c r="F1327" s="504"/>
      <c r="G1327" s="504"/>
      <c r="H1327" s="504"/>
      <c r="I1327" s="501"/>
      <c r="J1327" s="505"/>
      <c r="K1327" s="506"/>
      <c r="L1327" s="504"/>
      <c r="M1327" s="504"/>
      <c r="N1327" s="504"/>
      <c r="O1327" s="504"/>
      <c r="P1327" s="504"/>
    </row>
    <row r="1328" spans="1:16" ht="15.75" customHeight="1">
      <c r="A1328" s="733" t="s">
        <v>5723</v>
      </c>
      <c r="B1328" s="731" t="s">
        <v>2680</v>
      </c>
      <c r="C1328" s="55"/>
      <c r="D1328" s="507"/>
      <c r="E1328" s="504"/>
      <c r="F1328" s="504"/>
      <c r="G1328" s="504"/>
      <c r="H1328" s="504"/>
      <c r="I1328" s="501"/>
      <c r="J1328" s="505"/>
      <c r="K1328" s="506"/>
      <c r="L1328" s="504"/>
      <c r="M1328" s="504"/>
      <c r="N1328" s="504"/>
      <c r="O1328" s="504"/>
      <c r="P1328" s="504"/>
    </row>
    <row r="1329" spans="1:16" ht="15.75" customHeight="1">
      <c r="A1329" s="733" t="s">
        <v>5723</v>
      </c>
      <c r="B1329" s="731" t="s">
        <v>2680</v>
      </c>
      <c r="C1329" s="55"/>
      <c r="D1329" s="507"/>
      <c r="E1329" s="504"/>
      <c r="F1329" s="504"/>
      <c r="G1329" s="504"/>
      <c r="H1329" s="504"/>
      <c r="I1329" s="501"/>
      <c r="J1329" s="505"/>
      <c r="K1329" s="506"/>
      <c r="L1329" s="504"/>
      <c r="M1329" s="504"/>
      <c r="N1329" s="504"/>
      <c r="O1329" s="504"/>
      <c r="P1329" s="504"/>
    </row>
    <row r="1330" spans="1:16" ht="15.75" customHeight="1">
      <c r="A1330" s="734" t="s">
        <v>2677</v>
      </c>
      <c r="B1330" s="731" t="s">
        <v>3322</v>
      </c>
      <c r="C1330" s="55"/>
      <c r="D1330" s="507"/>
      <c r="E1330" s="504"/>
      <c r="F1330" s="504"/>
      <c r="G1330" s="504"/>
      <c r="H1330" s="504"/>
      <c r="I1330" s="501"/>
      <c r="J1330" s="505"/>
      <c r="K1330" s="506"/>
      <c r="L1330" s="504"/>
      <c r="M1330" s="504"/>
      <c r="N1330" s="504"/>
      <c r="O1330" s="504"/>
      <c r="P1330" s="504"/>
    </row>
    <row r="1331" spans="1:16" ht="15.75" customHeight="1">
      <c r="A1331" s="734" t="s">
        <v>2677</v>
      </c>
      <c r="B1331" s="731" t="s">
        <v>3323</v>
      </c>
      <c r="C1331" s="55"/>
      <c r="D1331" s="507"/>
      <c r="E1331" s="504"/>
      <c r="F1331" s="504"/>
      <c r="G1331" s="504"/>
      <c r="H1331" s="504"/>
      <c r="I1331" s="501"/>
      <c r="J1331" s="505"/>
      <c r="K1331" s="506"/>
      <c r="L1331" s="504"/>
      <c r="M1331" s="504"/>
      <c r="N1331" s="504"/>
      <c r="O1331" s="504"/>
      <c r="P1331" s="504"/>
    </row>
    <row r="1332" spans="1:16" ht="15.75" customHeight="1">
      <c r="A1332" s="734" t="s">
        <v>2677</v>
      </c>
      <c r="B1332" s="731" t="s">
        <v>3324</v>
      </c>
      <c r="C1332" s="55"/>
      <c r="D1332" s="507"/>
      <c r="E1332" s="504"/>
      <c r="F1332" s="504"/>
      <c r="G1332" s="504"/>
      <c r="H1332" s="504"/>
      <c r="I1332" s="501"/>
      <c r="J1332" s="505"/>
      <c r="K1332" s="506"/>
      <c r="L1332" s="504"/>
      <c r="M1332" s="504"/>
      <c r="N1332" s="504"/>
      <c r="O1332" s="504"/>
      <c r="P1332" s="504"/>
    </row>
    <row r="1333" spans="1:16" ht="15.75" customHeight="1">
      <c r="A1333" s="734" t="s">
        <v>2677</v>
      </c>
      <c r="B1333" s="731" t="s">
        <v>3325</v>
      </c>
      <c r="C1333" s="504"/>
      <c r="D1333" s="504"/>
      <c r="E1333" s="504"/>
      <c r="F1333" s="504"/>
      <c r="G1333" s="504"/>
      <c r="H1333" s="504"/>
      <c r="I1333" s="501"/>
      <c r="J1333" s="505"/>
      <c r="K1333" s="506"/>
      <c r="L1333" s="504"/>
      <c r="M1333" s="504"/>
      <c r="N1333" s="504"/>
      <c r="O1333" s="504"/>
      <c r="P1333" s="504"/>
    </row>
    <row r="1334" spans="1:16" ht="15.75" customHeight="1">
      <c r="A1334" s="734" t="s">
        <v>2677</v>
      </c>
      <c r="B1334" s="731" t="s">
        <v>3326</v>
      </c>
      <c r="C1334" s="504"/>
      <c r="D1334" s="504"/>
      <c r="E1334" s="504"/>
      <c r="F1334" s="504"/>
      <c r="G1334" s="504"/>
      <c r="H1334" s="504"/>
      <c r="I1334" s="501"/>
      <c r="J1334" s="505"/>
      <c r="K1334" s="506"/>
      <c r="L1334" s="504"/>
      <c r="M1334" s="504"/>
      <c r="N1334" s="504"/>
      <c r="O1334" s="504"/>
      <c r="P1334" s="504"/>
    </row>
    <row r="1335" spans="1:16" ht="15.75" customHeight="1">
      <c r="A1335" s="734" t="s">
        <v>2677</v>
      </c>
      <c r="B1335" s="731" t="s">
        <v>3327</v>
      </c>
      <c r="C1335" s="504"/>
      <c r="D1335" s="504"/>
      <c r="E1335" s="504"/>
      <c r="F1335" s="504"/>
      <c r="G1335" s="504"/>
      <c r="H1335" s="504"/>
      <c r="I1335" s="501"/>
      <c r="J1335" s="505"/>
      <c r="K1335" s="506"/>
      <c r="L1335" s="504"/>
      <c r="M1335" s="504"/>
      <c r="N1335" s="504"/>
      <c r="O1335" s="504"/>
      <c r="P1335" s="504"/>
    </row>
    <row r="1336" spans="1:16" ht="15.75" customHeight="1">
      <c r="A1336" s="734" t="s">
        <v>2677</v>
      </c>
      <c r="B1336" s="731" t="s">
        <v>3328</v>
      </c>
      <c r="C1336" s="504"/>
      <c r="D1336" s="504"/>
      <c r="E1336" s="504"/>
      <c r="F1336" s="504"/>
      <c r="G1336" s="504"/>
      <c r="H1336" s="504"/>
      <c r="I1336" s="501"/>
      <c r="J1336" s="505"/>
      <c r="K1336" s="506"/>
      <c r="L1336" s="504"/>
      <c r="M1336" s="504"/>
      <c r="N1336" s="504"/>
      <c r="O1336" s="504"/>
      <c r="P1336" s="504"/>
    </row>
    <row r="1337" spans="1:16" ht="15.75" customHeight="1">
      <c r="A1337" s="734" t="s">
        <v>2677</v>
      </c>
      <c r="B1337" s="731" t="s">
        <v>5808</v>
      </c>
      <c r="C1337" s="504"/>
      <c r="D1337" s="504"/>
      <c r="E1337" s="504"/>
      <c r="F1337" s="504"/>
      <c r="G1337" s="504"/>
      <c r="H1337" s="504"/>
      <c r="I1337" s="501"/>
      <c r="J1337" s="505"/>
      <c r="K1337" s="506"/>
      <c r="L1337" s="504"/>
      <c r="M1337" s="504"/>
      <c r="N1337" s="504"/>
      <c r="O1337" s="504"/>
      <c r="P1337" s="504"/>
    </row>
    <row r="1338" spans="1:16" ht="15.75" customHeight="1">
      <c r="A1338" s="734" t="s">
        <v>2677</v>
      </c>
      <c r="B1338" s="731" t="s">
        <v>5809</v>
      </c>
      <c r="C1338" s="504"/>
      <c r="D1338" s="504"/>
      <c r="E1338" s="504"/>
      <c r="F1338" s="504"/>
      <c r="G1338" s="504"/>
      <c r="H1338" s="504"/>
      <c r="I1338" s="501"/>
      <c r="J1338" s="505"/>
      <c r="K1338" s="506"/>
      <c r="L1338" s="504"/>
      <c r="M1338" s="504"/>
      <c r="N1338" s="504"/>
      <c r="O1338" s="504"/>
      <c r="P1338" s="504"/>
    </row>
    <row r="1339" spans="1:16" ht="15.75" customHeight="1">
      <c r="A1339" s="734" t="s">
        <v>2677</v>
      </c>
      <c r="B1339" s="731" t="s">
        <v>5810</v>
      </c>
      <c r="C1339" s="504"/>
      <c r="D1339" s="504"/>
      <c r="E1339" s="504"/>
      <c r="F1339" s="504"/>
      <c r="G1339" s="504"/>
      <c r="H1339" s="504"/>
      <c r="I1339" s="501"/>
      <c r="J1339" s="505"/>
      <c r="K1339" s="506"/>
      <c r="L1339" s="504"/>
      <c r="M1339" s="504"/>
      <c r="N1339" s="504"/>
      <c r="O1339" s="504"/>
      <c r="P1339" s="504"/>
    </row>
    <row r="1340" spans="1:16" ht="15.75" customHeight="1">
      <c r="A1340" s="735" t="s">
        <v>2681</v>
      </c>
      <c r="B1340" s="731" t="s">
        <v>5811</v>
      </c>
      <c r="C1340" s="504"/>
      <c r="D1340" s="504"/>
      <c r="E1340" s="504"/>
      <c r="F1340" s="504"/>
      <c r="G1340" s="504"/>
      <c r="H1340" s="504"/>
      <c r="I1340" s="501"/>
      <c r="J1340" s="505"/>
      <c r="K1340" s="506"/>
      <c r="L1340" s="504"/>
      <c r="M1340" s="504"/>
      <c r="N1340" s="504"/>
      <c r="O1340" s="504"/>
      <c r="P1340" s="504"/>
    </row>
    <row r="1341" spans="1:16" ht="15.75" customHeight="1">
      <c r="A1341" s="735" t="s">
        <v>2681</v>
      </c>
      <c r="B1341" s="731" t="s">
        <v>2680</v>
      </c>
      <c r="C1341" s="504"/>
      <c r="D1341" s="504"/>
      <c r="E1341" s="504"/>
      <c r="F1341" s="504"/>
      <c r="G1341" s="504"/>
      <c r="H1341" s="504"/>
      <c r="I1341" s="501"/>
      <c r="J1341" s="505"/>
      <c r="K1341" s="506"/>
      <c r="L1341" s="504"/>
      <c r="M1341" s="504"/>
      <c r="N1341" s="504"/>
      <c r="O1341" s="504"/>
      <c r="P1341" s="504"/>
    </row>
    <row r="1342" spans="1:16" ht="15.75" customHeight="1">
      <c r="A1342" s="735" t="s">
        <v>2681</v>
      </c>
      <c r="B1342" s="731" t="s">
        <v>2680</v>
      </c>
      <c r="C1342" s="504"/>
      <c r="D1342" s="504"/>
      <c r="E1342" s="504"/>
      <c r="F1342" s="504"/>
      <c r="G1342" s="504"/>
      <c r="H1342" s="504"/>
      <c r="I1342" s="501"/>
      <c r="J1342" s="505"/>
      <c r="K1342" s="506"/>
      <c r="L1342" s="504"/>
      <c r="M1342" s="504"/>
      <c r="N1342" s="504"/>
      <c r="O1342" s="504"/>
      <c r="P1342" s="504"/>
    </row>
    <row r="1343" spans="1:16" ht="15.75" customHeight="1">
      <c r="A1343" s="735" t="s">
        <v>2681</v>
      </c>
      <c r="B1343" s="731" t="s">
        <v>3329</v>
      </c>
      <c r="C1343" s="504"/>
      <c r="D1343" s="504"/>
      <c r="E1343" s="504"/>
      <c r="F1343" s="504"/>
      <c r="G1343" s="504"/>
      <c r="H1343" s="504"/>
      <c r="I1343" s="501"/>
      <c r="J1343" s="505"/>
      <c r="K1343" s="506"/>
      <c r="L1343" s="504"/>
      <c r="M1343" s="504"/>
      <c r="N1343" s="504"/>
      <c r="O1343" s="504"/>
      <c r="P1343" s="504"/>
    </row>
    <row r="1344" spans="1:16" ht="15.75" customHeight="1">
      <c r="A1344" s="735" t="s">
        <v>2681</v>
      </c>
      <c r="B1344" s="731" t="s">
        <v>3330</v>
      </c>
      <c r="C1344" s="504"/>
      <c r="D1344" s="504"/>
      <c r="E1344" s="504"/>
      <c r="F1344" s="504"/>
      <c r="G1344" s="504"/>
      <c r="H1344" s="504"/>
      <c r="I1344" s="501"/>
      <c r="J1344" s="505"/>
      <c r="K1344" s="506"/>
      <c r="L1344" s="504"/>
      <c r="M1344" s="504"/>
      <c r="N1344" s="504"/>
      <c r="O1344" s="504"/>
      <c r="P1344" s="504"/>
    </row>
    <row r="1345" spans="1:16" ht="15.75" customHeight="1">
      <c r="A1345" s="735" t="s">
        <v>2681</v>
      </c>
      <c r="B1345" s="731" t="s">
        <v>3331</v>
      </c>
      <c r="C1345" s="504"/>
      <c r="D1345" s="504"/>
      <c r="E1345" s="504"/>
      <c r="F1345" s="504"/>
      <c r="G1345" s="504"/>
      <c r="H1345" s="504"/>
      <c r="I1345" s="501"/>
      <c r="J1345" s="505"/>
      <c r="K1345" s="506"/>
      <c r="L1345" s="504"/>
      <c r="M1345" s="504"/>
      <c r="N1345" s="504"/>
      <c r="O1345" s="504"/>
      <c r="P1345" s="504"/>
    </row>
    <row r="1346" spans="1:16" ht="15.75" customHeight="1">
      <c r="A1346" s="735" t="s">
        <v>2681</v>
      </c>
      <c r="B1346" s="731" t="s">
        <v>3332</v>
      </c>
      <c r="C1346" s="504"/>
      <c r="D1346" s="504"/>
      <c r="E1346" s="504"/>
      <c r="F1346" s="504"/>
      <c r="G1346" s="504"/>
      <c r="H1346" s="504"/>
      <c r="I1346" s="501"/>
      <c r="J1346" s="505"/>
      <c r="K1346" s="506"/>
      <c r="L1346" s="504"/>
      <c r="M1346" s="504"/>
      <c r="N1346" s="504"/>
      <c r="O1346" s="504"/>
      <c r="P1346" s="504"/>
    </row>
    <row r="1347" spans="1:16" ht="15.75" customHeight="1">
      <c r="A1347" s="735" t="s">
        <v>2681</v>
      </c>
      <c r="B1347" s="731" t="s">
        <v>3333</v>
      </c>
      <c r="C1347" s="504"/>
      <c r="D1347" s="504"/>
      <c r="E1347" s="504"/>
      <c r="F1347" s="504"/>
      <c r="G1347" s="504"/>
      <c r="H1347" s="504"/>
      <c r="I1347" s="501"/>
      <c r="J1347" s="505"/>
      <c r="K1347" s="506"/>
      <c r="L1347" s="504"/>
      <c r="M1347" s="504"/>
      <c r="N1347" s="504"/>
      <c r="O1347" s="504"/>
      <c r="P1347" s="504"/>
    </row>
    <row r="1348" spans="1:16" ht="15.75" customHeight="1">
      <c r="A1348" s="735" t="s">
        <v>2681</v>
      </c>
      <c r="B1348" s="731" t="s">
        <v>3334</v>
      </c>
      <c r="C1348" s="504"/>
      <c r="D1348" s="504"/>
      <c r="E1348" s="504"/>
      <c r="F1348" s="504"/>
      <c r="G1348" s="504"/>
      <c r="H1348" s="504"/>
      <c r="I1348" s="501"/>
      <c r="J1348" s="505"/>
      <c r="K1348" s="506"/>
      <c r="L1348" s="504"/>
      <c r="M1348" s="504"/>
      <c r="N1348" s="504"/>
      <c r="O1348" s="504"/>
      <c r="P1348" s="504"/>
    </row>
    <row r="1349" spans="1:16" ht="15.75" customHeight="1">
      <c r="A1349" s="735" t="s">
        <v>2681</v>
      </c>
      <c r="B1349" s="731" t="s">
        <v>3335</v>
      </c>
      <c r="C1349" s="504"/>
      <c r="D1349" s="504"/>
      <c r="E1349" s="504"/>
      <c r="F1349" s="504"/>
      <c r="G1349" s="504"/>
      <c r="H1349" s="504"/>
      <c r="I1349" s="501"/>
      <c r="J1349" s="505"/>
      <c r="K1349" s="506"/>
      <c r="L1349" s="504"/>
      <c r="M1349" s="504"/>
      <c r="N1349" s="504"/>
      <c r="O1349" s="504"/>
      <c r="P1349" s="504"/>
    </row>
    <row r="1350" spans="1:16" ht="15.75" customHeight="1">
      <c r="A1350" s="737" t="s">
        <v>2686</v>
      </c>
      <c r="B1350" s="731" t="s">
        <v>3336</v>
      </c>
      <c r="C1350" s="504"/>
      <c r="D1350" s="504"/>
      <c r="E1350" s="504"/>
      <c r="F1350" s="504"/>
      <c r="G1350" s="504"/>
      <c r="H1350" s="504"/>
      <c r="I1350" s="501"/>
      <c r="J1350" s="505"/>
      <c r="K1350" s="506"/>
      <c r="L1350" s="504"/>
      <c r="M1350" s="504"/>
      <c r="N1350" s="504"/>
      <c r="O1350" s="504"/>
      <c r="P1350" s="504"/>
    </row>
    <row r="1351" spans="1:16" ht="15.75" customHeight="1">
      <c r="A1351" s="737" t="s">
        <v>2686</v>
      </c>
      <c r="B1351" s="731" t="s">
        <v>3337</v>
      </c>
      <c r="C1351" s="504"/>
      <c r="D1351" s="504"/>
      <c r="E1351" s="504"/>
      <c r="F1351" s="504"/>
      <c r="G1351" s="504"/>
      <c r="H1351" s="504"/>
      <c r="I1351" s="501"/>
      <c r="J1351" s="505"/>
      <c r="K1351" s="506"/>
      <c r="L1351" s="504"/>
      <c r="M1351" s="504"/>
      <c r="N1351" s="504"/>
      <c r="O1351" s="504"/>
      <c r="P1351" s="504"/>
    </row>
    <row r="1352" spans="1:16" ht="15.75" customHeight="1">
      <c r="A1352" s="737" t="s">
        <v>2686</v>
      </c>
      <c r="B1352" s="731" t="s">
        <v>3338</v>
      </c>
      <c r="C1352" s="504"/>
      <c r="D1352" s="504"/>
      <c r="E1352" s="504"/>
      <c r="F1352" s="504"/>
      <c r="G1352" s="504"/>
      <c r="H1352" s="504"/>
      <c r="I1352" s="501"/>
      <c r="J1352" s="505"/>
      <c r="K1352" s="506"/>
      <c r="L1352" s="504"/>
      <c r="M1352" s="504"/>
      <c r="N1352" s="504"/>
      <c r="O1352" s="504"/>
      <c r="P1352" s="504"/>
    </row>
    <row r="1353" spans="1:16" ht="15.75" customHeight="1">
      <c r="A1353" s="737" t="s">
        <v>2686</v>
      </c>
      <c r="B1353" s="731" t="s">
        <v>3339</v>
      </c>
      <c r="C1353" s="504"/>
      <c r="D1353" s="504"/>
      <c r="E1353" s="504"/>
      <c r="F1353" s="504"/>
      <c r="G1353" s="504"/>
      <c r="H1353" s="504"/>
      <c r="I1353" s="501"/>
      <c r="J1353" s="505"/>
      <c r="K1353" s="506"/>
      <c r="L1353" s="504"/>
      <c r="M1353" s="504"/>
      <c r="N1353" s="504"/>
      <c r="O1353" s="504"/>
      <c r="P1353" s="504"/>
    </row>
    <row r="1354" spans="1:16" ht="15.75" customHeight="1">
      <c r="A1354" s="737" t="s">
        <v>2686</v>
      </c>
      <c r="B1354" s="731" t="s">
        <v>3340</v>
      </c>
      <c r="C1354" s="504"/>
      <c r="D1354" s="504"/>
      <c r="E1354" s="504"/>
      <c r="F1354" s="504"/>
      <c r="G1354" s="504"/>
      <c r="H1354" s="504"/>
      <c r="I1354" s="501"/>
      <c r="J1354" s="505"/>
      <c r="K1354" s="506"/>
      <c r="L1354" s="504"/>
      <c r="M1354" s="504"/>
      <c r="N1354" s="504"/>
      <c r="O1354" s="504"/>
      <c r="P1354" s="504"/>
    </row>
    <row r="1355" spans="1:16" ht="15.75" customHeight="1">
      <c r="A1355" s="737" t="s">
        <v>2686</v>
      </c>
      <c r="B1355" s="731" t="s">
        <v>3341</v>
      </c>
      <c r="C1355" s="504"/>
      <c r="D1355" s="504"/>
      <c r="E1355" s="504"/>
      <c r="F1355" s="504"/>
      <c r="G1355" s="504"/>
      <c r="H1355" s="504"/>
      <c r="I1355" s="501"/>
      <c r="J1355" s="505"/>
      <c r="K1355" s="506"/>
      <c r="L1355" s="504"/>
      <c r="M1355" s="504"/>
      <c r="N1355" s="504"/>
      <c r="O1355" s="504"/>
      <c r="P1355" s="504"/>
    </row>
    <row r="1356" spans="1:16" ht="15.75" customHeight="1">
      <c r="A1356" s="737" t="s">
        <v>2686</v>
      </c>
      <c r="B1356" s="731" t="s">
        <v>3342</v>
      </c>
      <c r="C1356" s="504"/>
      <c r="D1356" s="504"/>
      <c r="E1356" s="504"/>
      <c r="F1356" s="504"/>
      <c r="G1356" s="504"/>
      <c r="H1356" s="504"/>
      <c r="I1356" s="501"/>
      <c r="J1356" s="505"/>
      <c r="K1356" s="506"/>
      <c r="L1356" s="504"/>
      <c r="M1356" s="504"/>
      <c r="N1356" s="504"/>
      <c r="O1356" s="504"/>
      <c r="P1356" s="504"/>
    </row>
    <row r="1357" spans="1:16" ht="15.75" customHeight="1">
      <c r="A1357" s="737" t="s">
        <v>2686</v>
      </c>
      <c r="B1357" s="731" t="s">
        <v>3343</v>
      </c>
      <c r="C1357" s="504"/>
      <c r="D1357" s="504"/>
      <c r="E1357" s="504"/>
      <c r="F1357" s="504"/>
      <c r="G1357" s="504"/>
      <c r="H1357" s="504"/>
      <c r="I1357" s="501"/>
      <c r="J1357" s="505"/>
      <c r="K1357" s="506"/>
      <c r="L1357" s="504"/>
      <c r="M1357" s="504"/>
      <c r="N1357" s="504"/>
      <c r="O1357" s="504"/>
      <c r="P1357" s="504"/>
    </row>
    <row r="1358" spans="1:16" ht="15.75" customHeight="1">
      <c r="A1358" s="737" t="s">
        <v>2686</v>
      </c>
      <c r="B1358" s="731" t="s">
        <v>3344</v>
      </c>
      <c r="C1358" s="504"/>
      <c r="D1358" s="504"/>
      <c r="E1358" s="504"/>
      <c r="F1358" s="504"/>
      <c r="G1358" s="504"/>
      <c r="H1358" s="504"/>
      <c r="I1358" s="501"/>
      <c r="J1358" s="505"/>
      <c r="K1358" s="506"/>
      <c r="L1358" s="504"/>
      <c r="M1358" s="504"/>
      <c r="N1358" s="504"/>
      <c r="O1358" s="504"/>
      <c r="P1358" s="504"/>
    </row>
    <row r="1359" spans="1:16" ht="15.75" customHeight="1">
      <c r="A1359" s="737" t="s">
        <v>2686</v>
      </c>
      <c r="B1359" s="731" t="s">
        <v>3345</v>
      </c>
      <c r="C1359" s="504"/>
      <c r="D1359" s="504"/>
      <c r="E1359" s="504"/>
      <c r="F1359" s="504"/>
      <c r="G1359" s="504"/>
      <c r="H1359" s="504"/>
      <c r="I1359" s="501"/>
      <c r="J1359" s="505"/>
      <c r="K1359" s="506"/>
      <c r="L1359" s="504"/>
      <c r="M1359" s="504"/>
      <c r="N1359" s="504"/>
      <c r="O1359" s="504"/>
      <c r="P1359" s="504"/>
    </row>
    <row r="1360" spans="1:16" ht="15.75" customHeight="1">
      <c r="A1360" s="738" t="s">
        <v>2691</v>
      </c>
      <c r="B1360" s="731" t="s">
        <v>3346</v>
      </c>
      <c r="C1360" s="504"/>
      <c r="D1360" s="504"/>
      <c r="E1360" s="504"/>
      <c r="F1360" s="504"/>
      <c r="G1360" s="504"/>
      <c r="H1360" s="504"/>
      <c r="I1360" s="501"/>
      <c r="J1360" s="505"/>
      <c r="K1360" s="506"/>
      <c r="L1360" s="504"/>
      <c r="M1360" s="504"/>
      <c r="N1360" s="504"/>
      <c r="O1360" s="504"/>
      <c r="P1360" s="504"/>
    </row>
    <row r="1361" spans="1:16" ht="15.75" customHeight="1">
      <c r="A1361" s="738" t="s">
        <v>2691</v>
      </c>
      <c r="B1361" s="731" t="s">
        <v>3347</v>
      </c>
      <c r="C1361" s="504"/>
      <c r="D1361" s="504"/>
      <c r="E1361" s="504"/>
      <c r="F1361" s="504"/>
      <c r="G1361" s="504"/>
      <c r="H1361" s="504"/>
      <c r="I1361" s="501"/>
      <c r="J1361" s="505"/>
      <c r="K1361" s="506"/>
      <c r="L1361" s="504"/>
      <c r="M1361" s="504"/>
      <c r="N1361" s="504"/>
      <c r="O1361" s="504"/>
      <c r="P1361" s="504"/>
    </row>
    <row r="1362" spans="1:16" ht="15.75" customHeight="1">
      <c r="A1362" s="738" t="s">
        <v>2691</v>
      </c>
      <c r="B1362" s="731" t="s">
        <v>3348</v>
      </c>
      <c r="C1362" s="504"/>
      <c r="D1362" s="504"/>
      <c r="E1362" s="504"/>
      <c r="F1362" s="504"/>
      <c r="G1362" s="504"/>
      <c r="H1362" s="504"/>
      <c r="I1362" s="501"/>
      <c r="J1362" s="505"/>
      <c r="K1362" s="506"/>
      <c r="L1362" s="504"/>
      <c r="M1362" s="504"/>
      <c r="N1362" s="504"/>
      <c r="O1362" s="504"/>
      <c r="P1362" s="504"/>
    </row>
    <row r="1363" spans="1:16" ht="15.75" customHeight="1">
      <c r="A1363" s="738" t="s">
        <v>2691</v>
      </c>
      <c r="B1363" s="731" t="s">
        <v>3349</v>
      </c>
      <c r="C1363" s="504"/>
      <c r="D1363" s="504"/>
      <c r="E1363" s="504"/>
      <c r="F1363" s="504"/>
      <c r="G1363" s="504"/>
      <c r="H1363" s="504"/>
      <c r="I1363" s="501"/>
      <c r="J1363" s="505"/>
      <c r="K1363" s="506"/>
      <c r="L1363" s="504"/>
      <c r="M1363" s="504"/>
      <c r="N1363" s="504"/>
      <c r="O1363" s="504"/>
      <c r="P1363" s="504"/>
    </row>
    <row r="1364" spans="1:16" ht="15.75" customHeight="1">
      <c r="A1364" s="738" t="s">
        <v>2691</v>
      </c>
      <c r="B1364" s="731" t="s">
        <v>3350</v>
      </c>
      <c r="C1364" s="504"/>
      <c r="D1364" s="504"/>
      <c r="E1364" s="504"/>
      <c r="F1364" s="504"/>
      <c r="G1364" s="504"/>
      <c r="H1364" s="504"/>
      <c r="I1364" s="501"/>
      <c r="J1364" s="505"/>
      <c r="K1364" s="506"/>
      <c r="L1364" s="504"/>
      <c r="M1364" s="504"/>
      <c r="N1364" s="504"/>
      <c r="O1364" s="504"/>
      <c r="P1364" s="504"/>
    </row>
    <row r="1365" spans="1:16" ht="15.75" customHeight="1">
      <c r="A1365" s="739" t="s">
        <v>2693</v>
      </c>
      <c r="B1365" s="731" t="s">
        <v>3351</v>
      </c>
      <c r="C1365" s="504"/>
      <c r="D1365" s="504"/>
      <c r="E1365" s="504"/>
      <c r="F1365" s="504"/>
      <c r="G1365" s="504"/>
      <c r="H1365" s="504"/>
      <c r="I1365" s="501"/>
      <c r="J1365" s="505"/>
      <c r="K1365" s="506"/>
      <c r="L1365" s="504"/>
      <c r="M1365" s="504"/>
      <c r="N1365" s="504"/>
      <c r="O1365" s="504"/>
      <c r="P1365" s="504"/>
    </row>
    <row r="1366" spans="1:16" ht="15.75" customHeight="1">
      <c r="A1366" s="742"/>
      <c r="B1366" s="559"/>
      <c r="C1366" s="504"/>
      <c r="D1366" s="504"/>
      <c r="E1366" s="504"/>
      <c r="F1366" s="504"/>
      <c r="G1366" s="504"/>
      <c r="H1366" s="504"/>
      <c r="I1366" s="501"/>
      <c r="J1366" s="505"/>
      <c r="K1366" s="506"/>
      <c r="L1366" s="504"/>
      <c r="M1366" s="504"/>
      <c r="N1366" s="504"/>
      <c r="O1366" s="504"/>
      <c r="P1366" s="504"/>
    </row>
    <row r="1367" spans="1:16" ht="15.75" customHeight="1">
      <c r="A1367" s="729" t="s">
        <v>3352</v>
      </c>
      <c r="B1367" s="731" t="s">
        <v>2674</v>
      </c>
      <c r="C1367" s="504"/>
      <c r="D1367" s="504"/>
      <c r="E1367" s="504"/>
      <c r="F1367" s="504"/>
      <c r="G1367" s="504"/>
      <c r="H1367" s="504"/>
      <c r="I1367" s="501"/>
      <c r="J1367" s="505"/>
      <c r="K1367" s="506"/>
      <c r="L1367" s="504"/>
      <c r="M1367" s="504"/>
      <c r="N1367" s="504"/>
      <c r="O1367" s="504"/>
      <c r="P1367" s="504"/>
    </row>
    <row r="1368" spans="1:16" ht="15.75" customHeight="1">
      <c r="A1368" s="732" t="s">
        <v>3312</v>
      </c>
      <c r="B1368" s="731" t="s">
        <v>3353</v>
      </c>
      <c r="C1368" s="504"/>
      <c r="D1368" s="504"/>
      <c r="E1368" s="504"/>
      <c r="F1368" s="504"/>
      <c r="G1368" s="504"/>
      <c r="H1368" s="504"/>
      <c r="I1368" s="501"/>
      <c r="J1368" s="505"/>
      <c r="K1368" s="506"/>
      <c r="L1368" s="504"/>
      <c r="M1368" s="504"/>
      <c r="N1368" s="504"/>
      <c r="O1368" s="504"/>
      <c r="P1368" s="504"/>
    </row>
    <row r="1369" spans="1:16" ht="15.75" customHeight="1">
      <c r="A1369" s="733" t="s">
        <v>5723</v>
      </c>
      <c r="B1369" s="731" t="s">
        <v>5812</v>
      </c>
      <c r="C1369" s="504"/>
      <c r="D1369" s="504"/>
      <c r="E1369" s="504"/>
      <c r="F1369" s="504"/>
      <c r="G1369" s="504"/>
      <c r="H1369" s="504"/>
      <c r="I1369" s="501"/>
      <c r="J1369" s="505"/>
      <c r="K1369" s="506"/>
      <c r="L1369" s="504"/>
      <c r="M1369" s="504"/>
      <c r="N1369" s="504"/>
      <c r="O1369" s="504"/>
      <c r="P1369" s="504"/>
    </row>
    <row r="1370" spans="1:16" ht="15.75" customHeight="1">
      <c r="A1370" s="733" t="s">
        <v>5723</v>
      </c>
      <c r="B1370" s="731" t="s">
        <v>5813</v>
      </c>
      <c r="C1370" s="504"/>
      <c r="D1370" s="504"/>
      <c r="E1370" s="504"/>
      <c r="F1370" s="504"/>
      <c r="G1370" s="504"/>
      <c r="H1370" s="504"/>
      <c r="I1370" s="501"/>
      <c r="J1370" s="505"/>
      <c r="K1370" s="506"/>
      <c r="L1370" s="504"/>
      <c r="M1370" s="504"/>
      <c r="N1370" s="504"/>
      <c r="O1370" s="504"/>
      <c r="P1370" s="504"/>
    </row>
    <row r="1371" spans="1:16" ht="15.75" customHeight="1">
      <c r="A1371" s="733" t="s">
        <v>5723</v>
      </c>
      <c r="B1371" s="731" t="s">
        <v>5814</v>
      </c>
      <c r="C1371" s="504"/>
      <c r="D1371" s="504"/>
      <c r="E1371" s="504"/>
      <c r="F1371" s="504"/>
      <c r="G1371" s="504"/>
      <c r="H1371" s="504"/>
      <c r="I1371" s="501"/>
      <c r="J1371" s="505"/>
      <c r="K1371" s="506"/>
      <c r="L1371" s="504"/>
      <c r="M1371" s="504"/>
      <c r="N1371" s="504"/>
      <c r="O1371" s="504"/>
      <c r="P1371" s="504"/>
    </row>
    <row r="1372" spans="1:16" ht="15.75" customHeight="1">
      <c r="A1372" s="733" t="s">
        <v>5723</v>
      </c>
      <c r="B1372" s="731" t="s">
        <v>5815</v>
      </c>
      <c r="C1372" s="504"/>
      <c r="D1372" s="504"/>
      <c r="E1372" s="504"/>
      <c r="F1372" s="504"/>
      <c r="G1372" s="504"/>
      <c r="H1372" s="504"/>
      <c r="I1372" s="501"/>
      <c r="J1372" s="505"/>
      <c r="K1372" s="506"/>
      <c r="L1372" s="504"/>
      <c r="M1372" s="504"/>
      <c r="N1372" s="504"/>
      <c r="O1372" s="504"/>
      <c r="P1372" s="504"/>
    </row>
    <row r="1373" spans="1:16" ht="15.75" customHeight="1">
      <c r="A1373" s="733" t="s">
        <v>5723</v>
      </c>
      <c r="B1373" s="731" t="s">
        <v>5816</v>
      </c>
      <c r="C1373" s="504"/>
      <c r="D1373" s="504"/>
      <c r="E1373" s="504"/>
      <c r="F1373" s="504"/>
      <c r="G1373" s="504"/>
      <c r="H1373" s="504"/>
      <c r="I1373" s="501"/>
      <c r="J1373" s="505"/>
      <c r="K1373" s="506"/>
      <c r="L1373" s="504"/>
      <c r="M1373" s="504"/>
      <c r="N1373" s="504"/>
      <c r="O1373" s="504"/>
      <c r="P1373" s="504"/>
    </row>
    <row r="1374" spans="1:16" ht="15.75" customHeight="1">
      <c r="A1374" s="733" t="s">
        <v>5723</v>
      </c>
      <c r="B1374" s="731" t="s">
        <v>2680</v>
      </c>
      <c r="C1374" s="504"/>
      <c r="D1374" s="504"/>
      <c r="E1374" s="504"/>
      <c r="F1374" s="504"/>
      <c r="G1374" s="504"/>
      <c r="H1374" s="504"/>
      <c r="I1374" s="501"/>
      <c r="J1374" s="505"/>
      <c r="K1374" s="506"/>
      <c r="L1374" s="504"/>
      <c r="M1374" s="504"/>
      <c r="N1374" s="504"/>
      <c r="O1374" s="504"/>
      <c r="P1374" s="504"/>
    </row>
    <row r="1375" spans="1:16" ht="15.75" customHeight="1">
      <c r="A1375" s="733" t="s">
        <v>5723</v>
      </c>
      <c r="B1375" s="731" t="s">
        <v>2680</v>
      </c>
      <c r="C1375" s="504"/>
      <c r="D1375" s="504"/>
      <c r="E1375" s="504"/>
      <c r="F1375" s="504"/>
      <c r="G1375" s="504"/>
      <c r="H1375" s="504"/>
      <c r="I1375" s="501"/>
      <c r="J1375" s="505"/>
      <c r="K1375" s="506"/>
      <c r="L1375" s="504"/>
      <c r="M1375" s="504"/>
      <c r="N1375" s="504"/>
      <c r="O1375" s="504"/>
      <c r="P1375" s="504"/>
    </row>
    <row r="1376" spans="1:16" ht="15.75" customHeight="1">
      <c r="A1376" s="733" t="s">
        <v>5723</v>
      </c>
      <c r="B1376" s="731" t="s">
        <v>2680</v>
      </c>
      <c r="C1376" s="504"/>
      <c r="D1376" s="504"/>
      <c r="E1376" s="504"/>
      <c r="F1376" s="504"/>
      <c r="G1376" s="504"/>
      <c r="H1376" s="504"/>
      <c r="I1376" s="501"/>
      <c r="J1376" s="505"/>
      <c r="K1376" s="506"/>
      <c r="L1376" s="504"/>
      <c r="M1376" s="504"/>
      <c r="N1376" s="504"/>
      <c r="O1376" s="504"/>
      <c r="P1376" s="504"/>
    </row>
    <row r="1377" spans="1:16" ht="15.75" customHeight="1">
      <c r="A1377" s="733" t="s">
        <v>5723</v>
      </c>
      <c r="B1377" s="731" t="s">
        <v>2680</v>
      </c>
      <c r="C1377" s="504"/>
      <c r="D1377" s="504"/>
      <c r="E1377" s="504"/>
      <c r="F1377" s="504"/>
      <c r="G1377" s="504"/>
      <c r="H1377" s="504"/>
      <c r="I1377" s="501"/>
      <c r="J1377" s="505"/>
      <c r="K1377" s="506"/>
      <c r="L1377" s="504"/>
      <c r="M1377" s="504"/>
      <c r="N1377" s="504"/>
      <c r="O1377" s="504"/>
      <c r="P1377" s="504"/>
    </row>
    <row r="1378" spans="1:16" ht="15.75" customHeight="1">
      <c r="A1378" s="733" t="s">
        <v>5723</v>
      </c>
      <c r="B1378" s="731" t="s">
        <v>2680</v>
      </c>
      <c r="C1378" s="504"/>
      <c r="D1378" s="504"/>
      <c r="E1378" s="504"/>
      <c r="F1378" s="504"/>
      <c r="G1378" s="504"/>
      <c r="H1378" s="504"/>
      <c r="I1378" s="501"/>
      <c r="J1378" s="505"/>
      <c r="K1378" s="506"/>
      <c r="L1378" s="504"/>
      <c r="M1378" s="504"/>
      <c r="N1378" s="504"/>
      <c r="O1378" s="504"/>
      <c r="P1378" s="504"/>
    </row>
    <row r="1379" spans="1:16" ht="15.75" customHeight="1">
      <c r="A1379" s="734" t="s">
        <v>2677</v>
      </c>
      <c r="B1379" s="731" t="s">
        <v>3354</v>
      </c>
      <c r="C1379" s="504"/>
      <c r="D1379" s="504"/>
      <c r="E1379" s="504"/>
      <c r="F1379" s="504"/>
      <c r="G1379" s="504"/>
      <c r="H1379" s="504"/>
      <c r="I1379" s="501"/>
      <c r="J1379" s="505"/>
      <c r="K1379" s="506"/>
      <c r="L1379" s="504"/>
      <c r="M1379" s="504"/>
      <c r="N1379" s="504"/>
      <c r="O1379" s="504"/>
      <c r="P1379" s="504"/>
    </row>
    <row r="1380" spans="1:16" ht="15.75" customHeight="1">
      <c r="A1380" s="734" t="s">
        <v>2677</v>
      </c>
      <c r="B1380" s="731" t="s">
        <v>3355</v>
      </c>
      <c r="C1380" s="504"/>
      <c r="D1380" s="504"/>
      <c r="E1380" s="504"/>
      <c r="F1380" s="504"/>
      <c r="G1380" s="504"/>
      <c r="H1380" s="504"/>
      <c r="I1380" s="501"/>
      <c r="J1380" s="505"/>
      <c r="K1380" s="506"/>
      <c r="L1380" s="504"/>
      <c r="M1380" s="504"/>
      <c r="N1380" s="504"/>
      <c r="O1380" s="504"/>
      <c r="P1380" s="504"/>
    </row>
    <row r="1381" spans="1:16" ht="15.75" customHeight="1">
      <c r="A1381" s="734" t="s">
        <v>2677</v>
      </c>
      <c r="B1381" s="731" t="s">
        <v>3356</v>
      </c>
      <c r="C1381" s="504"/>
      <c r="D1381" s="504"/>
      <c r="E1381" s="504"/>
      <c r="F1381" s="504"/>
      <c r="G1381" s="504"/>
      <c r="H1381" s="504"/>
      <c r="I1381" s="501"/>
      <c r="J1381" s="505"/>
      <c r="K1381" s="506"/>
      <c r="L1381" s="504"/>
      <c r="M1381" s="504"/>
      <c r="N1381" s="504"/>
      <c r="O1381" s="504"/>
      <c r="P1381" s="504"/>
    </row>
    <row r="1382" spans="1:16" ht="15.75" customHeight="1">
      <c r="A1382" s="734" t="s">
        <v>2677</v>
      </c>
      <c r="B1382" s="731" t="s">
        <v>3357</v>
      </c>
      <c r="C1382" s="504"/>
      <c r="D1382" s="504"/>
      <c r="E1382" s="504"/>
      <c r="F1382" s="504"/>
      <c r="G1382" s="504"/>
      <c r="H1382" s="504"/>
      <c r="I1382" s="501"/>
      <c r="J1382" s="505"/>
      <c r="K1382" s="506"/>
      <c r="L1382" s="504"/>
      <c r="M1382" s="504"/>
      <c r="N1382" s="504"/>
      <c r="O1382" s="504"/>
      <c r="P1382" s="504"/>
    </row>
    <row r="1383" spans="1:16" ht="15.75" customHeight="1">
      <c r="A1383" s="734" t="s">
        <v>2677</v>
      </c>
      <c r="B1383" s="731" t="s">
        <v>3358</v>
      </c>
      <c r="C1383" s="504"/>
      <c r="D1383" s="504"/>
      <c r="E1383" s="504"/>
      <c r="F1383" s="504"/>
      <c r="G1383" s="504"/>
      <c r="H1383" s="504"/>
      <c r="I1383" s="501"/>
      <c r="J1383" s="505"/>
      <c r="K1383" s="506"/>
      <c r="L1383" s="504"/>
      <c r="M1383" s="504"/>
      <c r="N1383" s="504"/>
      <c r="O1383" s="504"/>
      <c r="P1383" s="504"/>
    </row>
    <row r="1384" spans="1:16" ht="15.75" customHeight="1">
      <c r="A1384" s="734" t="s">
        <v>2677</v>
      </c>
      <c r="B1384" s="731" t="s">
        <v>3359</v>
      </c>
      <c r="C1384" s="504"/>
      <c r="D1384" s="504"/>
      <c r="E1384" s="504"/>
      <c r="F1384" s="504"/>
      <c r="G1384" s="504"/>
      <c r="H1384" s="504"/>
      <c r="I1384" s="501"/>
      <c r="J1384" s="505"/>
      <c r="K1384" s="506"/>
      <c r="L1384" s="504"/>
      <c r="M1384" s="504"/>
      <c r="N1384" s="504"/>
      <c r="O1384" s="504"/>
      <c r="P1384" s="504"/>
    </row>
    <row r="1385" spans="1:16" ht="15.75" customHeight="1">
      <c r="A1385" s="734" t="s">
        <v>2677</v>
      </c>
      <c r="B1385" s="731" t="s">
        <v>3360</v>
      </c>
      <c r="C1385" s="504"/>
      <c r="D1385" s="504"/>
      <c r="E1385" s="504"/>
      <c r="F1385" s="504"/>
      <c r="G1385" s="504"/>
      <c r="H1385" s="504"/>
      <c r="I1385" s="501"/>
      <c r="J1385" s="505"/>
      <c r="K1385" s="506"/>
      <c r="L1385" s="504"/>
      <c r="M1385" s="504"/>
      <c r="N1385" s="504"/>
      <c r="O1385" s="504"/>
      <c r="P1385" s="504"/>
    </row>
    <row r="1386" spans="1:16" ht="15.75" customHeight="1">
      <c r="A1386" s="734" t="s">
        <v>2677</v>
      </c>
      <c r="B1386" s="731" t="s">
        <v>3361</v>
      </c>
      <c r="C1386" s="504"/>
      <c r="D1386" s="504"/>
      <c r="E1386" s="504"/>
      <c r="F1386" s="504"/>
      <c r="G1386" s="504"/>
      <c r="H1386" s="504"/>
      <c r="I1386" s="501"/>
      <c r="J1386" s="505"/>
      <c r="K1386" s="506"/>
      <c r="L1386" s="504"/>
      <c r="M1386" s="504"/>
      <c r="N1386" s="504"/>
      <c r="O1386" s="504"/>
      <c r="P1386" s="504"/>
    </row>
    <row r="1387" spans="1:16" ht="15.75" customHeight="1">
      <c r="A1387" s="734" t="s">
        <v>2677</v>
      </c>
      <c r="B1387" s="731" t="s">
        <v>3362</v>
      </c>
      <c r="C1387" s="504"/>
      <c r="D1387" s="504"/>
      <c r="E1387" s="504"/>
      <c r="F1387" s="504"/>
      <c r="G1387" s="504"/>
      <c r="H1387" s="504"/>
      <c r="I1387" s="501"/>
      <c r="J1387" s="505"/>
      <c r="K1387" s="506"/>
      <c r="L1387" s="504"/>
      <c r="M1387" s="504"/>
      <c r="N1387" s="504"/>
      <c r="O1387" s="504"/>
      <c r="P1387" s="504"/>
    </row>
    <row r="1388" spans="1:16" ht="15.75" customHeight="1">
      <c r="A1388" s="734" t="s">
        <v>2677</v>
      </c>
      <c r="B1388" s="731" t="s">
        <v>3363</v>
      </c>
      <c r="C1388" s="504"/>
      <c r="D1388" s="504"/>
      <c r="E1388" s="504"/>
      <c r="F1388" s="504"/>
      <c r="G1388" s="504"/>
      <c r="H1388" s="504"/>
      <c r="I1388" s="501"/>
      <c r="J1388" s="505"/>
      <c r="K1388" s="506"/>
      <c r="L1388" s="504"/>
      <c r="M1388" s="504"/>
      <c r="N1388" s="504"/>
      <c r="O1388" s="504"/>
      <c r="P1388" s="504"/>
    </row>
    <row r="1389" spans="1:16" ht="15.75" customHeight="1">
      <c r="A1389" s="735" t="s">
        <v>2681</v>
      </c>
      <c r="B1389" s="731" t="s">
        <v>2680</v>
      </c>
      <c r="C1389" s="504"/>
      <c r="D1389" s="504"/>
      <c r="E1389" s="504"/>
      <c r="F1389" s="504"/>
      <c r="G1389" s="504"/>
      <c r="H1389" s="504"/>
      <c r="I1389" s="501"/>
      <c r="J1389" s="505"/>
      <c r="K1389" s="506"/>
      <c r="L1389" s="504"/>
      <c r="M1389" s="504"/>
      <c r="N1389" s="504"/>
      <c r="O1389" s="504"/>
      <c r="P1389" s="504"/>
    </row>
    <row r="1390" spans="1:16" ht="15.75" customHeight="1">
      <c r="A1390" s="735" t="s">
        <v>2681</v>
      </c>
      <c r="B1390" s="731" t="s">
        <v>2680</v>
      </c>
      <c r="C1390" s="504"/>
      <c r="D1390" s="504"/>
      <c r="E1390" s="504"/>
      <c r="F1390" s="504"/>
      <c r="G1390" s="504"/>
      <c r="H1390" s="504"/>
      <c r="I1390" s="501"/>
      <c r="J1390" s="505"/>
      <c r="K1390" s="506"/>
      <c r="L1390" s="504"/>
      <c r="M1390" s="504"/>
      <c r="N1390" s="504"/>
      <c r="O1390" s="504"/>
      <c r="P1390" s="504"/>
    </row>
    <row r="1391" spans="1:16" ht="15.75" customHeight="1">
      <c r="A1391" s="735" t="s">
        <v>2681</v>
      </c>
      <c r="B1391" s="731" t="s">
        <v>2680</v>
      </c>
      <c r="C1391" s="504"/>
      <c r="D1391" s="504"/>
      <c r="E1391" s="504"/>
      <c r="F1391" s="504"/>
      <c r="G1391" s="504"/>
      <c r="H1391" s="504"/>
      <c r="I1391" s="501"/>
      <c r="J1391" s="505"/>
      <c r="K1391" s="506"/>
      <c r="L1391" s="504"/>
      <c r="M1391" s="504"/>
      <c r="N1391" s="504"/>
      <c r="O1391" s="504"/>
      <c r="P1391" s="504"/>
    </row>
    <row r="1392" spans="1:16" ht="15.75" customHeight="1">
      <c r="A1392" s="735" t="s">
        <v>2681</v>
      </c>
      <c r="B1392" s="731" t="s">
        <v>2680</v>
      </c>
      <c r="C1392" s="504"/>
      <c r="D1392" s="504"/>
      <c r="E1392" s="504"/>
      <c r="F1392" s="504"/>
      <c r="G1392" s="504"/>
      <c r="H1392" s="504"/>
      <c r="I1392" s="501"/>
      <c r="J1392" s="505"/>
      <c r="K1392" s="506"/>
      <c r="L1392" s="504"/>
      <c r="M1392" s="504"/>
      <c r="N1392" s="504"/>
      <c r="O1392" s="504"/>
      <c r="P1392" s="504"/>
    </row>
    <row r="1393" spans="1:16" ht="15.75" customHeight="1">
      <c r="A1393" s="735" t="s">
        <v>2681</v>
      </c>
      <c r="B1393" s="731" t="s">
        <v>3364</v>
      </c>
      <c r="C1393" s="504"/>
      <c r="D1393" s="504"/>
      <c r="E1393" s="504"/>
      <c r="F1393" s="504"/>
      <c r="G1393" s="504"/>
      <c r="H1393" s="504"/>
      <c r="I1393" s="501"/>
      <c r="J1393" s="505"/>
      <c r="K1393" s="506"/>
      <c r="L1393" s="504"/>
      <c r="M1393" s="504"/>
      <c r="N1393" s="504"/>
      <c r="O1393" s="504"/>
      <c r="P1393" s="504"/>
    </row>
    <row r="1394" spans="1:16" ht="15.75" customHeight="1">
      <c r="A1394" s="735" t="s">
        <v>2681</v>
      </c>
      <c r="B1394" s="731" t="s">
        <v>3365</v>
      </c>
      <c r="C1394" s="504"/>
      <c r="D1394" s="504"/>
      <c r="E1394" s="504"/>
      <c r="F1394" s="504"/>
      <c r="G1394" s="504"/>
      <c r="H1394" s="504"/>
      <c r="I1394" s="501"/>
      <c r="J1394" s="505"/>
      <c r="K1394" s="506"/>
      <c r="L1394" s="504"/>
      <c r="M1394" s="504"/>
      <c r="N1394" s="504"/>
      <c r="O1394" s="504"/>
      <c r="P1394" s="504"/>
    </row>
    <row r="1395" spans="1:16" ht="15.75" customHeight="1">
      <c r="A1395" s="735" t="s">
        <v>2681</v>
      </c>
      <c r="B1395" s="731" t="s">
        <v>3366</v>
      </c>
      <c r="C1395" s="504"/>
      <c r="D1395" s="504"/>
      <c r="E1395" s="504"/>
      <c r="F1395" s="504"/>
      <c r="G1395" s="504"/>
      <c r="H1395" s="504"/>
      <c r="I1395" s="501"/>
      <c r="J1395" s="505"/>
      <c r="K1395" s="506"/>
      <c r="L1395" s="504"/>
      <c r="M1395" s="504"/>
      <c r="N1395" s="504"/>
      <c r="O1395" s="504"/>
      <c r="P1395" s="504"/>
    </row>
    <row r="1396" spans="1:16" ht="15.75" customHeight="1">
      <c r="A1396" s="735" t="s">
        <v>2681</v>
      </c>
      <c r="B1396" s="731" t="s">
        <v>3367</v>
      </c>
      <c r="C1396" s="504"/>
      <c r="D1396" s="504"/>
      <c r="E1396" s="504"/>
      <c r="F1396" s="504"/>
      <c r="G1396" s="504"/>
      <c r="H1396" s="504"/>
      <c r="I1396" s="501"/>
      <c r="J1396" s="505"/>
      <c r="K1396" s="506"/>
      <c r="L1396" s="504"/>
      <c r="M1396" s="504"/>
      <c r="N1396" s="504"/>
      <c r="O1396" s="504"/>
      <c r="P1396" s="504"/>
    </row>
    <row r="1397" spans="1:16" ht="15.75" customHeight="1">
      <c r="A1397" s="735" t="s">
        <v>2681</v>
      </c>
      <c r="B1397" s="731" t="s">
        <v>3368</v>
      </c>
      <c r="C1397" s="504"/>
      <c r="D1397" s="504"/>
      <c r="E1397" s="504"/>
      <c r="F1397" s="504"/>
      <c r="G1397" s="504"/>
      <c r="H1397" s="504"/>
      <c r="I1397" s="501"/>
      <c r="J1397" s="505"/>
      <c r="K1397" s="506"/>
      <c r="L1397" s="504"/>
      <c r="M1397" s="504"/>
      <c r="N1397" s="504"/>
      <c r="O1397" s="504"/>
      <c r="P1397" s="504"/>
    </row>
    <row r="1398" spans="1:16" ht="15.75" customHeight="1">
      <c r="A1398" s="735" t="s">
        <v>2681</v>
      </c>
      <c r="B1398" s="731" t="s">
        <v>3369</v>
      </c>
      <c r="C1398" s="504"/>
      <c r="D1398" s="504"/>
      <c r="E1398" s="504"/>
      <c r="F1398" s="504"/>
      <c r="G1398" s="504"/>
      <c r="H1398" s="504"/>
      <c r="I1398" s="501"/>
      <c r="J1398" s="505"/>
      <c r="K1398" s="506"/>
      <c r="L1398" s="504"/>
      <c r="M1398" s="504"/>
      <c r="N1398" s="504"/>
      <c r="O1398" s="504"/>
      <c r="P1398" s="504"/>
    </row>
    <row r="1399" spans="1:16" ht="15.75" customHeight="1">
      <c r="A1399" s="737" t="s">
        <v>2686</v>
      </c>
      <c r="B1399" s="731" t="s">
        <v>3370</v>
      </c>
      <c r="C1399" s="504"/>
      <c r="D1399" s="504"/>
      <c r="E1399" s="504"/>
      <c r="F1399" s="504"/>
      <c r="G1399" s="504"/>
      <c r="H1399" s="504"/>
      <c r="I1399" s="501"/>
      <c r="J1399" s="505"/>
      <c r="K1399" s="506"/>
      <c r="L1399" s="504"/>
      <c r="M1399" s="504"/>
      <c r="N1399" s="504"/>
      <c r="O1399" s="504"/>
      <c r="P1399" s="504"/>
    </row>
    <row r="1400" spans="1:16" ht="15.75" customHeight="1">
      <c r="A1400" s="737" t="s">
        <v>2686</v>
      </c>
      <c r="B1400" s="731" t="s">
        <v>3371</v>
      </c>
      <c r="C1400" s="504"/>
      <c r="D1400" s="504"/>
      <c r="E1400" s="504"/>
      <c r="F1400" s="504"/>
      <c r="G1400" s="504"/>
      <c r="H1400" s="504"/>
      <c r="I1400" s="501"/>
      <c r="J1400" s="505"/>
      <c r="K1400" s="506"/>
      <c r="L1400" s="504"/>
      <c r="M1400" s="504"/>
      <c r="N1400" s="504"/>
      <c r="O1400" s="504"/>
      <c r="P1400" s="504"/>
    </row>
    <row r="1401" spans="1:16" ht="15.75" customHeight="1">
      <c r="A1401" s="737" t="s">
        <v>2686</v>
      </c>
      <c r="B1401" s="731" t="s">
        <v>3372</v>
      </c>
      <c r="C1401" s="504"/>
      <c r="D1401" s="504"/>
      <c r="E1401" s="504"/>
      <c r="F1401" s="504"/>
      <c r="G1401" s="504"/>
      <c r="H1401" s="504"/>
      <c r="I1401" s="501"/>
      <c r="J1401" s="505"/>
      <c r="K1401" s="506"/>
      <c r="L1401" s="504"/>
      <c r="M1401" s="504"/>
      <c r="N1401" s="504"/>
      <c r="O1401" s="504"/>
      <c r="P1401" s="504"/>
    </row>
    <row r="1402" spans="1:16" ht="15.75" customHeight="1">
      <c r="A1402" s="737" t="s">
        <v>2686</v>
      </c>
      <c r="B1402" s="731" t="s">
        <v>3373</v>
      </c>
      <c r="C1402" s="504"/>
      <c r="D1402" s="504"/>
      <c r="E1402" s="504"/>
      <c r="F1402" s="504"/>
      <c r="G1402" s="504"/>
      <c r="H1402" s="504"/>
      <c r="I1402" s="501"/>
      <c r="J1402" s="505"/>
      <c r="K1402" s="506"/>
      <c r="L1402" s="504"/>
      <c r="M1402" s="504"/>
      <c r="N1402" s="504"/>
      <c r="O1402" s="504"/>
      <c r="P1402" s="504"/>
    </row>
    <row r="1403" spans="1:16" ht="15.75" customHeight="1">
      <c r="A1403" s="737" t="s">
        <v>2686</v>
      </c>
      <c r="B1403" s="731" t="s">
        <v>3374</v>
      </c>
      <c r="C1403" s="504"/>
      <c r="D1403" s="504"/>
      <c r="E1403" s="504"/>
      <c r="F1403" s="504"/>
      <c r="G1403" s="504"/>
      <c r="H1403" s="504"/>
      <c r="I1403" s="501"/>
      <c r="J1403" s="505"/>
      <c r="K1403" s="506"/>
      <c r="L1403" s="504"/>
      <c r="M1403" s="504"/>
      <c r="N1403" s="504"/>
      <c r="O1403" s="504"/>
      <c r="P1403" s="504"/>
    </row>
    <row r="1404" spans="1:16" ht="15.75" customHeight="1">
      <c r="A1404" s="737" t="s">
        <v>2686</v>
      </c>
      <c r="B1404" s="731" t="s">
        <v>3375</v>
      </c>
      <c r="C1404" s="504"/>
      <c r="D1404" s="504"/>
      <c r="E1404" s="504"/>
      <c r="F1404" s="504"/>
      <c r="G1404" s="504"/>
      <c r="H1404" s="504"/>
      <c r="I1404" s="501"/>
      <c r="J1404" s="505"/>
      <c r="K1404" s="506"/>
      <c r="L1404" s="504"/>
      <c r="M1404" s="504"/>
      <c r="N1404" s="504"/>
      <c r="O1404" s="504"/>
      <c r="P1404" s="504"/>
    </row>
    <row r="1405" spans="1:16" ht="15.75" customHeight="1">
      <c r="A1405" s="737" t="s">
        <v>2686</v>
      </c>
      <c r="B1405" s="731" t="s">
        <v>3376</v>
      </c>
      <c r="C1405" s="504"/>
      <c r="D1405" s="504"/>
      <c r="E1405" s="504"/>
      <c r="F1405" s="504"/>
      <c r="G1405" s="504"/>
      <c r="H1405" s="504"/>
      <c r="I1405" s="501"/>
      <c r="J1405" s="505"/>
      <c r="K1405" s="506"/>
      <c r="L1405" s="504"/>
      <c r="M1405" s="504"/>
      <c r="N1405" s="504"/>
      <c r="O1405" s="504"/>
      <c r="P1405" s="504"/>
    </row>
    <row r="1406" spans="1:16" ht="15.75" customHeight="1">
      <c r="A1406" s="737" t="s">
        <v>2686</v>
      </c>
      <c r="B1406" s="731" t="s">
        <v>3377</v>
      </c>
      <c r="C1406" s="504"/>
      <c r="D1406" s="504"/>
      <c r="E1406" s="504"/>
      <c r="F1406" s="504"/>
      <c r="G1406" s="504"/>
      <c r="H1406" s="504"/>
      <c r="I1406" s="501"/>
      <c r="J1406" s="505"/>
      <c r="K1406" s="506"/>
      <c r="L1406" s="504"/>
      <c r="M1406" s="504"/>
      <c r="N1406" s="504"/>
      <c r="O1406" s="504"/>
      <c r="P1406" s="504"/>
    </row>
    <row r="1407" spans="1:16" ht="15.75" customHeight="1">
      <c r="A1407" s="737" t="s">
        <v>2686</v>
      </c>
      <c r="B1407" s="731" t="s">
        <v>3378</v>
      </c>
      <c r="C1407" s="504"/>
      <c r="D1407" s="504"/>
      <c r="E1407" s="504"/>
      <c r="F1407" s="504"/>
      <c r="G1407" s="504"/>
      <c r="H1407" s="504"/>
      <c r="I1407" s="501"/>
      <c r="J1407" s="505"/>
      <c r="K1407" s="506"/>
      <c r="L1407" s="504"/>
      <c r="M1407" s="504"/>
      <c r="N1407" s="504"/>
      <c r="O1407" s="504"/>
      <c r="P1407" s="504"/>
    </row>
    <row r="1408" spans="1:16" ht="15.75" customHeight="1">
      <c r="A1408" s="737" t="s">
        <v>2686</v>
      </c>
      <c r="B1408" s="731" t="s">
        <v>2680</v>
      </c>
      <c r="C1408" s="504"/>
      <c r="D1408" s="504"/>
      <c r="E1408" s="504"/>
      <c r="F1408" s="504"/>
      <c r="G1408" s="504"/>
      <c r="H1408" s="504"/>
      <c r="I1408" s="501"/>
      <c r="J1408" s="505"/>
      <c r="K1408" s="506"/>
      <c r="L1408" s="504"/>
      <c r="M1408" s="504"/>
      <c r="N1408" s="504"/>
      <c r="O1408" s="504"/>
      <c r="P1408" s="504"/>
    </row>
    <row r="1409" spans="1:16" ht="15.75" customHeight="1">
      <c r="A1409" s="738" t="s">
        <v>2691</v>
      </c>
      <c r="B1409" s="731" t="s">
        <v>2680</v>
      </c>
      <c r="C1409" s="504"/>
      <c r="D1409" s="504"/>
      <c r="E1409" s="504"/>
      <c r="F1409" s="504"/>
      <c r="G1409" s="504"/>
      <c r="H1409" s="504"/>
      <c r="I1409" s="501"/>
      <c r="J1409" s="505"/>
      <c r="K1409" s="506"/>
      <c r="L1409" s="504"/>
      <c r="M1409" s="504"/>
      <c r="N1409" s="504"/>
      <c r="O1409" s="504"/>
      <c r="P1409" s="504"/>
    </row>
    <row r="1410" spans="1:16" ht="15.75" customHeight="1">
      <c r="A1410" s="738" t="s">
        <v>2691</v>
      </c>
      <c r="B1410" s="731" t="s">
        <v>3379</v>
      </c>
      <c r="C1410" s="504"/>
      <c r="D1410" s="504"/>
      <c r="E1410" s="504"/>
      <c r="F1410" s="504"/>
      <c r="G1410" s="504"/>
      <c r="H1410" s="504"/>
      <c r="I1410" s="501"/>
      <c r="J1410" s="505"/>
      <c r="K1410" s="506"/>
      <c r="L1410" s="504"/>
      <c r="M1410" s="504"/>
      <c r="N1410" s="504"/>
      <c r="O1410" s="504"/>
      <c r="P1410" s="504"/>
    </row>
    <row r="1411" spans="1:16" ht="15.75" customHeight="1">
      <c r="A1411" s="738" t="s">
        <v>2691</v>
      </c>
      <c r="B1411" s="731" t="s">
        <v>3380</v>
      </c>
      <c r="C1411" s="504"/>
      <c r="D1411" s="504"/>
      <c r="E1411" s="504"/>
      <c r="F1411" s="504"/>
      <c r="G1411" s="504"/>
      <c r="H1411" s="504"/>
      <c r="I1411" s="501"/>
      <c r="J1411" s="505"/>
      <c r="K1411" s="506"/>
      <c r="L1411" s="504"/>
      <c r="M1411" s="504"/>
      <c r="N1411" s="504"/>
      <c r="O1411" s="504"/>
      <c r="P1411" s="504"/>
    </row>
    <row r="1412" spans="1:16" ht="15.75" customHeight="1">
      <c r="A1412" s="738" t="s">
        <v>2691</v>
      </c>
      <c r="B1412" s="731" t="s">
        <v>3381</v>
      </c>
      <c r="C1412" s="504"/>
      <c r="D1412" s="504"/>
      <c r="E1412" s="504"/>
      <c r="F1412" s="504"/>
      <c r="G1412" s="504"/>
      <c r="H1412" s="504"/>
      <c r="I1412" s="501"/>
      <c r="J1412" s="505"/>
      <c r="K1412" s="506"/>
      <c r="L1412" s="504"/>
      <c r="M1412" s="504"/>
      <c r="N1412" s="504"/>
      <c r="O1412" s="504"/>
      <c r="P1412" s="504"/>
    </row>
    <row r="1413" spans="1:16" ht="15.75" customHeight="1">
      <c r="A1413" s="738" t="s">
        <v>2691</v>
      </c>
      <c r="B1413" s="731" t="s">
        <v>3382</v>
      </c>
      <c r="C1413" s="504"/>
      <c r="D1413" s="504"/>
      <c r="E1413" s="504"/>
      <c r="F1413" s="504"/>
      <c r="G1413" s="504"/>
      <c r="H1413" s="504"/>
      <c r="I1413" s="501"/>
      <c r="J1413" s="505"/>
      <c r="K1413" s="506"/>
      <c r="L1413" s="504"/>
      <c r="M1413" s="504"/>
      <c r="N1413" s="504"/>
      <c r="O1413" s="504"/>
      <c r="P1413" s="504"/>
    </row>
    <row r="1414" spans="1:16" ht="15.75" customHeight="1">
      <c r="A1414" s="742"/>
      <c r="B1414" s="559"/>
      <c r="C1414" s="504"/>
      <c r="D1414" s="504"/>
      <c r="E1414" s="504"/>
      <c r="F1414" s="504"/>
      <c r="G1414" s="504"/>
      <c r="H1414" s="504"/>
      <c r="I1414" s="501"/>
      <c r="J1414" s="505"/>
      <c r="K1414" s="506"/>
      <c r="L1414" s="504"/>
      <c r="M1414" s="504"/>
      <c r="N1414" s="504"/>
      <c r="O1414" s="504"/>
      <c r="P1414" s="504"/>
    </row>
    <row r="1415" spans="1:16" ht="15.75" customHeight="1">
      <c r="A1415" s="728" t="s">
        <v>3383</v>
      </c>
      <c r="B1415" s="559"/>
      <c r="C1415" s="504"/>
      <c r="D1415" s="504"/>
      <c r="E1415" s="504"/>
      <c r="F1415" s="504"/>
      <c r="G1415" s="504"/>
      <c r="H1415" s="504"/>
      <c r="I1415" s="501"/>
      <c r="J1415" s="505"/>
      <c r="K1415" s="506"/>
      <c r="L1415" s="504"/>
      <c r="M1415" s="504"/>
      <c r="N1415" s="504"/>
      <c r="O1415" s="504"/>
      <c r="P1415" s="504"/>
    </row>
    <row r="1416" spans="1:16" ht="15.75" customHeight="1">
      <c r="A1416" s="730"/>
      <c r="B1416" s="730"/>
      <c r="C1416" s="504"/>
      <c r="D1416" s="504"/>
      <c r="E1416" s="504"/>
      <c r="F1416" s="504"/>
      <c r="G1416" s="504"/>
      <c r="H1416" s="504"/>
      <c r="I1416" s="501"/>
      <c r="J1416" s="505"/>
      <c r="K1416" s="506"/>
      <c r="L1416" s="504"/>
      <c r="M1416" s="504"/>
      <c r="N1416" s="504"/>
      <c r="O1416" s="504"/>
      <c r="P1416" s="504"/>
    </row>
    <row r="1417" spans="1:16" ht="15.75" customHeight="1">
      <c r="A1417" s="729" t="s">
        <v>3384</v>
      </c>
      <c r="B1417" s="731" t="s">
        <v>3385</v>
      </c>
      <c r="C1417" s="504"/>
      <c r="D1417" s="504"/>
      <c r="E1417" s="504"/>
      <c r="F1417" s="504"/>
      <c r="G1417" s="504"/>
      <c r="H1417" s="504"/>
      <c r="I1417" s="501"/>
      <c r="J1417" s="505"/>
      <c r="K1417" s="506"/>
      <c r="L1417" s="504"/>
      <c r="M1417" s="504"/>
      <c r="N1417" s="504"/>
      <c r="O1417" s="504"/>
      <c r="P1417" s="504"/>
    </row>
    <row r="1418" spans="1:16" ht="15.75" customHeight="1">
      <c r="A1418" s="730"/>
      <c r="B1418" s="730"/>
      <c r="C1418" s="504"/>
      <c r="D1418" s="504"/>
      <c r="E1418" s="504"/>
      <c r="F1418" s="504"/>
      <c r="G1418" s="504"/>
      <c r="H1418" s="504"/>
      <c r="I1418" s="501"/>
      <c r="J1418" s="505"/>
      <c r="K1418" s="506"/>
      <c r="L1418" s="504"/>
      <c r="M1418" s="504"/>
      <c r="N1418" s="504"/>
      <c r="O1418" s="504"/>
      <c r="P1418" s="504"/>
    </row>
    <row r="1419" spans="1:16" ht="15.75" customHeight="1">
      <c r="A1419" s="737" t="s">
        <v>2686</v>
      </c>
      <c r="B1419" s="731" t="s">
        <v>3386</v>
      </c>
      <c r="C1419" s="504"/>
      <c r="D1419" s="504"/>
      <c r="E1419" s="504"/>
      <c r="F1419" s="504"/>
      <c r="G1419" s="504"/>
      <c r="H1419" s="504"/>
      <c r="I1419" s="501"/>
      <c r="J1419" s="505"/>
      <c r="K1419" s="506"/>
      <c r="L1419" s="504"/>
      <c r="M1419" s="504"/>
      <c r="N1419" s="504"/>
      <c r="O1419" s="504"/>
      <c r="P1419" s="504"/>
    </row>
    <row r="1420" spans="1:16" ht="15.75" customHeight="1">
      <c r="A1420" s="737" t="s">
        <v>2686</v>
      </c>
      <c r="B1420" s="731" t="s">
        <v>3387</v>
      </c>
      <c r="C1420" s="504"/>
      <c r="D1420" s="504"/>
      <c r="E1420" s="504"/>
      <c r="F1420" s="504"/>
      <c r="G1420" s="504"/>
      <c r="H1420" s="504"/>
      <c r="I1420" s="501"/>
      <c r="J1420" s="505"/>
      <c r="K1420" s="506"/>
      <c r="L1420" s="504"/>
      <c r="M1420" s="504"/>
      <c r="N1420" s="504"/>
      <c r="O1420" s="504"/>
      <c r="P1420" s="504"/>
    </row>
    <row r="1421" spans="1:16" ht="15.75" customHeight="1">
      <c r="A1421" s="737" t="s">
        <v>2686</v>
      </c>
      <c r="B1421" s="731" t="s">
        <v>3388</v>
      </c>
      <c r="C1421" s="504"/>
      <c r="D1421" s="504"/>
      <c r="E1421" s="504"/>
      <c r="F1421" s="504"/>
      <c r="G1421" s="504"/>
      <c r="H1421" s="504"/>
      <c r="I1421" s="501"/>
      <c r="J1421" s="505"/>
      <c r="K1421" s="506"/>
      <c r="L1421" s="504"/>
      <c r="M1421" s="504"/>
      <c r="N1421" s="504"/>
      <c r="O1421" s="504"/>
      <c r="P1421" s="504"/>
    </row>
    <row r="1422" spans="1:16" ht="15.75" customHeight="1">
      <c r="A1422" s="737" t="s">
        <v>2686</v>
      </c>
      <c r="B1422" s="731" t="s">
        <v>3389</v>
      </c>
      <c r="C1422" s="504"/>
      <c r="D1422" s="504"/>
      <c r="E1422" s="504"/>
      <c r="F1422" s="504"/>
      <c r="G1422" s="504"/>
      <c r="H1422" s="504"/>
      <c r="I1422" s="501"/>
      <c r="J1422" s="505"/>
      <c r="K1422" s="506"/>
      <c r="L1422" s="504"/>
      <c r="M1422" s="504"/>
      <c r="N1422" s="504"/>
      <c r="O1422" s="504"/>
      <c r="P1422" s="504"/>
    </row>
    <row r="1423" spans="1:16" ht="15.75" customHeight="1">
      <c r="A1423" s="737" t="s">
        <v>2686</v>
      </c>
      <c r="B1423" s="731" t="s">
        <v>3390</v>
      </c>
      <c r="C1423" s="504"/>
      <c r="D1423" s="504"/>
      <c r="E1423" s="504"/>
      <c r="F1423" s="504"/>
      <c r="G1423" s="504"/>
      <c r="H1423" s="504"/>
      <c r="I1423" s="501"/>
      <c r="J1423" s="505"/>
      <c r="K1423" s="506"/>
      <c r="L1423" s="504"/>
      <c r="M1423" s="504"/>
      <c r="N1423" s="504"/>
      <c r="O1423" s="504"/>
      <c r="P1423" s="504"/>
    </row>
    <row r="1424" spans="1:16" ht="15.75" customHeight="1">
      <c r="A1424" s="737" t="s">
        <v>2686</v>
      </c>
      <c r="B1424" s="731" t="s">
        <v>3391</v>
      </c>
      <c r="C1424" s="504"/>
      <c r="D1424" s="504"/>
      <c r="E1424" s="504"/>
      <c r="F1424" s="504"/>
      <c r="G1424" s="504"/>
      <c r="H1424" s="504"/>
      <c r="I1424" s="501"/>
      <c r="J1424" s="505"/>
      <c r="K1424" s="506"/>
      <c r="L1424" s="504"/>
      <c r="M1424" s="504"/>
      <c r="N1424" s="504"/>
      <c r="O1424" s="504"/>
      <c r="P1424" s="504"/>
    </row>
    <row r="1425" spans="1:16" ht="15.75" customHeight="1">
      <c r="A1425" s="737" t="s">
        <v>2686</v>
      </c>
      <c r="B1425" s="731" t="s">
        <v>3392</v>
      </c>
      <c r="C1425" s="504"/>
      <c r="D1425" s="504"/>
      <c r="E1425" s="504"/>
      <c r="F1425" s="504"/>
      <c r="G1425" s="504"/>
      <c r="H1425" s="504"/>
      <c r="I1425" s="501"/>
      <c r="J1425" s="505"/>
      <c r="K1425" s="506"/>
      <c r="L1425" s="504"/>
      <c r="M1425" s="504"/>
      <c r="N1425" s="504"/>
      <c r="O1425" s="504"/>
      <c r="P1425" s="504"/>
    </row>
    <row r="1426" spans="1:16" ht="15.75" customHeight="1">
      <c r="A1426" s="737" t="s">
        <v>2686</v>
      </c>
      <c r="B1426" s="731" t="s">
        <v>3393</v>
      </c>
      <c r="C1426" s="504"/>
      <c r="D1426" s="504"/>
      <c r="E1426" s="504"/>
      <c r="F1426" s="504"/>
      <c r="G1426" s="504"/>
      <c r="H1426" s="504"/>
      <c r="I1426" s="501"/>
      <c r="J1426" s="505"/>
      <c r="K1426" s="506"/>
      <c r="L1426" s="504"/>
      <c r="M1426" s="504"/>
      <c r="N1426" s="504"/>
      <c r="O1426" s="504"/>
      <c r="P1426" s="504"/>
    </row>
    <row r="1427" spans="1:16" ht="15.75" customHeight="1">
      <c r="A1427" s="737" t="s">
        <v>2686</v>
      </c>
      <c r="B1427" s="731" t="s">
        <v>3394</v>
      </c>
      <c r="C1427" s="504"/>
      <c r="D1427" s="504"/>
      <c r="E1427" s="504"/>
      <c r="F1427" s="504"/>
      <c r="G1427" s="504"/>
      <c r="H1427" s="504"/>
      <c r="I1427" s="501"/>
      <c r="J1427" s="505"/>
      <c r="K1427" s="506"/>
      <c r="L1427" s="504"/>
      <c r="M1427" s="504"/>
      <c r="N1427" s="504"/>
      <c r="O1427" s="504"/>
      <c r="P1427" s="504"/>
    </row>
    <row r="1428" spans="1:16" ht="15.75" customHeight="1">
      <c r="A1428" s="737" t="s">
        <v>2686</v>
      </c>
      <c r="B1428" s="731" t="s">
        <v>3395</v>
      </c>
      <c r="C1428" s="504"/>
      <c r="D1428" s="504"/>
      <c r="E1428" s="504"/>
      <c r="F1428" s="504"/>
      <c r="G1428" s="504"/>
      <c r="H1428" s="504"/>
      <c r="I1428" s="501"/>
      <c r="J1428" s="505"/>
      <c r="K1428" s="506"/>
      <c r="L1428" s="504"/>
      <c r="M1428" s="504"/>
      <c r="N1428" s="504"/>
      <c r="O1428" s="504"/>
      <c r="P1428" s="504"/>
    </row>
    <row r="1429" spans="1:16" ht="15.75" customHeight="1">
      <c r="A1429" s="737" t="s">
        <v>2686</v>
      </c>
      <c r="B1429" s="731" t="s">
        <v>3396</v>
      </c>
      <c r="C1429" s="504"/>
      <c r="D1429" s="504"/>
      <c r="E1429" s="504"/>
      <c r="F1429" s="504"/>
      <c r="G1429" s="504"/>
      <c r="H1429" s="504"/>
      <c r="I1429" s="501"/>
      <c r="J1429" s="505"/>
      <c r="K1429" s="506"/>
      <c r="L1429" s="504"/>
      <c r="M1429" s="504"/>
      <c r="N1429" s="504"/>
      <c r="O1429" s="504"/>
      <c r="P1429" s="504"/>
    </row>
    <row r="1430" spans="1:16" ht="15.75" customHeight="1">
      <c r="A1430" s="737" t="s">
        <v>2686</v>
      </c>
      <c r="B1430" s="731" t="s">
        <v>3397</v>
      </c>
      <c r="C1430" s="504"/>
      <c r="D1430" s="504"/>
      <c r="E1430" s="504"/>
      <c r="F1430" s="504"/>
      <c r="G1430" s="504"/>
      <c r="H1430" s="504"/>
      <c r="I1430" s="501"/>
      <c r="J1430" s="505"/>
      <c r="K1430" s="506"/>
      <c r="L1430" s="504"/>
      <c r="M1430" s="504"/>
      <c r="N1430" s="504"/>
      <c r="O1430" s="504"/>
      <c r="P1430" s="504"/>
    </row>
    <row r="1431" spans="1:16" ht="15.75" customHeight="1">
      <c r="A1431" s="737" t="s">
        <v>2686</v>
      </c>
      <c r="B1431" s="731" t="s">
        <v>3398</v>
      </c>
      <c r="C1431" s="504"/>
      <c r="D1431" s="504"/>
      <c r="E1431" s="504"/>
      <c r="F1431" s="504"/>
      <c r="G1431" s="504"/>
      <c r="H1431" s="504"/>
      <c r="I1431" s="501"/>
      <c r="J1431" s="505"/>
      <c r="K1431" s="506"/>
      <c r="L1431" s="504"/>
      <c r="M1431" s="504"/>
      <c r="N1431" s="504"/>
      <c r="O1431" s="504"/>
      <c r="P1431" s="504"/>
    </row>
    <row r="1432" spans="1:16" ht="15.75" customHeight="1">
      <c r="A1432" s="737" t="s">
        <v>2686</v>
      </c>
      <c r="B1432" s="736" t="s">
        <v>3399</v>
      </c>
      <c r="C1432" s="504"/>
      <c r="D1432" s="504"/>
      <c r="E1432" s="504"/>
      <c r="F1432" s="504"/>
      <c r="G1432" s="504"/>
      <c r="H1432" s="504"/>
      <c r="I1432" s="501"/>
      <c r="J1432" s="505"/>
      <c r="K1432" s="506"/>
      <c r="L1432" s="504"/>
      <c r="M1432" s="504"/>
      <c r="N1432" s="504"/>
      <c r="O1432" s="504"/>
      <c r="P1432" s="504"/>
    </row>
    <row r="1433" spans="1:16" ht="15.75" customHeight="1">
      <c r="A1433" s="737" t="s">
        <v>2686</v>
      </c>
      <c r="B1433" s="736" t="s">
        <v>3400</v>
      </c>
      <c r="C1433" s="504"/>
      <c r="D1433" s="504"/>
      <c r="E1433" s="504"/>
      <c r="F1433" s="504"/>
      <c r="G1433" s="504"/>
      <c r="H1433" s="504"/>
      <c r="I1433" s="501"/>
      <c r="J1433" s="505"/>
      <c r="K1433" s="506"/>
      <c r="L1433" s="504"/>
      <c r="M1433" s="504"/>
      <c r="N1433" s="504"/>
      <c r="O1433" s="504"/>
      <c r="P1433" s="504"/>
    </row>
    <row r="1434" spans="1:16" ht="15.75" customHeight="1">
      <c r="A1434" s="737" t="s">
        <v>2686</v>
      </c>
      <c r="B1434" s="736" t="s">
        <v>3401</v>
      </c>
      <c r="C1434" s="504"/>
      <c r="D1434" s="504"/>
      <c r="E1434" s="504"/>
      <c r="F1434" s="504"/>
      <c r="G1434" s="504"/>
      <c r="H1434" s="504"/>
      <c r="I1434" s="501"/>
      <c r="J1434" s="505"/>
      <c r="K1434" s="506"/>
      <c r="L1434" s="504"/>
      <c r="M1434" s="504"/>
      <c r="N1434" s="504"/>
      <c r="O1434" s="504"/>
      <c r="P1434" s="504"/>
    </row>
    <row r="1435" spans="1:16" ht="15.75" customHeight="1">
      <c r="A1435" s="737" t="s">
        <v>2686</v>
      </c>
      <c r="B1435" s="736" t="s">
        <v>3402</v>
      </c>
      <c r="C1435" s="504"/>
      <c r="D1435" s="504"/>
      <c r="E1435" s="504"/>
      <c r="F1435" s="504"/>
      <c r="G1435" s="504"/>
      <c r="H1435" s="504"/>
      <c r="I1435" s="501"/>
      <c r="J1435" s="505"/>
      <c r="K1435" s="506"/>
      <c r="L1435" s="504"/>
      <c r="M1435" s="504"/>
      <c r="N1435" s="504"/>
      <c r="O1435" s="504"/>
      <c r="P1435" s="504"/>
    </row>
    <row r="1436" spans="1:16" ht="15.75" customHeight="1">
      <c r="A1436" s="737" t="s">
        <v>2686</v>
      </c>
      <c r="B1436" s="736" t="s">
        <v>3403</v>
      </c>
      <c r="C1436" s="504"/>
      <c r="D1436" s="504"/>
      <c r="E1436" s="504"/>
      <c r="F1436" s="504"/>
      <c r="G1436" s="504"/>
      <c r="H1436" s="504"/>
      <c r="I1436" s="501"/>
      <c r="J1436" s="505"/>
      <c r="K1436" s="506"/>
      <c r="L1436" s="504"/>
      <c r="M1436" s="504"/>
      <c r="N1436" s="504"/>
      <c r="O1436" s="504"/>
      <c r="P1436" s="504"/>
    </row>
    <row r="1437" spans="1:16" ht="15.75" customHeight="1">
      <c r="A1437" s="737" t="s">
        <v>2686</v>
      </c>
      <c r="B1437" s="736" t="s">
        <v>3404</v>
      </c>
      <c r="C1437" s="504"/>
      <c r="D1437" s="504"/>
      <c r="E1437" s="504"/>
      <c r="F1437" s="504"/>
      <c r="G1437" s="504"/>
      <c r="H1437" s="504"/>
      <c r="I1437" s="501"/>
      <c r="J1437" s="505"/>
      <c r="K1437" s="506"/>
      <c r="L1437" s="504"/>
      <c r="M1437" s="504"/>
      <c r="N1437" s="504"/>
      <c r="O1437" s="504"/>
      <c r="P1437" s="504"/>
    </row>
    <row r="1438" spans="1:16" ht="15.75" customHeight="1">
      <c r="A1438" s="737" t="s">
        <v>2686</v>
      </c>
      <c r="B1438" s="736" t="s">
        <v>3405</v>
      </c>
      <c r="C1438" s="504"/>
      <c r="D1438" s="504"/>
      <c r="E1438" s="504"/>
      <c r="F1438" s="504"/>
      <c r="G1438" s="504"/>
      <c r="H1438" s="504"/>
      <c r="I1438" s="501"/>
      <c r="J1438" s="505"/>
      <c r="K1438" s="506"/>
      <c r="L1438" s="504"/>
      <c r="M1438" s="504"/>
      <c r="N1438" s="504"/>
      <c r="O1438" s="504"/>
      <c r="P1438" s="504"/>
    </row>
    <row r="1439" spans="1:16" ht="15.75" customHeight="1">
      <c r="A1439" s="737" t="s">
        <v>2686</v>
      </c>
      <c r="B1439" s="736" t="s">
        <v>3406</v>
      </c>
      <c r="C1439" s="504"/>
      <c r="D1439" s="504"/>
      <c r="E1439" s="504"/>
      <c r="F1439" s="504"/>
      <c r="G1439" s="504"/>
      <c r="H1439" s="504"/>
      <c r="I1439" s="501"/>
      <c r="J1439" s="505"/>
      <c r="K1439" s="506"/>
      <c r="L1439" s="504"/>
      <c r="M1439" s="504"/>
      <c r="N1439" s="504"/>
      <c r="O1439" s="504"/>
      <c r="P1439" s="504"/>
    </row>
    <row r="1440" spans="1:16" ht="15.75" customHeight="1">
      <c r="A1440" s="737" t="s">
        <v>2686</v>
      </c>
      <c r="B1440" s="736" t="s">
        <v>3407</v>
      </c>
      <c r="C1440" s="504"/>
      <c r="D1440" s="504"/>
      <c r="E1440" s="504"/>
      <c r="F1440" s="504"/>
      <c r="G1440" s="504"/>
      <c r="H1440" s="504"/>
      <c r="I1440" s="501"/>
      <c r="J1440" s="505"/>
      <c r="K1440" s="506"/>
      <c r="L1440" s="504"/>
      <c r="M1440" s="504"/>
      <c r="N1440" s="504"/>
      <c r="O1440" s="504"/>
      <c r="P1440" s="504"/>
    </row>
    <row r="1441" spans="1:16" ht="15.75" customHeight="1">
      <c r="A1441" s="737" t="s">
        <v>2686</v>
      </c>
      <c r="B1441" s="731" t="s">
        <v>3408</v>
      </c>
      <c r="C1441" s="504"/>
      <c r="D1441" s="504"/>
      <c r="E1441" s="504"/>
      <c r="F1441" s="504"/>
      <c r="G1441" s="504"/>
      <c r="H1441" s="504"/>
      <c r="I1441" s="501"/>
      <c r="J1441" s="505"/>
      <c r="K1441" s="506"/>
      <c r="L1441" s="504"/>
      <c r="M1441" s="504"/>
      <c r="N1441" s="504"/>
      <c r="O1441" s="504"/>
      <c r="P1441" s="504"/>
    </row>
    <row r="1442" spans="1:16" ht="15.75" customHeight="1">
      <c r="A1442" s="737" t="s">
        <v>2686</v>
      </c>
      <c r="B1442" s="731" t="s">
        <v>3409</v>
      </c>
      <c r="C1442" s="504"/>
      <c r="D1442" s="504"/>
      <c r="E1442" s="504"/>
      <c r="F1442" s="504"/>
      <c r="G1442" s="504"/>
      <c r="H1442" s="504"/>
      <c r="I1442" s="501"/>
      <c r="J1442" s="505"/>
      <c r="K1442" s="506"/>
      <c r="L1442" s="504"/>
      <c r="M1442" s="504"/>
      <c r="N1442" s="504"/>
      <c r="O1442" s="504"/>
      <c r="P1442" s="504"/>
    </row>
    <row r="1443" spans="1:16" ht="15.75" customHeight="1">
      <c r="A1443" s="737" t="s">
        <v>2686</v>
      </c>
      <c r="B1443" s="731" t="s">
        <v>3410</v>
      </c>
      <c r="C1443" s="504"/>
      <c r="D1443" s="504"/>
      <c r="E1443" s="504"/>
      <c r="F1443" s="504"/>
      <c r="G1443" s="504"/>
      <c r="H1443" s="504"/>
      <c r="I1443" s="501"/>
      <c r="J1443" s="505"/>
      <c r="K1443" s="506"/>
      <c r="L1443" s="504"/>
      <c r="M1443" s="504"/>
      <c r="N1443" s="504"/>
      <c r="O1443" s="504"/>
      <c r="P1443" s="504"/>
    </row>
    <row r="1444" spans="1:16" ht="15.75" customHeight="1">
      <c r="A1444" s="737" t="s">
        <v>2686</v>
      </c>
      <c r="B1444" s="731" t="s">
        <v>3411</v>
      </c>
      <c r="C1444" s="504"/>
      <c r="D1444" s="504"/>
      <c r="E1444" s="504"/>
      <c r="F1444" s="504"/>
      <c r="G1444" s="504"/>
      <c r="H1444" s="504"/>
      <c r="I1444" s="501"/>
      <c r="J1444" s="505"/>
      <c r="K1444" s="506"/>
      <c r="L1444" s="504"/>
      <c r="M1444" s="504"/>
      <c r="N1444" s="504"/>
      <c r="O1444" s="504"/>
      <c r="P1444" s="504"/>
    </row>
    <row r="1445" spans="1:16" ht="15.75" customHeight="1">
      <c r="A1445" s="737" t="s">
        <v>2686</v>
      </c>
      <c r="B1445" s="731" t="s">
        <v>3412</v>
      </c>
      <c r="C1445" s="504"/>
      <c r="D1445" s="504"/>
      <c r="E1445" s="504"/>
      <c r="F1445" s="504"/>
      <c r="G1445" s="504"/>
      <c r="H1445" s="504"/>
      <c r="I1445" s="501"/>
      <c r="J1445" s="505"/>
      <c r="K1445" s="506"/>
      <c r="L1445" s="504"/>
      <c r="M1445" s="504"/>
      <c r="N1445" s="504"/>
      <c r="O1445" s="504"/>
      <c r="P1445" s="504"/>
    </row>
    <row r="1446" spans="1:16" ht="15.75" customHeight="1">
      <c r="A1446" s="737" t="s">
        <v>2686</v>
      </c>
      <c r="B1446" s="731" t="s">
        <v>3413</v>
      </c>
      <c r="C1446" s="504"/>
      <c r="D1446" s="504"/>
      <c r="E1446" s="504"/>
      <c r="F1446" s="504"/>
      <c r="G1446" s="504"/>
      <c r="H1446" s="504"/>
      <c r="I1446" s="501"/>
      <c r="J1446" s="505"/>
      <c r="K1446" s="506"/>
      <c r="L1446" s="504"/>
      <c r="M1446" s="504"/>
      <c r="N1446" s="504"/>
      <c r="O1446" s="504"/>
      <c r="P1446" s="504"/>
    </row>
    <row r="1447" spans="1:16" ht="15.75" customHeight="1">
      <c r="A1447" s="737" t="s">
        <v>2686</v>
      </c>
      <c r="B1447" s="731" t="s">
        <v>3414</v>
      </c>
      <c r="C1447" s="504"/>
      <c r="D1447" s="504"/>
      <c r="E1447" s="504"/>
      <c r="F1447" s="504"/>
      <c r="G1447" s="504"/>
      <c r="H1447" s="504"/>
      <c r="I1447" s="501"/>
      <c r="J1447" s="505"/>
      <c r="K1447" s="506"/>
      <c r="L1447" s="504"/>
      <c r="M1447" s="504"/>
      <c r="N1447" s="504"/>
      <c r="O1447" s="504"/>
      <c r="P1447" s="504"/>
    </row>
    <row r="1448" spans="1:16" ht="15.75" customHeight="1">
      <c r="A1448" s="737" t="s">
        <v>2686</v>
      </c>
      <c r="B1448" s="731" t="s">
        <v>3415</v>
      </c>
      <c r="C1448" s="504"/>
      <c r="D1448" s="504"/>
      <c r="E1448" s="504"/>
      <c r="F1448" s="504"/>
      <c r="G1448" s="504"/>
      <c r="H1448" s="504"/>
      <c r="I1448" s="501"/>
      <c r="J1448" s="505"/>
      <c r="K1448" s="506"/>
      <c r="L1448" s="504"/>
      <c r="M1448" s="504"/>
      <c r="N1448" s="504"/>
      <c r="O1448" s="504"/>
      <c r="P1448" s="504"/>
    </row>
    <row r="1449" spans="1:16" ht="15.75" customHeight="1">
      <c r="A1449" s="737" t="s">
        <v>2686</v>
      </c>
      <c r="B1449" s="736" t="s">
        <v>3416</v>
      </c>
      <c r="C1449" s="504"/>
      <c r="D1449" s="504"/>
      <c r="E1449" s="504"/>
      <c r="F1449" s="504"/>
      <c r="G1449" s="504"/>
      <c r="H1449" s="504"/>
      <c r="I1449" s="501"/>
      <c r="J1449" s="505"/>
      <c r="K1449" s="506"/>
      <c r="L1449" s="504"/>
      <c r="M1449" s="504"/>
      <c r="N1449" s="504"/>
      <c r="O1449" s="504"/>
      <c r="P1449" s="504"/>
    </row>
    <row r="1450" spans="1:16" ht="15.75" customHeight="1">
      <c r="A1450" s="737" t="s">
        <v>2686</v>
      </c>
      <c r="B1450" s="731" t="s">
        <v>3417</v>
      </c>
      <c r="C1450" s="504"/>
      <c r="D1450" s="504"/>
      <c r="E1450" s="504"/>
      <c r="F1450" s="504"/>
      <c r="G1450" s="504"/>
      <c r="H1450" s="504"/>
      <c r="I1450" s="501"/>
      <c r="J1450" s="505"/>
      <c r="K1450" s="506"/>
      <c r="L1450" s="504"/>
      <c r="M1450" s="504"/>
      <c r="N1450" s="504"/>
      <c r="O1450" s="504"/>
      <c r="P1450" s="504"/>
    </row>
    <row r="1451" spans="1:16" ht="15.75" customHeight="1">
      <c r="A1451" s="737" t="s">
        <v>2686</v>
      </c>
      <c r="B1451" s="731" t="s">
        <v>3418</v>
      </c>
      <c r="C1451" s="504"/>
      <c r="D1451" s="504"/>
      <c r="E1451" s="504"/>
      <c r="F1451" s="504"/>
      <c r="G1451" s="504"/>
      <c r="H1451" s="504"/>
      <c r="I1451" s="501"/>
      <c r="J1451" s="505"/>
      <c r="K1451" s="506"/>
      <c r="L1451" s="504"/>
      <c r="M1451" s="504"/>
      <c r="N1451" s="504"/>
      <c r="O1451" s="504"/>
      <c r="P1451" s="504"/>
    </row>
    <row r="1452" spans="1:16" ht="15.75" customHeight="1">
      <c r="A1452" s="737" t="s">
        <v>2686</v>
      </c>
      <c r="B1452" s="731" t="s">
        <v>3419</v>
      </c>
      <c r="C1452" s="504"/>
      <c r="D1452" s="504"/>
      <c r="E1452" s="504"/>
      <c r="F1452" s="504"/>
      <c r="G1452" s="504"/>
      <c r="H1452" s="504"/>
      <c r="I1452" s="501"/>
      <c r="J1452" s="505"/>
      <c r="K1452" s="506"/>
      <c r="L1452" s="504"/>
      <c r="M1452" s="504"/>
      <c r="N1452" s="504"/>
      <c r="O1452" s="504"/>
      <c r="P1452" s="504"/>
    </row>
    <row r="1453" spans="1:16" ht="15.75" customHeight="1">
      <c r="A1453" s="737" t="s">
        <v>2686</v>
      </c>
      <c r="B1453" s="731" t="s">
        <v>3420</v>
      </c>
      <c r="C1453" s="504"/>
      <c r="D1453" s="504"/>
      <c r="E1453" s="504"/>
      <c r="F1453" s="504"/>
      <c r="G1453" s="504"/>
      <c r="H1453" s="504"/>
      <c r="I1453" s="501"/>
      <c r="J1453" s="505"/>
      <c r="K1453" s="506"/>
      <c r="L1453" s="504"/>
      <c r="M1453" s="504"/>
      <c r="N1453" s="504"/>
      <c r="O1453" s="504"/>
      <c r="P1453" s="504"/>
    </row>
    <row r="1454" spans="1:16" ht="15.75" customHeight="1">
      <c r="A1454" s="737" t="s">
        <v>2686</v>
      </c>
      <c r="B1454" s="731" t="s">
        <v>5817</v>
      </c>
      <c r="C1454" s="504"/>
      <c r="D1454" s="504"/>
      <c r="E1454" s="504"/>
      <c r="F1454" s="504"/>
      <c r="G1454" s="504"/>
      <c r="H1454" s="504"/>
      <c r="I1454" s="501"/>
      <c r="J1454" s="505"/>
      <c r="K1454" s="506"/>
      <c r="L1454" s="504"/>
      <c r="M1454" s="504"/>
      <c r="N1454" s="504"/>
      <c r="O1454" s="504"/>
      <c r="P1454" s="504"/>
    </row>
    <row r="1455" spans="1:16" ht="15.75" customHeight="1">
      <c r="A1455" s="737" t="s">
        <v>2686</v>
      </c>
      <c r="B1455" s="731" t="s">
        <v>2680</v>
      </c>
      <c r="C1455" s="504"/>
      <c r="D1455" s="504"/>
      <c r="E1455" s="504"/>
      <c r="F1455" s="504"/>
      <c r="G1455" s="504"/>
      <c r="H1455" s="504"/>
      <c r="I1455" s="501"/>
      <c r="J1455" s="505"/>
      <c r="K1455" s="506"/>
      <c r="L1455" s="504"/>
      <c r="M1455" s="504"/>
      <c r="N1455" s="504"/>
      <c r="O1455" s="504"/>
      <c r="P1455" s="504"/>
    </row>
    <row r="1456" spans="1:16" ht="15.75" customHeight="1">
      <c r="A1456" s="737" t="s">
        <v>2686</v>
      </c>
      <c r="B1456" s="731" t="s">
        <v>2680</v>
      </c>
      <c r="C1456" s="504"/>
      <c r="D1456" s="504"/>
      <c r="E1456" s="504"/>
      <c r="F1456" s="504"/>
      <c r="G1456" s="504"/>
      <c r="H1456" s="504"/>
      <c r="I1456" s="501"/>
      <c r="J1456" s="505"/>
      <c r="K1456" s="506"/>
      <c r="L1456" s="504"/>
      <c r="M1456" s="504"/>
      <c r="N1456" s="504"/>
      <c r="O1456" s="504"/>
      <c r="P1456" s="504"/>
    </row>
    <row r="1457" spans="1:16" ht="15.75" customHeight="1">
      <c r="A1457" s="737" t="s">
        <v>2686</v>
      </c>
      <c r="B1457" s="731" t="s">
        <v>2680</v>
      </c>
      <c r="C1457" s="504"/>
      <c r="D1457" s="504"/>
      <c r="E1457" s="504"/>
      <c r="F1457" s="504"/>
      <c r="G1457" s="504"/>
      <c r="H1457" s="504"/>
      <c r="I1457" s="501"/>
      <c r="J1457" s="505"/>
      <c r="K1457" s="506"/>
      <c r="L1457" s="504"/>
      <c r="M1457" s="504"/>
      <c r="N1457" s="504"/>
      <c r="O1457" s="504"/>
      <c r="P1457" s="504"/>
    </row>
    <row r="1458" spans="1:16" ht="15.75" customHeight="1">
      <c r="A1458" s="737" t="s">
        <v>2686</v>
      </c>
      <c r="B1458" s="731" t="s">
        <v>2680</v>
      </c>
      <c r="C1458" s="504"/>
      <c r="D1458" s="504"/>
      <c r="E1458" s="504"/>
      <c r="F1458" s="504"/>
      <c r="G1458" s="504"/>
      <c r="H1458" s="504"/>
      <c r="I1458" s="501"/>
      <c r="J1458" s="505"/>
      <c r="K1458" s="506"/>
      <c r="L1458" s="504"/>
      <c r="M1458" s="504"/>
      <c r="N1458" s="504"/>
      <c r="O1458" s="504"/>
      <c r="P1458" s="504"/>
    </row>
    <row r="1459" spans="1:16" ht="15.75" customHeight="1">
      <c r="A1459" s="738" t="s">
        <v>2691</v>
      </c>
      <c r="B1459" s="736" t="s">
        <v>3421</v>
      </c>
      <c r="C1459" s="504"/>
      <c r="D1459" s="504"/>
      <c r="E1459" s="504"/>
      <c r="F1459" s="504"/>
      <c r="G1459" s="504"/>
      <c r="H1459" s="504"/>
      <c r="I1459" s="501"/>
      <c r="J1459" s="505"/>
      <c r="K1459" s="506"/>
      <c r="L1459" s="504"/>
      <c r="M1459" s="504"/>
      <c r="N1459" s="504"/>
      <c r="O1459" s="504"/>
      <c r="P1459" s="504"/>
    </row>
    <row r="1460" spans="1:16" ht="15.75" customHeight="1">
      <c r="A1460" s="738" t="s">
        <v>2691</v>
      </c>
      <c r="B1460" s="731" t="s">
        <v>3422</v>
      </c>
      <c r="C1460" s="504"/>
      <c r="D1460" s="504"/>
      <c r="E1460" s="504"/>
      <c r="F1460" s="504"/>
      <c r="G1460" s="504"/>
      <c r="H1460" s="504"/>
      <c r="I1460" s="501"/>
      <c r="J1460" s="505"/>
      <c r="K1460" s="506"/>
      <c r="L1460" s="504"/>
      <c r="M1460" s="504"/>
      <c r="N1460" s="504"/>
      <c r="O1460" s="504"/>
      <c r="P1460" s="504"/>
    </row>
    <row r="1461" spans="1:16" ht="15.75" customHeight="1">
      <c r="A1461" s="738" t="s">
        <v>2691</v>
      </c>
      <c r="B1461" s="731" t="s">
        <v>3423</v>
      </c>
      <c r="C1461" s="504"/>
      <c r="D1461" s="504"/>
      <c r="E1461" s="504"/>
      <c r="F1461" s="504"/>
      <c r="G1461" s="504"/>
      <c r="H1461" s="504"/>
      <c r="I1461" s="501"/>
      <c r="J1461" s="505"/>
      <c r="K1461" s="506"/>
      <c r="L1461" s="504"/>
      <c r="M1461" s="504"/>
      <c r="N1461" s="504"/>
      <c r="O1461" s="504"/>
      <c r="P1461" s="504"/>
    </row>
    <row r="1462" spans="1:16" ht="15.75" customHeight="1">
      <c r="A1462" s="738" t="s">
        <v>2691</v>
      </c>
      <c r="B1462" s="731" t="s">
        <v>3424</v>
      </c>
      <c r="C1462" s="504"/>
      <c r="D1462" s="504"/>
      <c r="E1462" s="504"/>
      <c r="F1462" s="504"/>
      <c r="G1462" s="504"/>
      <c r="H1462" s="504"/>
      <c r="I1462" s="501"/>
      <c r="J1462" s="505"/>
      <c r="K1462" s="506"/>
      <c r="L1462" s="504"/>
      <c r="M1462" s="504"/>
      <c r="N1462" s="504"/>
      <c r="O1462" s="504"/>
      <c r="P1462" s="504"/>
    </row>
    <row r="1463" spans="1:16" ht="15.75" customHeight="1">
      <c r="A1463" s="738" t="s">
        <v>2691</v>
      </c>
      <c r="B1463" s="731" t="s">
        <v>3425</v>
      </c>
      <c r="C1463" s="504"/>
      <c r="D1463" s="504"/>
      <c r="E1463" s="504"/>
      <c r="F1463" s="504"/>
      <c r="G1463" s="504"/>
      <c r="H1463" s="504"/>
      <c r="I1463" s="501"/>
      <c r="J1463" s="505"/>
      <c r="K1463" s="506"/>
      <c r="L1463" s="504"/>
      <c r="M1463" s="504"/>
      <c r="N1463" s="504"/>
      <c r="O1463" s="504"/>
      <c r="P1463" s="504"/>
    </row>
    <row r="1464" spans="1:16" ht="15.75" customHeight="1">
      <c r="A1464" s="738" t="s">
        <v>2691</v>
      </c>
      <c r="B1464" s="731" t="s">
        <v>2680</v>
      </c>
      <c r="C1464" s="504"/>
      <c r="D1464" s="504"/>
      <c r="E1464" s="504"/>
      <c r="F1464" s="504"/>
      <c r="G1464" s="504"/>
      <c r="H1464" s="504"/>
      <c r="I1464" s="501"/>
      <c r="J1464" s="505"/>
      <c r="K1464" s="506"/>
      <c r="L1464" s="504"/>
      <c r="M1464" s="504"/>
      <c r="N1464" s="504"/>
      <c r="O1464" s="504"/>
      <c r="P1464" s="504"/>
    </row>
    <row r="1465" spans="1:16" ht="15.75" customHeight="1">
      <c r="A1465" s="738" t="s">
        <v>2691</v>
      </c>
      <c r="B1465" s="731" t="s">
        <v>2680</v>
      </c>
      <c r="C1465" s="504"/>
      <c r="D1465" s="504"/>
      <c r="E1465" s="504"/>
      <c r="F1465" s="504"/>
      <c r="G1465" s="504"/>
      <c r="H1465" s="504"/>
      <c r="I1465" s="501"/>
      <c r="J1465" s="505"/>
      <c r="K1465" s="506"/>
      <c r="L1465" s="504"/>
      <c r="M1465" s="504"/>
      <c r="N1465" s="504"/>
      <c r="O1465" s="504"/>
      <c r="P1465" s="504"/>
    </row>
    <row r="1466" spans="1:16" ht="15.75" customHeight="1">
      <c r="A1466" s="738" t="s">
        <v>2691</v>
      </c>
      <c r="B1466" s="731" t="s">
        <v>2680</v>
      </c>
      <c r="C1466" s="504"/>
      <c r="D1466" s="504"/>
      <c r="E1466" s="504"/>
      <c r="F1466" s="504"/>
      <c r="G1466" s="504"/>
      <c r="H1466" s="504"/>
      <c r="I1466" s="501"/>
      <c r="J1466" s="505"/>
      <c r="K1466" s="506"/>
      <c r="L1466" s="504"/>
      <c r="M1466" s="504"/>
      <c r="N1466" s="504"/>
      <c r="O1466" s="504"/>
      <c r="P1466" s="504"/>
    </row>
    <row r="1467" spans="1:16" ht="15.75" customHeight="1">
      <c r="A1467" s="739" t="s">
        <v>2693</v>
      </c>
      <c r="B1467" s="731" t="s">
        <v>3426</v>
      </c>
      <c r="C1467" s="504"/>
      <c r="D1467" s="504"/>
      <c r="E1467" s="504"/>
      <c r="F1467" s="504"/>
      <c r="G1467" s="504"/>
      <c r="H1467" s="504"/>
      <c r="I1467" s="501"/>
      <c r="J1467" s="505"/>
      <c r="K1467" s="506"/>
      <c r="L1467" s="504"/>
      <c r="M1467" s="504"/>
      <c r="N1467" s="504"/>
      <c r="O1467" s="504"/>
      <c r="P1467" s="504"/>
    </row>
    <row r="1468" spans="1:16" ht="15.75" customHeight="1">
      <c r="A1468" s="739" t="s">
        <v>2693</v>
      </c>
      <c r="B1468" s="731" t="s">
        <v>3427</v>
      </c>
      <c r="C1468" s="504"/>
      <c r="D1468" s="504"/>
      <c r="E1468" s="504"/>
      <c r="F1468" s="504"/>
      <c r="G1468" s="504"/>
      <c r="H1468" s="504"/>
      <c r="I1468" s="501"/>
      <c r="J1468" s="505"/>
      <c r="K1468" s="506"/>
      <c r="L1468" s="504"/>
      <c r="M1468" s="504"/>
      <c r="N1468" s="504"/>
      <c r="O1468" s="504"/>
      <c r="P1468" s="504"/>
    </row>
    <row r="1469" spans="1:16" ht="15.75" customHeight="1">
      <c r="A1469" s="739" t="s">
        <v>2693</v>
      </c>
      <c r="B1469" s="731" t="s">
        <v>3428</v>
      </c>
      <c r="C1469" s="504"/>
      <c r="D1469" s="504"/>
      <c r="E1469" s="504"/>
      <c r="F1469" s="504"/>
      <c r="G1469" s="504"/>
      <c r="H1469" s="504"/>
      <c r="I1469" s="501"/>
      <c r="J1469" s="505"/>
      <c r="K1469" s="506"/>
      <c r="L1469" s="504"/>
      <c r="M1469" s="504"/>
      <c r="N1469" s="504"/>
      <c r="O1469" s="504"/>
      <c r="P1469" s="504"/>
    </row>
    <row r="1470" spans="1:16" ht="15.75" customHeight="1">
      <c r="A1470" s="739" t="s">
        <v>2693</v>
      </c>
      <c r="B1470" s="731" t="s">
        <v>3429</v>
      </c>
      <c r="C1470" s="504"/>
      <c r="D1470" s="504"/>
      <c r="E1470" s="504"/>
      <c r="F1470" s="504"/>
      <c r="G1470" s="504"/>
      <c r="H1470" s="504"/>
      <c r="I1470" s="501"/>
      <c r="J1470" s="505"/>
      <c r="K1470" s="506"/>
      <c r="L1470" s="504"/>
      <c r="M1470" s="504"/>
      <c r="N1470" s="504"/>
      <c r="O1470" s="504"/>
      <c r="P1470" s="504"/>
    </row>
    <row r="1471" spans="1:16" ht="15.75" customHeight="1">
      <c r="A1471" s="739" t="s">
        <v>2693</v>
      </c>
      <c r="B1471" s="731" t="s">
        <v>3430</v>
      </c>
      <c r="C1471" s="504"/>
      <c r="D1471" s="504"/>
      <c r="E1471" s="504"/>
      <c r="F1471" s="504"/>
      <c r="G1471" s="504"/>
      <c r="H1471" s="504"/>
      <c r="I1471" s="501"/>
      <c r="J1471" s="505"/>
      <c r="K1471" s="506"/>
      <c r="L1471" s="504"/>
      <c r="M1471" s="504"/>
      <c r="N1471" s="504"/>
      <c r="O1471" s="504"/>
      <c r="P1471" s="504"/>
    </row>
    <row r="1472" spans="1:16" ht="15.75" customHeight="1">
      <c r="A1472" s="739" t="s">
        <v>2693</v>
      </c>
      <c r="B1472" s="731" t="s">
        <v>3431</v>
      </c>
      <c r="C1472" s="504"/>
      <c r="D1472" s="504"/>
      <c r="E1472" s="504"/>
      <c r="F1472" s="504"/>
      <c r="G1472" s="504"/>
      <c r="H1472" s="504"/>
      <c r="I1472" s="501"/>
      <c r="J1472" s="505"/>
      <c r="K1472" s="506"/>
      <c r="L1472" s="504"/>
      <c r="M1472" s="504"/>
      <c r="N1472" s="504"/>
      <c r="O1472" s="504"/>
      <c r="P1472" s="504"/>
    </row>
    <row r="1473" spans="1:16" ht="15.75" customHeight="1">
      <c r="A1473" s="739" t="s">
        <v>2693</v>
      </c>
      <c r="B1473" s="731" t="s">
        <v>3432</v>
      </c>
      <c r="C1473" s="504"/>
      <c r="D1473" s="504"/>
      <c r="E1473" s="504"/>
      <c r="F1473" s="504"/>
      <c r="G1473" s="504"/>
      <c r="H1473" s="504"/>
      <c r="I1473" s="501"/>
      <c r="J1473" s="505"/>
      <c r="K1473" s="506"/>
      <c r="L1473" s="504"/>
      <c r="M1473" s="504"/>
      <c r="N1473" s="504"/>
      <c r="O1473" s="504"/>
      <c r="P1473" s="504"/>
    </row>
    <row r="1474" spans="1:16" ht="15.75" customHeight="1">
      <c r="A1474" s="739" t="s">
        <v>2693</v>
      </c>
      <c r="B1474" s="731" t="s">
        <v>3433</v>
      </c>
      <c r="C1474" s="504"/>
      <c r="D1474" s="504"/>
      <c r="E1474" s="504"/>
      <c r="F1474" s="504"/>
      <c r="G1474" s="504"/>
      <c r="H1474" s="504"/>
      <c r="I1474" s="501"/>
      <c r="J1474" s="505"/>
      <c r="K1474" s="506"/>
      <c r="L1474" s="504"/>
      <c r="M1474" s="504"/>
      <c r="N1474" s="504"/>
      <c r="O1474" s="504"/>
      <c r="P1474" s="504"/>
    </row>
    <row r="1475" spans="1:16" ht="15.75" customHeight="1">
      <c r="A1475" s="739" t="s">
        <v>2693</v>
      </c>
      <c r="B1475" s="731" t="s">
        <v>5818</v>
      </c>
      <c r="C1475" s="504"/>
      <c r="D1475" s="504"/>
      <c r="E1475" s="504"/>
      <c r="F1475" s="504"/>
      <c r="G1475" s="504"/>
      <c r="H1475" s="504"/>
      <c r="I1475" s="501"/>
      <c r="J1475" s="505"/>
      <c r="K1475" s="506"/>
      <c r="L1475" s="504"/>
      <c r="M1475" s="504"/>
      <c r="N1475" s="504"/>
      <c r="O1475" s="504"/>
      <c r="P1475" s="504"/>
    </row>
    <row r="1476" spans="1:16" ht="15.75" customHeight="1">
      <c r="A1476" s="739" t="s">
        <v>2693</v>
      </c>
      <c r="B1476" s="731" t="s">
        <v>5819</v>
      </c>
      <c r="C1476" s="504"/>
      <c r="D1476" s="504"/>
      <c r="E1476" s="504"/>
      <c r="F1476" s="504"/>
      <c r="G1476" s="504"/>
      <c r="H1476" s="504"/>
      <c r="I1476" s="501"/>
      <c r="J1476" s="505"/>
      <c r="K1476" s="506"/>
      <c r="L1476" s="504"/>
      <c r="M1476" s="504"/>
      <c r="N1476" s="504"/>
      <c r="O1476" s="504"/>
      <c r="P1476" s="504"/>
    </row>
    <row r="1477" spans="1:16" ht="15.75" customHeight="1">
      <c r="A1477" s="739" t="s">
        <v>2693</v>
      </c>
      <c r="B1477" s="731" t="s">
        <v>5820</v>
      </c>
      <c r="C1477" s="504"/>
      <c r="D1477" s="504"/>
      <c r="E1477" s="504"/>
      <c r="F1477" s="504"/>
      <c r="G1477" s="504"/>
      <c r="H1477" s="504"/>
      <c r="I1477" s="501"/>
      <c r="J1477" s="505"/>
      <c r="K1477" s="506"/>
      <c r="L1477" s="504"/>
      <c r="M1477" s="504"/>
      <c r="N1477" s="504"/>
      <c r="O1477" s="504"/>
      <c r="P1477" s="504"/>
    </row>
    <row r="1478" spans="1:16" ht="15.75" customHeight="1">
      <c r="A1478" s="739" t="s">
        <v>2693</v>
      </c>
      <c r="B1478" s="731" t="s">
        <v>5821</v>
      </c>
      <c r="C1478" s="504"/>
      <c r="D1478" s="504"/>
      <c r="E1478" s="504"/>
      <c r="F1478" s="504"/>
      <c r="G1478" s="504"/>
      <c r="H1478" s="504"/>
      <c r="I1478" s="501"/>
      <c r="J1478" s="505"/>
      <c r="K1478" s="506"/>
      <c r="L1478" s="504"/>
      <c r="M1478" s="504"/>
      <c r="N1478" s="504"/>
      <c r="O1478" s="504"/>
      <c r="P1478" s="504"/>
    </row>
    <row r="1479" spans="1:16" ht="15.75" customHeight="1">
      <c r="A1479" s="739" t="s">
        <v>2693</v>
      </c>
      <c r="B1479" s="731" t="s">
        <v>5822</v>
      </c>
      <c r="C1479" s="504"/>
      <c r="D1479" s="504"/>
      <c r="E1479" s="504"/>
      <c r="F1479" s="504"/>
      <c r="G1479" s="504"/>
      <c r="H1479" s="504"/>
      <c r="I1479" s="501"/>
      <c r="J1479" s="505"/>
      <c r="K1479" s="506"/>
      <c r="L1479" s="504"/>
      <c r="M1479" s="504"/>
      <c r="N1479" s="504"/>
      <c r="O1479" s="504"/>
      <c r="P1479" s="504"/>
    </row>
    <row r="1480" spans="1:16" ht="15.75" customHeight="1">
      <c r="A1480" s="739" t="s">
        <v>2693</v>
      </c>
      <c r="B1480" s="731" t="s">
        <v>5823</v>
      </c>
      <c r="C1480" s="504"/>
      <c r="D1480" s="504"/>
      <c r="E1480" s="504"/>
      <c r="F1480" s="504"/>
      <c r="G1480" s="504"/>
      <c r="H1480" s="504"/>
      <c r="I1480" s="501"/>
      <c r="J1480" s="505"/>
      <c r="K1480" s="506"/>
      <c r="L1480" s="504"/>
      <c r="M1480" s="504"/>
      <c r="N1480" s="504"/>
      <c r="O1480" s="504"/>
      <c r="P1480" s="504"/>
    </row>
    <row r="1481" spans="1:16" ht="15.75" customHeight="1">
      <c r="A1481" s="739" t="s">
        <v>2693</v>
      </c>
      <c r="B1481" s="731" t="s">
        <v>5824</v>
      </c>
      <c r="C1481" s="504"/>
      <c r="D1481" s="504"/>
      <c r="E1481" s="504"/>
      <c r="F1481" s="504"/>
      <c r="G1481" s="504"/>
      <c r="H1481" s="504"/>
      <c r="I1481" s="501"/>
      <c r="J1481" s="505"/>
      <c r="K1481" s="506"/>
      <c r="L1481" s="504"/>
      <c r="M1481" s="504"/>
      <c r="N1481" s="504"/>
      <c r="O1481" s="504"/>
      <c r="P1481" s="504"/>
    </row>
    <row r="1482" spans="1:16" ht="15.75" customHeight="1">
      <c r="A1482" s="739" t="s">
        <v>2693</v>
      </c>
      <c r="B1482" s="731" t="s">
        <v>5825</v>
      </c>
      <c r="C1482" s="504"/>
      <c r="D1482" s="504"/>
      <c r="E1482" s="504"/>
      <c r="F1482" s="504"/>
      <c r="G1482" s="504"/>
      <c r="H1482" s="504"/>
      <c r="I1482" s="501"/>
      <c r="J1482" s="505"/>
      <c r="K1482" s="506"/>
      <c r="L1482" s="504"/>
      <c r="M1482" s="504"/>
      <c r="N1482" s="504"/>
      <c r="O1482" s="504"/>
      <c r="P1482" s="504"/>
    </row>
    <row r="1483" spans="1:16" ht="15.75" customHeight="1">
      <c r="A1483" s="744" t="s">
        <v>3434</v>
      </c>
      <c r="B1483" s="731" t="s">
        <v>5826</v>
      </c>
      <c r="C1483" s="504"/>
      <c r="D1483" s="504"/>
      <c r="E1483" s="504"/>
      <c r="F1483" s="504"/>
      <c r="G1483" s="504"/>
      <c r="H1483" s="504"/>
      <c r="I1483" s="501"/>
      <c r="J1483" s="505"/>
      <c r="K1483" s="506"/>
      <c r="L1483" s="504"/>
      <c r="M1483" s="504"/>
      <c r="N1483" s="504"/>
      <c r="O1483" s="504"/>
      <c r="P1483" s="504"/>
    </row>
    <row r="1484" spans="1:16" ht="15.75" customHeight="1">
      <c r="B1484" s="55"/>
      <c r="C1484" s="504"/>
      <c r="D1484" s="504"/>
      <c r="E1484" s="504"/>
      <c r="F1484" s="504"/>
      <c r="G1484" s="504"/>
      <c r="H1484" s="504"/>
      <c r="I1484" s="501"/>
      <c r="J1484" s="505"/>
      <c r="K1484" s="506"/>
      <c r="L1484" s="504"/>
      <c r="M1484" s="504"/>
      <c r="N1484" s="504"/>
      <c r="O1484" s="504"/>
      <c r="P1484" s="504"/>
    </row>
    <row r="1485" spans="1:16" ht="15.75" customHeight="1">
      <c r="B1485" s="55"/>
      <c r="C1485" s="504"/>
      <c r="D1485" s="504"/>
      <c r="E1485" s="504"/>
      <c r="F1485" s="504"/>
      <c r="G1485" s="504"/>
      <c r="H1485" s="504"/>
      <c r="I1485" s="501"/>
      <c r="J1485" s="505"/>
      <c r="K1485" s="506"/>
      <c r="L1485" s="504"/>
      <c r="M1485" s="504"/>
      <c r="N1485" s="504"/>
      <c r="O1485" s="504"/>
      <c r="P1485" s="504"/>
    </row>
    <row r="1486" spans="1:16" ht="15.75" customHeight="1">
      <c r="B1486" s="55"/>
      <c r="C1486" s="504"/>
      <c r="D1486" s="504"/>
      <c r="E1486" s="504"/>
      <c r="F1486" s="504"/>
      <c r="G1486" s="504"/>
      <c r="H1486" s="504"/>
      <c r="I1486" s="501"/>
      <c r="J1486" s="505"/>
      <c r="K1486" s="506"/>
      <c r="L1486" s="504"/>
      <c r="M1486" s="504"/>
      <c r="N1486" s="504"/>
      <c r="O1486" s="504"/>
      <c r="P1486" s="504"/>
    </row>
    <row r="1487" spans="1:16" ht="15.75" customHeight="1">
      <c r="B1487" s="55"/>
      <c r="C1487" s="504"/>
      <c r="D1487" s="504"/>
      <c r="E1487" s="504"/>
      <c r="F1487" s="504"/>
      <c r="G1487" s="504"/>
      <c r="H1487" s="504"/>
      <c r="I1487" s="501"/>
      <c r="J1487" s="505"/>
      <c r="K1487" s="506"/>
      <c r="L1487" s="504"/>
      <c r="M1487" s="504"/>
      <c r="N1487" s="504"/>
      <c r="O1487" s="504"/>
      <c r="P1487" s="504"/>
    </row>
    <row r="1488" spans="1:16" ht="15.75" customHeight="1">
      <c r="B1488" s="55"/>
      <c r="C1488" s="504"/>
      <c r="D1488" s="504"/>
      <c r="E1488" s="504"/>
      <c r="F1488" s="504"/>
      <c r="G1488" s="504"/>
      <c r="H1488" s="504"/>
      <c r="I1488" s="501"/>
      <c r="J1488" s="505"/>
      <c r="K1488" s="506"/>
      <c r="L1488" s="504"/>
      <c r="M1488" s="504"/>
      <c r="N1488" s="504"/>
      <c r="O1488" s="504"/>
      <c r="P1488" s="504"/>
    </row>
    <row r="1489" spans="2:16" ht="15.75" customHeight="1">
      <c r="B1489" s="55"/>
      <c r="C1489" s="504"/>
      <c r="D1489" s="504"/>
      <c r="E1489" s="504"/>
      <c r="F1489" s="504"/>
      <c r="G1489" s="504"/>
      <c r="H1489" s="504"/>
      <c r="I1489" s="501"/>
      <c r="J1489" s="505"/>
      <c r="K1489" s="506"/>
      <c r="L1489" s="504"/>
      <c r="M1489" s="504"/>
      <c r="N1489" s="504"/>
      <c r="O1489" s="504"/>
      <c r="P1489" s="504"/>
    </row>
    <row r="1490" spans="2:16" ht="15.75" customHeight="1">
      <c r="B1490" s="55"/>
      <c r="C1490" s="504"/>
      <c r="D1490" s="504"/>
      <c r="E1490" s="504"/>
      <c r="F1490" s="504"/>
      <c r="G1490" s="504"/>
      <c r="H1490" s="504"/>
      <c r="I1490" s="501"/>
      <c r="J1490" s="505"/>
      <c r="K1490" s="506"/>
      <c r="L1490" s="504"/>
      <c r="M1490" s="504"/>
      <c r="N1490" s="504"/>
      <c r="O1490" s="504"/>
      <c r="P1490" s="504"/>
    </row>
    <row r="1491" spans="2:16" ht="15.75" customHeight="1">
      <c r="B1491" s="55"/>
      <c r="C1491" s="504"/>
      <c r="D1491" s="504"/>
      <c r="E1491" s="504"/>
      <c r="F1491" s="504"/>
      <c r="G1491" s="504"/>
      <c r="H1491" s="504"/>
      <c r="I1491" s="501"/>
      <c r="J1491" s="505"/>
      <c r="K1491" s="506"/>
      <c r="L1491" s="504"/>
      <c r="M1491" s="504"/>
      <c r="N1491" s="504"/>
      <c r="O1491" s="504"/>
      <c r="P1491" s="504"/>
    </row>
    <row r="1492" spans="2:16" ht="15.75" customHeight="1">
      <c r="B1492" s="55"/>
      <c r="C1492" s="504"/>
      <c r="D1492" s="504"/>
      <c r="E1492" s="504"/>
      <c r="F1492" s="504"/>
      <c r="G1492" s="504"/>
      <c r="H1492" s="504"/>
      <c r="I1492" s="501"/>
      <c r="J1492" s="505"/>
      <c r="K1492" s="506"/>
      <c r="L1492" s="504"/>
      <c r="M1492" s="504"/>
      <c r="N1492" s="504"/>
      <c r="O1492" s="504"/>
      <c r="P1492" s="504"/>
    </row>
    <row r="1493" spans="2:16" ht="15.75" customHeight="1">
      <c r="B1493" s="55"/>
      <c r="C1493" s="504"/>
      <c r="D1493" s="504"/>
      <c r="E1493" s="504"/>
      <c r="F1493" s="504"/>
      <c r="G1493" s="504"/>
      <c r="H1493" s="504"/>
      <c r="I1493" s="501"/>
      <c r="J1493" s="505"/>
      <c r="K1493" s="506"/>
      <c r="L1493" s="504"/>
      <c r="M1493" s="504"/>
      <c r="N1493" s="504"/>
      <c r="O1493" s="504"/>
      <c r="P1493" s="504"/>
    </row>
    <row r="1494" spans="2:16" ht="15.75" customHeight="1">
      <c r="B1494" s="55"/>
      <c r="C1494" s="504"/>
      <c r="D1494" s="504"/>
      <c r="E1494" s="504"/>
      <c r="F1494" s="504"/>
      <c r="G1494" s="504"/>
      <c r="H1494" s="504"/>
      <c r="I1494" s="501"/>
      <c r="J1494" s="505"/>
      <c r="K1494" s="506"/>
      <c r="L1494" s="504"/>
      <c r="M1494" s="504"/>
      <c r="N1494" s="504"/>
      <c r="O1494" s="504"/>
      <c r="P1494" s="504"/>
    </row>
    <row r="1495" spans="2:16" ht="15.75" customHeight="1">
      <c r="B1495" s="55"/>
      <c r="C1495" s="504"/>
      <c r="D1495" s="504"/>
      <c r="E1495" s="504"/>
      <c r="F1495" s="504"/>
      <c r="G1495" s="504"/>
      <c r="H1495" s="504"/>
      <c r="I1495" s="501"/>
      <c r="J1495" s="505"/>
      <c r="K1495" s="506"/>
      <c r="L1495" s="504"/>
      <c r="M1495" s="504"/>
      <c r="N1495" s="504"/>
      <c r="O1495" s="504"/>
      <c r="P1495" s="504"/>
    </row>
    <row r="1496" spans="2:16" ht="15.75" customHeight="1">
      <c r="B1496" s="55"/>
      <c r="C1496" s="504"/>
      <c r="D1496" s="504"/>
      <c r="E1496" s="504"/>
      <c r="F1496" s="504"/>
      <c r="G1496" s="504"/>
      <c r="H1496" s="504"/>
      <c r="I1496" s="501"/>
      <c r="J1496" s="505"/>
      <c r="K1496" s="506"/>
      <c r="L1496" s="504"/>
      <c r="M1496" s="504"/>
      <c r="N1496" s="504"/>
      <c r="O1496" s="504"/>
      <c r="P1496" s="504"/>
    </row>
    <row r="1497" spans="2:16" ht="15.75" customHeight="1">
      <c r="B1497" s="55"/>
      <c r="C1497" s="504"/>
      <c r="D1497" s="504"/>
      <c r="E1497" s="504"/>
      <c r="F1497" s="504"/>
      <c r="G1497" s="504"/>
      <c r="H1497" s="504"/>
      <c r="I1497" s="501"/>
      <c r="J1497" s="505"/>
      <c r="K1497" s="506"/>
      <c r="L1497" s="504"/>
      <c r="M1497" s="504"/>
      <c r="N1497" s="504"/>
      <c r="O1497" s="504"/>
      <c r="P1497" s="504"/>
    </row>
    <row r="1498" spans="2:16" ht="15.75" customHeight="1">
      <c r="B1498" s="55"/>
      <c r="C1498" s="504"/>
      <c r="D1498" s="504"/>
      <c r="E1498" s="504"/>
      <c r="F1498" s="504"/>
      <c r="G1498" s="504"/>
      <c r="H1498" s="504"/>
      <c r="I1498" s="501"/>
      <c r="J1498" s="505"/>
      <c r="K1498" s="506"/>
      <c r="L1498" s="504"/>
      <c r="M1498" s="504"/>
      <c r="N1498" s="504"/>
      <c r="O1498" s="504"/>
      <c r="P1498" s="504"/>
    </row>
    <row r="1499" spans="2:16" ht="15.75" customHeight="1">
      <c r="B1499" s="55"/>
      <c r="C1499" s="504"/>
      <c r="D1499" s="504"/>
      <c r="E1499" s="504"/>
      <c r="F1499" s="504"/>
      <c r="G1499" s="504"/>
      <c r="H1499" s="504"/>
      <c r="I1499" s="501"/>
      <c r="J1499" s="505"/>
      <c r="K1499" s="506"/>
      <c r="L1499" s="504"/>
      <c r="M1499" s="504"/>
      <c r="N1499" s="504"/>
      <c r="O1499" s="504"/>
      <c r="P1499" s="504"/>
    </row>
    <row r="1500" spans="2:16" ht="15.75" customHeight="1">
      <c r="B1500" s="55"/>
      <c r="C1500" s="504"/>
      <c r="D1500" s="504"/>
      <c r="E1500" s="504"/>
      <c r="F1500" s="504"/>
      <c r="G1500" s="504"/>
      <c r="H1500" s="504"/>
      <c r="I1500" s="501"/>
      <c r="J1500" s="505"/>
      <c r="K1500" s="506"/>
      <c r="L1500" s="504"/>
      <c r="M1500" s="504"/>
      <c r="N1500" s="504"/>
      <c r="O1500" s="504"/>
      <c r="P1500" s="504"/>
    </row>
    <row r="1501" spans="2:16" ht="15.75" customHeight="1">
      <c r="B1501" s="55"/>
      <c r="C1501" s="504"/>
      <c r="D1501" s="504"/>
      <c r="E1501" s="504"/>
      <c r="F1501" s="504"/>
      <c r="G1501" s="504"/>
      <c r="H1501" s="504"/>
      <c r="I1501" s="501"/>
      <c r="J1501" s="505"/>
      <c r="K1501" s="506"/>
      <c r="L1501" s="504"/>
      <c r="M1501" s="504"/>
      <c r="N1501" s="504"/>
      <c r="O1501" s="504"/>
      <c r="P1501" s="504"/>
    </row>
    <row r="1502" spans="2:16" ht="15.75" customHeight="1">
      <c r="B1502" s="55"/>
      <c r="C1502" s="504"/>
      <c r="D1502" s="504"/>
      <c r="E1502" s="504"/>
      <c r="F1502" s="504"/>
      <c r="G1502" s="504"/>
      <c r="H1502" s="504"/>
      <c r="I1502" s="501"/>
      <c r="J1502" s="505"/>
      <c r="K1502" s="506"/>
      <c r="L1502" s="504"/>
      <c r="M1502" s="504"/>
      <c r="N1502" s="504"/>
      <c r="O1502" s="504"/>
      <c r="P1502" s="504"/>
    </row>
    <row r="1503" spans="2:16" ht="15.75" customHeight="1">
      <c r="B1503" s="55"/>
      <c r="C1503" s="504"/>
      <c r="D1503" s="504"/>
      <c r="E1503" s="504"/>
      <c r="F1503" s="504"/>
      <c r="G1503" s="504"/>
      <c r="H1503" s="504"/>
      <c r="I1503" s="501"/>
      <c r="J1503" s="505"/>
      <c r="K1503" s="506"/>
      <c r="L1503" s="504"/>
      <c r="M1503" s="504"/>
      <c r="N1503" s="504"/>
      <c r="O1503" s="504"/>
      <c r="P1503" s="504"/>
    </row>
    <row r="1504" spans="2:16" ht="15.75" customHeight="1">
      <c r="B1504" s="55"/>
      <c r="C1504" s="504"/>
      <c r="D1504" s="504"/>
      <c r="E1504" s="504"/>
      <c r="F1504" s="504"/>
      <c r="G1504" s="504"/>
      <c r="H1504" s="504"/>
      <c r="I1504" s="501"/>
      <c r="J1504" s="505"/>
      <c r="K1504" s="506"/>
      <c r="L1504" s="504"/>
      <c r="M1504" s="504"/>
      <c r="N1504" s="504"/>
      <c r="O1504" s="504"/>
      <c r="P1504" s="504"/>
    </row>
    <row r="1505" spans="2:16" ht="15.75" customHeight="1">
      <c r="B1505" s="55"/>
      <c r="C1505" s="504"/>
      <c r="D1505" s="504"/>
      <c r="E1505" s="504"/>
      <c r="F1505" s="504"/>
      <c r="G1505" s="504"/>
      <c r="H1505" s="504"/>
      <c r="I1505" s="501"/>
      <c r="J1505" s="505"/>
      <c r="K1505" s="506"/>
      <c r="L1505" s="504"/>
      <c r="M1505" s="504"/>
      <c r="N1505" s="504"/>
      <c r="O1505" s="504"/>
      <c r="P1505" s="504"/>
    </row>
    <row r="1506" spans="2:16" ht="15.75" customHeight="1">
      <c r="B1506" s="55"/>
      <c r="C1506" s="504"/>
      <c r="D1506" s="504"/>
      <c r="E1506" s="504"/>
      <c r="F1506" s="504"/>
      <c r="G1506" s="504"/>
      <c r="H1506" s="504"/>
      <c r="I1506" s="501"/>
      <c r="J1506" s="505"/>
      <c r="K1506" s="506"/>
      <c r="L1506" s="504"/>
      <c r="M1506" s="504"/>
      <c r="N1506" s="504"/>
      <c r="O1506" s="504"/>
      <c r="P1506" s="504"/>
    </row>
    <row r="1507" spans="2:16" ht="15.75" customHeight="1">
      <c r="B1507" s="55"/>
      <c r="C1507" s="504"/>
      <c r="D1507" s="504"/>
      <c r="E1507" s="504"/>
      <c r="F1507" s="504"/>
      <c r="G1507" s="504"/>
      <c r="H1507" s="504"/>
      <c r="I1507" s="501"/>
      <c r="J1507" s="505"/>
      <c r="K1507" s="506"/>
      <c r="L1507" s="504"/>
      <c r="M1507" s="504"/>
      <c r="N1507" s="504"/>
      <c r="O1507" s="504"/>
      <c r="P1507" s="504"/>
    </row>
    <row r="1508" spans="2:16" ht="15.75" customHeight="1">
      <c r="B1508" s="55"/>
      <c r="C1508" s="504"/>
      <c r="D1508" s="504"/>
      <c r="E1508" s="504"/>
      <c r="F1508" s="504"/>
      <c r="G1508" s="504"/>
      <c r="H1508" s="504"/>
      <c r="I1508" s="501"/>
      <c r="J1508" s="505"/>
      <c r="K1508" s="506"/>
      <c r="L1508" s="504"/>
      <c r="M1508" s="504"/>
      <c r="N1508" s="504"/>
      <c r="O1508" s="504"/>
      <c r="P1508" s="504"/>
    </row>
    <row r="1509" spans="2:16" ht="15.75" customHeight="1">
      <c r="B1509" s="55"/>
      <c r="C1509" s="504"/>
      <c r="D1509" s="504"/>
      <c r="E1509" s="504"/>
      <c r="F1509" s="504"/>
      <c r="G1509" s="504"/>
      <c r="H1509" s="504"/>
      <c r="I1509" s="501"/>
      <c r="J1509" s="505"/>
      <c r="K1509" s="506"/>
      <c r="L1509" s="504"/>
      <c r="M1509" s="504"/>
      <c r="N1509" s="504"/>
      <c r="O1509" s="504"/>
      <c r="P1509" s="504"/>
    </row>
    <row r="1510" spans="2:16" ht="15.75" customHeight="1">
      <c r="B1510" s="55"/>
      <c r="C1510" s="504"/>
      <c r="D1510" s="504"/>
      <c r="E1510" s="504"/>
      <c r="F1510" s="504"/>
      <c r="G1510" s="504"/>
      <c r="H1510" s="504"/>
      <c r="I1510" s="501"/>
      <c r="J1510" s="505"/>
      <c r="K1510" s="506"/>
      <c r="L1510" s="504"/>
      <c r="M1510" s="504"/>
      <c r="N1510" s="504"/>
      <c r="O1510" s="504"/>
      <c r="P1510" s="504"/>
    </row>
    <row r="1511" spans="2:16" ht="15.75" customHeight="1">
      <c r="B1511" s="55"/>
      <c r="C1511" s="504"/>
      <c r="D1511" s="504"/>
      <c r="E1511" s="504"/>
      <c r="F1511" s="504"/>
      <c r="G1511" s="504"/>
      <c r="H1511" s="504"/>
      <c r="I1511" s="501"/>
      <c r="J1511" s="505"/>
      <c r="K1511" s="506"/>
      <c r="L1511" s="504"/>
      <c r="M1511" s="504"/>
      <c r="N1511" s="504"/>
      <c r="O1511" s="504"/>
      <c r="P1511" s="504"/>
    </row>
    <row r="1512" spans="2:16" ht="15.75" customHeight="1">
      <c r="B1512" s="55"/>
      <c r="C1512" s="504"/>
      <c r="D1512" s="504"/>
      <c r="E1512" s="504"/>
      <c r="F1512" s="504"/>
      <c r="G1512" s="504"/>
      <c r="H1512" s="504"/>
      <c r="I1512" s="501"/>
      <c r="J1512" s="505"/>
      <c r="K1512" s="506"/>
      <c r="L1512" s="504"/>
      <c r="M1512" s="504"/>
      <c r="N1512" s="504"/>
      <c r="O1512" s="504"/>
      <c r="P1512" s="504"/>
    </row>
    <row r="1513" spans="2:16" ht="15.75" customHeight="1">
      <c r="B1513" s="55"/>
      <c r="C1513" s="504"/>
      <c r="D1513" s="504"/>
      <c r="E1513" s="504"/>
      <c r="F1513" s="504"/>
      <c r="G1513" s="504"/>
      <c r="H1513" s="504"/>
      <c r="I1513" s="501"/>
      <c r="J1513" s="505"/>
      <c r="K1513" s="506"/>
      <c r="L1513" s="504"/>
      <c r="M1513" s="504"/>
      <c r="N1513" s="504"/>
      <c r="O1513" s="504"/>
      <c r="P1513" s="504"/>
    </row>
    <row r="1514" spans="2:16" ht="15.75" customHeight="1">
      <c r="B1514" s="55"/>
      <c r="C1514" s="504"/>
      <c r="D1514" s="504"/>
      <c r="E1514" s="504"/>
      <c r="F1514" s="504"/>
      <c r="G1514" s="504"/>
      <c r="H1514" s="504"/>
      <c r="I1514" s="501"/>
      <c r="J1514" s="505"/>
      <c r="K1514" s="506"/>
      <c r="L1514" s="504"/>
      <c r="M1514" s="504"/>
      <c r="N1514" s="504"/>
      <c r="O1514" s="504"/>
      <c r="P1514" s="504"/>
    </row>
    <row r="1515" spans="2:16" ht="15.75" customHeight="1">
      <c r="B1515" s="55"/>
      <c r="C1515" s="504"/>
      <c r="D1515" s="504"/>
      <c r="E1515" s="504"/>
      <c r="F1515" s="504"/>
      <c r="G1515" s="504"/>
      <c r="H1515" s="504"/>
      <c r="I1515" s="501"/>
      <c r="J1515" s="505"/>
      <c r="K1515" s="506"/>
      <c r="L1515" s="504"/>
      <c r="M1515" s="504"/>
      <c r="N1515" s="504"/>
      <c r="O1515" s="504"/>
      <c r="P1515" s="504"/>
    </row>
    <row r="1516" spans="2:16" ht="15.75" customHeight="1">
      <c r="B1516" s="55"/>
      <c r="C1516" s="504"/>
      <c r="D1516" s="504"/>
      <c r="E1516" s="504"/>
      <c r="F1516" s="504"/>
      <c r="G1516" s="504"/>
      <c r="H1516" s="504"/>
      <c r="I1516" s="501"/>
      <c r="J1516" s="505"/>
      <c r="K1516" s="506"/>
      <c r="L1516" s="504"/>
      <c r="M1516" s="504"/>
      <c r="N1516" s="504"/>
      <c r="O1516" s="504"/>
      <c r="P1516" s="504"/>
    </row>
    <row r="1517" spans="2:16" ht="15.75" customHeight="1">
      <c r="B1517" s="55"/>
      <c r="C1517" s="504"/>
      <c r="D1517" s="504"/>
      <c r="E1517" s="504"/>
      <c r="F1517" s="504"/>
      <c r="G1517" s="504"/>
      <c r="H1517" s="504"/>
      <c r="I1517" s="501"/>
      <c r="J1517" s="505"/>
      <c r="K1517" s="506"/>
      <c r="L1517" s="504"/>
      <c r="M1517" s="504"/>
      <c r="N1517" s="504"/>
      <c r="O1517" s="504"/>
      <c r="P1517" s="504"/>
    </row>
    <row r="1518" spans="2:16" ht="15.75" customHeight="1">
      <c r="B1518" s="55"/>
      <c r="C1518" s="504"/>
      <c r="D1518" s="504"/>
      <c r="E1518" s="504"/>
      <c r="F1518" s="504"/>
      <c r="G1518" s="504"/>
      <c r="H1518" s="504"/>
      <c r="I1518" s="501"/>
      <c r="J1518" s="505"/>
      <c r="K1518" s="506"/>
      <c r="L1518" s="504"/>
      <c r="M1518" s="504"/>
      <c r="N1518" s="504"/>
      <c r="O1518" s="504"/>
      <c r="P1518" s="504"/>
    </row>
    <row r="1519" spans="2:16" ht="15.75" customHeight="1">
      <c r="B1519" s="55"/>
      <c r="C1519" s="504"/>
      <c r="D1519" s="504"/>
      <c r="E1519" s="504"/>
      <c r="F1519" s="504"/>
      <c r="G1519" s="504"/>
      <c r="H1519" s="504"/>
      <c r="I1519" s="501"/>
      <c r="J1519" s="505"/>
      <c r="K1519" s="506"/>
      <c r="L1519" s="504"/>
      <c r="M1519" s="504"/>
      <c r="N1519" s="504"/>
      <c r="O1519" s="504"/>
      <c r="P1519" s="504"/>
    </row>
    <row r="1520" spans="2:16" ht="15.75" customHeight="1">
      <c r="B1520" s="55"/>
      <c r="C1520" s="504"/>
      <c r="D1520" s="504"/>
      <c r="E1520" s="504"/>
      <c r="F1520" s="504"/>
      <c r="G1520" s="504"/>
      <c r="H1520" s="504"/>
      <c r="I1520" s="501"/>
      <c r="J1520" s="505"/>
      <c r="K1520" s="506"/>
      <c r="L1520" s="504"/>
      <c r="M1520" s="504"/>
      <c r="N1520" s="504"/>
      <c r="O1520" s="504"/>
      <c r="P1520" s="504"/>
    </row>
    <row r="1521" spans="2:16" ht="15.75" customHeight="1">
      <c r="B1521" s="55"/>
      <c r="C1521" s="504"/>
      <c r="D1521" s="504"/>
      <c r="E1521" s="504"/>
      <c r="F1521" s="504"/>
      <c r="G1521" s="504"/>
      <c r="H1521" s="504"/>
      <c r="I1521" s="501"/>
      <c r="J1521" s="505"/>
      <c r="K1521" s="506"/>
      <c r="L1521" s="504"/>
      <c r="M1521" s="504"/>
      <c r="N1521" s="504"/>
      <c r="O1521" s="504"/>
      <c r="P1521" s="504"/>
    </row>
    <row r="1522" spans="2:16" ht="15.75" customHeight="1">
      <c r="B1522" s="55"/>
      <c r="C1522" s="504"/>
      <c r="D1522" s="504"/>
      <c r="E1522" s="504"/>
      <c r="F1522" s="504"/>
      <c r="G1522" s="504"/>
      <c r="H1522" s="504"/>
      <c r="I1522" s="501"/>
      <c r="J1522" s="505"/>
      <c r="K1522" s="506"/>
      <c r="L1522" s="504"/>
      <c r="M1522" s="504"/>
      <c r="N1522" s="504"/>
      <c r="O1522" s="504"/>
      <c r="P1522" s="504"/>
    </row>
    <row r="1523" spans="2:16" ht="15.75" customHeight="1">
      <c r="B1523" s="55"/>
      <c r="C1523" s="504"/>
      <c r="D1523" s="504"/>
      <c r="E1523" s="504"/>
      <c r="F1523" s="504"/>
      <c r="G1523" s="504"/>
      <c r="H1523" s="504"/>
      <c r="I1523" s="501"/>
      <c r="J1523" s="505"/>
      <c r="K1523" s="506"/>
      <c r="L1523" s="504"/>
      <c r="M1523" s="504"/>
      <c r="N1523" s="504"/>
      <c r="O1523" s="504"/>
      <c r="P1523" s="504"/>
    </row>
    <row r="1524" spans="2:16" ht="15.75" customHeight="1">
      <c r="B1524" s="55"/>
      <c r="C1524" s="504"/>
      <c r="D1524" s="504"/>
      <c r="E1524" s="504"/>
      <c r="F1524" s="504"/>
      <c r="G1524" s="504"/>
      <c r="H1524" s="504"/>
      <c r="I1524" s="501"/>
      <c r="J1524" s="505"/>
      <c r="K1524" s="506"/>
      <c r="L1524" s="504"/>
      <c r="M1524" s="504"/>
      <c r="N1524" s="504"/>
      <c r="O1524" s="504"/>
      <c r="P1524" s="504"/>
    </row>
    <row r="1525" spans="2:16" ht="15.75" customHeight="1">
      <c r="B1525" s="55"/>
      <c r="C1525" s="504"/>
      <c r="D1525" s="504"/>
      <c r="E1525" s="504"/>
      <c r="F1525" s="504"/>
      <c r="G1525" s="504"/>
      <c r="H1525" s="504"/>
      <c r="I1525" s="501"/>
      <c r="J1525" s="505"/>
      <c r="K1525" s="506"/>
      <c r="L1525" s="504"/>
      <c r="M1525" s="504"/>
      <c r="N1525" s="504"/>
      <c r="O1525" s="504"/>
      <c r="P1525" s="504"/>
    </row>
    <row r="1526" spans="2:16" ht="15.75" customHeight="1">
      <c r="B1526" s="55"/>
      <c r="C1526" s="504"/>
      <c r="D1526" s="504"/>
      <c r="E1526" s="504"/>
      <c r="F1526" s="504"/>
      <c r="G1526" s="504"/>
      <c r="H1526" s="504"/>
      <c r="I1526" s="501"/>
      <c r="J1526" s="505"/>
      <c r="K1526" s="506"/>
      <c r="L1526" s="504"/>
      <c r="M1526" s="504"/>
      <c r="N1526" s="504"/>
      <c r="O1526" s="504"/>
      <c r="P1526" s="504"/>
    </row>
    <row r="1527" spans="2:16" ht="15.75" customHeight="1">
      <c r="B1527" s="55"/>
      <c r="C1527" s="504"/>
      <c r="D1527" s="504"/>
      <c r="E1527" s="504"/>
      <c r="F1527" s="504"/>
      <c r="G1527" s="504"/>
      <c r="H1527" s="504"/>
      <c r="I1527" s="501"/>
      <c r="J1527" s="505"/>
      <c r="K1527" s="506"/>
      <c r="L1527" s="504"/>
      <c r="M1527" s="504"/>
      <c r="N1527" s="504"/>
      <c r="O1527" s="504"/>
      <c r="P1527" s="504"/>
    </row>
    <row r="1528" spans="2:16" ht="15.75" customHeight="1">
      <c r="B1528" s="55"/>
      <c r="C1528" s="504"/>
      <c r="D1528" s="504"/>
      <c r="E1528" s="504"/>
      <c r="F1528" s="504"/>
      <c r="G1528" s="504"/>
      <c r="H1528" s="504"/>
      <c r="I1528" s="501"/>
      <c r="J1528" s="505"/>
      <c r="K1528" s="506"/>
      <c r="L1528" s="504"/>
      <c r="M1528" s="504"/>
      <c r="N1528" s="504"/>
      <c r="O1528" s="504"/>
      <c r="P1528" s="504"/>
    </row>
    <row r="1529" spans="2:16" ht="15.75" customHeight="1">
      <c r="B1529" s="55"/>
      <c r="C1529" s="504"/>
      <c r="D1529" s="504"/>
      <c r="E1529" s="504"/>
      <c r="F1529" s="504"/>
      <c r="G1529" s="504"/>
      <c r="H1529" s="504"/>
      <c r="I1529" s="501"/>
      <c r="J1529" s="505"/>
      <c r="K1529" s="506"/>
      <c r="L1529" s="504"/>
      <c r="M1529" s="504"/>
      <c r="N1529" s="504"/>
      <c r="O1529" s="504"/>
      <c r="P1529" s="504"/>
    </row>
    <row r="1530" spans="2:16" ht="15.75" customHeight="1">
      <c r="B1530" s="55"/>
      <c r="C1530" s="504"/>
      <c r="D1530" s="504"/>
      <c r="E1530" s="504"/>
      <c r="F1530" s="504"/>
      <c r="G1530" s="504"/>
      <c r="H1530" s="504"/>
      <c r="I1530" s="501"/>
      <c r="J1530" s="505"/>
      <c r="K1530" s="506"/>
      <c r="L1530" s="504"/>
      <c r="M1530" s="504"/>
      <c r="N1530" s="504"/>
      <c r="O1530" s="504"/>
      <c r="P1530" s="504"/>
    </row>
    <row r="1531" spans="2:16" ht="15.75" customHeight="1">
      <c r="B1531" s="55"/>
      <c r="C1531" s="504"/>
      <c r="D1531" s="504"/>
      <c r="E1531" s="504"/>
      <c r="F1531" s="504"/>
      <c r="G1531" s="504"/>
      <c r="H1531" s="504"/>
      <c r="I1531" s="501"/>
      <c r="J1531" s="505"/>
      <c r="K1531" s="506"/>
      <c r="L1531" s="504"/>
      <c r="M1531" s="504"/>
      <c r="N1531" s="504"/>
      <c r="O1531" s="504"/>
      <c r="P1531" s="504"/>
    </row>
    <row r="1532" spans="2:16" ht="15.75" customHeight="1">
      <c r="B1532" s="55"/>
      <c r="C1532" s="504"/>
      <c r="D1532" s="504"/>
      <c r="E1532" s="504"/>
      <c r="F1532" s="504"/>
      <c r="G1532" s="504"/>
      <c r="H1532" s="504"/>
      <c r="I1532" s="501"/>
      <c r="J1532" s="505"/>
      <c r="K1532" s="506"/>
      <c r="L1532" s="504"/>
      <c r="M1532" s="504"/>
      <c r="N1532" s="504"/>
      <c r="O1532" s="504"/>
      <c r="P1532" s="504"/>
    </row>
    <row r="1533" spans="2:16" ht="15.75" customHeight="1">
      <c r="B1533" s="55"/>
      <c r="C1533" s="504"/>
      <c r="D1533" s="504"/>
      <c r="E1533" s="504"/>
      <c r="F1533" s="504"/>
      <c r="G1533" s="504"/>
      <c r="H1533" s="504"/>
      <c r="I1533" s="501"/>
      <c r="J1533" s="505"/>
      <c r="K1533" s="506"/>
      <c r="L1533" s="504"/>
      <c r="M1533" s="504"/>
      <c r="N1533" s="504"/>
      <c r="O1533" s="504"/>
      <c r="P1533" s="504"/>
    </row>
    <row r="1534" spans="2:16" ht="15.75" customHeight="1">
      <c r="B1534" s="55"/>
      <c r="C1534" s="504"/>
      <c r="D1534" s="504"/>
      <c r="E1534" s="504"/>
      <c r="F1534" s="504"/>
      <c r="G1534" s="504"/>
      <c r="H1534" s="504"/>
      <c r="I1534" s="501"/>
      <c r="J1534" s="505"/>
      <c r="K1534" s="506"/>
      <c r="L1534" s="504"/>
      <c r="M1534" s="504"/>
      <c r="N1534" s="504"/>
      <c r="O1534" s="504"/>
      <c r="P1534" s="504"/>
    </row>
    <row r="1535" spans="2:16" ht="15.75" customHeight="1">
      <c r="B1535" s="55"/>
      <c r="C1535" s="504"/>
      <c r="D1535" s="504"/>
      <c r="E1535" s="504"/>
      <c r="F1535" s="504"/>
      <c r="G1535" s="504"/>
      <c r="H1535" s="504"/>
      <c r="I1535" s="501"/>
      <c r="J1535" s="505"/>
      <c r="K1535" s="506"/>
      <c r="L1535" s="504"/>
      <c r="M1535" s="504"/>
      <c r="N1535" s="504"/>
      <c r="O1535" s="504"/>
      <c r="P1535" s="504"/>
    </row>
    <row r="1536" spans="2:16" ht="15.75" customHeight="1">
      <c r="B1536" s="55"/>
      <c r="C1536" s="504"/>
      <c r="D1536" s="504"/>
      <c r="E1536" s="504"/>
      <c r="F1536" s="504"/>
      <c r="G1536" s="504"/>
      <c r="H1536" s="504"/>
      <c r="I1536" s="501"/>
      <c r="J1536" s="505"/>
      <c r="K1536" s="506"/>
      <c r="L1536" s="504"/>
      <c r="M1536" s="504"/>
      <c r="N1536" s="504"/>
      <c r="O1536" s="504"/>
      <c r="P1536" s="504"/>
    </row>
    <row r="1537" spans="2:16" ht="15.75" customHeight="1">
      <c r="B1537" s="55"/>
      <c r="C1537" s="504"/>
      <c r="D1537" s="504"/>
      <c r="E1537" s="504"/>
      <c r="F1537" s="504"/>
      <c r="G1537" s="504"/>
      <c r="H1537" s="504"/>
      <c r="I1537" s="501"/>
      <c r="J1537" s="505"/>
      <c r="K1537" s="506"/>
      <c r="L1537" s="504"/>
      <c r="M1537" s="504"/>
      <c r="N1537" s="504"/>
      <c r="O1537" s="504"/>
      <c r="P1537" s="504"/>
    </row>
    <row r="1538" spans="2:16" ht="15.75" customHeight="1">
      <c r="B1538" s="55"/>
      <c r="C1538" s="504"/>
      <c r="D1538" s="504"/>
      <c r="E1538" s="504"/>
      <c r="F1538" s="504"/>
      <c r="G1538" s="504"/>
      <c r="H1538" s="504"/>
      <c r="I1538" s="501"/>
      <c r="J1538" s="505"/>
      <c r="K1538" s="506"/>
      <c r="L1538" s="504"/>
      <c r="M1538" s="504"/>
      <c r="N1538" s="504"/>
      <c r="O1538" s="504"/>
      <c r="P1538" s="504"/>
    </row>
    <row r="1539" spans="2:16" ht="15.75" customHeight="1">
      <c r="B1539" s="55"/>
      <c r="C1539" s="504"/>
      <c r="D1539" s="504"/>
      <c r="E1539" s="504"/>
      <c r="F1539" s="504"/>
      <c r="G1539" s="504"/>
      <c r="H1539" s="504"/>
      <c r="I1539" s="501"/>
      <c r="J1539" s="505"/>
      <c r="K1539" s="506"/>
      <c r="L1539" s="504"/>
      <c r="M1539" s="504"/>
      <c r="N1539" s="504"/>
      <c r="O1539" s="504"/>
      <c r="P1539" s="504"/>
    </row>
    <row r="1540" spans="2:16" ht="15.75" customHeight="1">
      <c r="B1540" s="55"/>
      <c r="C1540" s="504"/>
      <c r="D1540" s="504"/>
      <c r="E1540" s="504"/>
      <c r="F1540" s="504"/>
      <c r="G1540" s="504"/>
      <c r="H1540" s="504"/>
      <c r="I1540" s="501"/>
      <c r="J1540" s="505"/>
      <c r="K1540" s="506"/>
      <c r="L1540" s="504"/>
      <c r="M1540" s="504"/>
      <c r="N1540" s="504"/>
      <c r="O1540" s="504"/>
      <c r="P1540" s="504"/>
    </row>
    <row r="1541" spans="2:16" ht="15.75" customHeight="1">
      <c r="B1541" s="55"/>
      <c r="C1541" s="504"/>
      <c r="D1541" s="504"/>
      <c r="E1541" s="504"/>
      <c r="F1541" s="504"/>
      <c r="G1541" s="504"/>
      <c r="H1541" s="504"/>
      <c r="I1541" s="501"/>
      <c r="J1541" s="505"/>
      <c r="K1541" s="506"/>
      <c r="L1541" s="504"/>
      <c r="M1541" s="504"/>
      <c r="N1541" s="504"/>
      <c r="O1541" s="504"/>
      <c r="P1541" s="504"/>
    </row>
    <row r="1542" spans="2:16" ht="15.75" customHeight="1">
      <c r="B1542" s="55"/>
      <c r="C1542" s="504"/>
      <c r="D1542" s="504"/>
      <c r="E1542" s="504"/>
      <c r="F1542" s="504"/>
      <c r="G1542" s="504"/>
      <c r="H1542" s="504"/>
      <c r="I1542" s="501"/>
      <c r="J1542" s="505"/>
      <c r="K1542" s="506"/>
      <c r="L1542" s="504"/>
      <c r="M1542" s="504"/>
      <c r="N1542" s="504"/>
      <c r="O1542" s="504"/>
      <c r="P1542" s="504"/>
    </row>
    <row r="1543" spans="2:16" ht="15.75" customHeight="1">
      <c r="B1543" s="55"/>
      <c r="C1543" s="504"/>
      <c r="D1543" s="504"/>
      <c r="E1543" s="504"/>
      <c r="F1543" s="504"/>
      <c r="G1543" s="504"/>
      <c r="H1543" s="504"/>
      <c r="I1543" s="501"/>
      <c r="J1543" s="505"/>
      <c r="K1543" s="506"/>
      <c r="L1543" s="504"/>
      <c r="M1543" s="504"/>
      <c r="N1543" s="504"/>
      <c r="O1543" s="504"/>
      <c r="P1543" s="504"/>
    </row>
    <row r="1544" spans="2:16" ht="15.75" customHeight="1">
      <c r="B1544" s="55"/>
      <c r="C1544" s="504"/>
      <c r="D1544" s="504"/>
      <c r="E1544" s="504"/>
      <c r="F1544" s="504"/>
      <c r="G1544" s="504"/>
      <c r="H1544" s="504"/>
      <c r="I1544" s="501"/>
      <c r="J1544" s="505"/>
      <c r="K1544" s="506"/>
      <c r="L1544" s="504"/>
      <c r="M1544" s="504"/>
      <c r="N1544" s="504"/>
      <c r="O1544" s="504"/>
      <c r="P1544" s="504"/>
    </row>
    <row r="1545" spans="2:16" ht="15.75" customHeight="1">
      <c r="B1545" s="55"/>
      <c r="C1545" s="504"/>
      <c r="D1545" s="504"/>
      <c r="E1545" s="504"/>
      <c r="F1545" s="504"/>
      <c r="G1545" s="504"/>
      <c r="H1545" s="504"/>
      <c r="I1545" s="501"/>
      <c r="J1545" s="505"/>
      <c r="K1545" s="506"/>
      <c r="L1545" s="504"/>
      <c r="M1545" s="504"/>
      <c r="N1545" s="504"/>
      <c r="O1545" s="504"/>
      <c r="P1545" s="504"/>
    </row>
    <row r="1546" spans="2:16" ht="15.75" customHeight="1">
      <c r="B1546" s="55"/>
      <c r="C1546" s="504"/>
      <c r="D1546" s="504"/>
      <c r="E1546" s="504"/>
      <c r="F1546" s="504"/>
      <c r="G1546" s="504"/>
      <c r="H1546" s="504"/>
      <c r="I1546" s="501"/>
      <c r="J1546" s="505"/>
      <c r="K1546" s="506"/>
      <c r="L1546" s="504"/>
      <c r="M1546" s="504"/>
      <c r="N1546" s="504"/>
      <c r="O1546" s="504"/>
      <c r="P1546" s="504"/>
    </row>
    <row r="1547" spans="2:16" ht="15.75" customHeight="1">
      <c r="B1547" s="55"/>
      <c r="C1547" s="504"/>
      <c r="D1547" s="504"/>
      <c r="E1547" s="504"/>
      <c r="F1547" s="504"/>
      <c r="G1547" s="504"/>
      <c r="H1547" s="504"/>
      <c r="I1547" s="501"/>
      <c r="J1547" s="505"/>
      <c r="K1547" s="506"/>
      <c r="L1547" s="504"/>
      <c r="M1547" s="504"/>
      <c r="N1547" s="504"/>
      <c r="O1547" s="504"/>
      <c r="P1547" s="504"/>
    </row>
    <row r="1548" spans="2:16" ht="15.75" customHeight="1">
      <c r="B1548" s="55"/>
      <c r="C1548" s="504"/>
      <c r="D1548" s="504"/>
      <c r="E1548" s="504"/>
      <c r="F1548" s="504"/>
      <c r="G1548" s="504"/>
      <c r="H1548" s="504"/>
      <c r="I1548" s="501"/>
      <c r="J1548" s="505"/>
      <c r="K1548" s="506"/>
      <c r="L1548" s="504"/>
      <c r="M1548" s="504"/>
      <c r="N1548" s="504"/>
      <c r="O1548" s="504"/>
      <c r="P1548" s="504"/>
    </row>
    <row r="1549" spans="2:16" ht="15.75" customHeight="1">
      <c r="B1549" s="55"/>
      <c r="C1549" s="504"/>
      <c r="D1549" s="504"/>
      <c r="E1549" s="504"/>
      <c r="F1549" s="504"/>
      <c r="G1549" s="504"/>
      <c r="H1549" s="504"/>
      <c r="I1549" s="501"/>
      <c r="J1549" s="505"/>
      <c r="K1549" s="506"/>
      <c r="L1549" s="504"/>
      <c r="M1549" s="504"/>
      <c r="N1549" s="504"/>
      <c r="O1549" s="504"/>
      <c r="P1549" s="504"/>
    </row>
    <row r="1550" spans="2:16" ht="15.75" customHeight="1">
      <c r="B1550" s="55"/>
      <c r="C1550" s="504"/>
      <c r="D1550" s="504"/>
      <c r="E1550" s="504"/>
      <c r="F1550" s="504"/>
      <c r="G1550" s="504"/>
      <c r="H1550" s="504"/>
      <c r="I1550" s="501"/>
      <c r="J1550" s="505"/>
      <c r="K1550" s="506"/>
      <c r="L1550" s="504"/>
      <c r="M1550" s="504"/>
      <c r="N1550" s="504"/>
      <c r="O1550" s="504"/>
      <c r="P1550" s="504"/>
    </row>
    <row r="1551" spans="2:16" ht="15.75" customHeight="1">
      <c r="B1551" s="55"/>
      <c r="C1551" s="504"/>
      <c r="D1551" s="504"/>
      <c r="E1551" s="504"/>
      <c r="F1551" s="504"/>
      <c r="G1551" s="504"/>
      <c r="H1551" s="504"/>
      <c r="I1551" s="501"/>
      <c r="J1551" s="505"/>
      <c r="K1551" s="506"/>
      <c r="L1551" s="504"/>
      <c r="M1551" s="504"/>
      <c r="N1551" s="504"/>
      <c r="O1551" s="504"/>
      <c r="P1551" s="504"/>
    </row>
    <row r="1552" spans="2:16" ht="15.75" customHeight="1">
      <c r="B1552" s="55"/>
      <c r="C1552" s="504"/>
      <c r="D1552" s="504"/>
      <c r="E1552" s="504"/>
      <c r="F1552" s="504"/>
      <c r="G1552" s="504"/>
      <c r="H1552" s="504"/>
      <c r="I1552" s="501"/>
      <c r="J1552" s="505"/>
      <c r="K1552" s="506"/>
      <c r="L1552" s="504"/>
      <c r="M1552" s="504"/>
      <c r="N1552" s="504"/>
      <c r="O1552" s="504"/>
      <c r="P1552" s="504"/>
    </row>
    <row r="1553" spans="2:16" ht="15.75" customHeight="1">
      <c r="B1553" s="55"/>
      <c r="C1553" s="504"/>
      <c r="D1553" s="504"/>
      <c r="E1553" s="504"/>
      <c r="F1553" s="504"/>
      <c r="G1553" s="504"/>
      <c r="H1553" s="504"/>
      <c r="I1553" s="501"/>
      <c r="J1553" s="505"/>
      <c r="K1553" s="506"/>
      <c r="L1553" s="504"/>
      <c r="M1553" s="504"/>
      <c r="N1553" s="504"/>
      <c r="O1553" s="504"/>
      <c r="P1553" s="504"/>
    </row>
    <row r="1554" spans="2:16" ht="15.75" customHeight="1">
      <c r="B1554" s="55"/>
      <c r="C1554" s="504"/>
      <c r="D1554" s="504"/>
      <c r="E1554" s="504"/>
      <c r="F1554" s="504"/>
      <c r="G1554" s="504"/>
      <c r="H1554" s="504"/>
      <c r="I1554" s="501"/>
      <c r="J1554" s="505"/>
      <c r="K1554" s="506"/>
      <c r="L1554" s="504"/>
      <c r="M1554" s="504"/>
      <c r="N1554" s="504"/>
      <c r="O1554" s="504"/>
      <c r="P1554" s="504"/>
    </row>
    <row r="1555" spans="2:16" ht="15.75" customHeight="1">
      <c r="B1555" s="55"/>
      <c r="C1555" s="504"/>
      <c r="D1555" s="504"/>
      <c r="E1555" s="504"/>
      <c r="F1555" s="504"/>
      <c r="G1555" s="504"/>
      <c r="H1555" s="504"/>
      <c r="I1555" s="501"/>
      <c r="J1555" s="505"/>
      <c r="K1555" s="506"/>
      <c r="L1555" s="504"/>
      <c r="M1555" s="504"/>
      <c r="N1555" s="504"/>
      <c r="O1555" s="504"/>
      <c r="P1555" s="504"/>
    </row>
    <row r="1556" spans="2:16" ht="15.75" customHeight="1">
      <c r="B1556" s="55"/>
      <c r="C1556" s="504"/>
      <c r="D1556" s="504"/>
      <c r="E1556" s="504"/>
      <c r="F1556" s="504"/>
      <c r="G1556" s="504"/>
      <c r="H1556" s="504"/>
      <c r="I1556" s="501"/>
      <c r="J1556" s="505"/>
      <c r="K1556" s="506"/>
      <c r="L1556" s="504"/>
      <c r="M1556" s="504"/>
      <c r="N1556" s="504"/>
      <c r="O1556" s="504"/>
      <c r="P1556" s="504"/>
    </row>
    <row r="1557" spans="2:16" ht="15.75" customHeight="1">
      <c r="B1557" s="55"/>
      <c r="C1557" s="504"/>
      <c r="D1557" s="504"/>
      <c r="E1557" s="504"/>
      <c r="F1557" s="504"/>
      <c r="G1557" s="504"/>
      <c r="H1557" s="504"/>
      <c r="I1557" s="501"/>
      <c r="J1557" s="505"/>
      <c r="K1557" s="506"/>
      <c r="L1557" s="504"/>
      <c r="M1557" s="504"/>
      <c r="N1557" s="504"/>
      <c r="O1557" s="504"/>
      <c r="P1557" s="504"/>
    </row>
    <row r="1558" spans="2:16" ht="15.75" customHeight="1">
      <c r="B1558" s="55"/>
      <c r="C1558" s="504"/>
      <c r="D1558" s="504"/>
      <c r="E1558" s="504"/>
      <c r="F1558" s="504"/>
      <c r="G1558" s="504"/>
      <c r="H1558" s="504"/>
      <c r="I1558" s="501"/>
      <c r="J1558" s="505"/>
      <c r="K1558" s="506"/>
      <c r="L1558" s="504"/>
      <c r="M1558" s="504"/>
      <c r="N1558" s="504"/>
      <c r="O1558" s="504"/>
      <c r="P1558" s="504"/>
    </row>
    <row r="1559" spans="2:16" ht="15.75" customHeight="1">
      <c r="B1559" s="55"/>
      <c r="C1559" s="504"/>
      <c r="D1559" s="504"/>
      <c r="E1559" s="504"/>
      <c r="F1559" s="504"/>
      <c r="G1559" s="504"/>
      <c r="H1559" s="504"/>
      <c r="I1559" s="501"/>
      <c r="J1559" s="505"/>
      <c r="K1559" s="506"/>
      <c r="L1559" s="504"/>
      <c r="M1559" s="504"/>
      <c r="N1559" s="504"/>
      <c r="O1559" s="504"/>
      <c r="P1559" s="504"/>
    </row>
    <row r="1560" spans="2:16" ht="15.75" customHeight="1">
      <c r="B1560" s="55"/>
      <c r="C1560" s="504"/>
      <c r="D1560" s="504"/>
      <c r="E1560" s="504"/>
      <c r="F1560" s="504"/>
      <c r="G1560" s="504"/>
      <c r="H1560" s="504"/>
      <c r="I1560" s="501"/>
      <c r="J1560" s="505"/>
      <c r="K1560" s="506"/>
      <c r="L1560" s="504"/>
      <c r="M1560" s="504"/>
      <c r="N1560" s="504"/>
      <c r="O1560" s="504"/>
      <c r="P1560" s="504"/>
    </row>
    <row r="1561" spans="2:16" ht="15.75" customHeight="1">
      <c r="B1561" s="55"/>
      <c r="C1561" s="504"/>
      <c r="D1561" s="504"/>
      <c r="E1561" s="504"/>
      <c r="F1561" s="504"/>
      <c r="G1561" s="504"/>
      <c r="H1561" s="504"/>
      <c r="I1561" s="501"/>
      <c r="J1561" s="505"/>
      <c r="K1561" s="506"/>
      <c r="L1561" s="504"/>
      <c r="M1561" s="504"/>
      <c r="N1561" s="504"/>
      <c r="O1561" s="504"/>
      <c r="P1561" s="504"/>
    </row>
    <row r="1562" spans="2:16" ht="15.75" customHeight="1">
      <c r="B1562" s="55"/>
      <c r="C1562" s="504"/>
      <c r="D1562" s="504"/>
      <c r="E1562" s="504"/>
      <c r="F1562" s="504"/>
      <c r="G1562" s="504"/>
      <c r="H1562" s="504"/>
      <c r="I1562" s="501"/>
      <c r="J1562" s="505"/>
      <c r="K1562" s="506"/>
      <c r="L1562" s="504"/>
      <c r="M1562" s="504"/>
      <c r="N1562" s="504"/>
      <c r="O1562" s="504"/>
      <c r="P1562" s="504"/>
    </row>
    <row r="1563" spans="2:16" ht="15.75" customHeight="1">
      <c r="B1563" s="55"/>
      <c r="C1563" s="504"/>
      <c r="D1563" s="504"/>
      <c r="E1563" s="504"/>
      <c r="F1563" s="504"/>
      <c r="G1563" s="504"/>
      <c r="H1563" s="504"/>
      <c r="I1563" s="501"/>
      <c r="J1563" s="505"/>
      <c r="K1563" s="506"/>
      <c r="L1563" s="504"/>
      <c r="M1563" s="504"/>
      <c r="N1563" s="504"/>
      <c r="O1563" s="504"/>
      <c r="P1563" s="504"/>
    </row>
    <row r="1564" spans="2:16" ht="15.75" customHeight="1">
      <c r="B1564" s="55"/>
      <c r="C1564" s="504"/>
      <c r="D1564" s="504"/>
      <c r="E1564" s="504"/>
      <c r="F1564" s="504"/>
      <c r="G1564" s="504"/>
      <c r="H1564" s="504"/>
      <c r="I1564" s="501"/>
      <c r="J1564" s="505"/>
      <c r="K1564" s="506"/>
      <c r="L1564" s="504"/>
      <c r="M1564" s="504"/>
      <c r="N1564" s="504"/>
      <c r="O1564" s="504"/>
      <c r="P1564" s="504"/>
    </row>
    <row r="1565" spans="2:16" ht="15.75" customHeight="1">
      <c r="B1565" s="55"/>
      <c r="C1565" s="504"/>
      <c r="D1565" s="504"/>
      <c r="E1565" s="504"/>
      <c r="F1565" s="504"/>
      <c r="G1565" s="504"/>
      <c r="H1565" s="504"/>
      <c r="I1565" s="501"/>
      <c r="J1565" s="505"/>
      <c r="K1565" s="506"/>
      <c r="L1565" s="504"/>
      <c r="M1565" s="504"/>
      <c r="N1565" s="504"/>
      <c r="O1565" s="504"/>
      <c r="P1565" s="504"/>
    </row>
    <row r="1566" spans="2:16" ht="15.75" customHeight="1">
      <c r="B1566" s="55"/>
      <c r="C1566" s="504"/>
      <c r="D1566" s="504"/>
      <c r="E1566" s="504"/>
      <c r="F1566" s="504"/>
      <c r="G1566" s="504"/>
      <c r="H1566" s="504"/>
      <c r="I1566" s="501"/>
      <c r="J1566" s="505"/>
      <c r="K1566" s="506"/>
      <c r="L1566" s="504"/>
      <c r="M1566" s="504"/>
      <c r="N1566" s="504"/>
      <c r="O1566" s="504"/>
      <c r="P1566" s="504"/>
    </row>
    <row r="1567" spans="2:16" ht="15.75" customHeight="1">
      <c r="B1567" s="55"/>
      <c r="C1567" s="504"/>
      <c r="D1567" s="504"/>
      <c r="E1567" s="504"/>
      <c r="F1567" s="504"/>
      <c r="G1567" s="504"/>
      <c r="H1567" s="504"/>
      <c r="I1567" s="501"/>
      <c r="J1567" s="505"/>
      <c r="K1567" s="506"/>
      <c r="L1567" s="504"/>
      <c r="M1567" s="504"/>
      <c r="N1567" s="504"/>
      <c r="O1567" s="504"/>
      <c r="P1567" s="504"/>
    </row>
    <row r="1568" spans="2:16" ht="15.75" customHeight="1">
      <c r="B1568" s="55"/>
      <c r="C1568" s="504"/>
      <c r="D1568" s="504"/>
      <c r="E1568" s="504"/>
      <c r="F1568" s="504"/>
      <c r="G1568" s="504"/>
      <c r="H1568" s="504"/>
      <c r="I1568" s="501"/>
      <c r="J1568" s="505"/>
      <c r="K1568" s="506"/>
      <c r="L1568" s="504"/>
      <c r="M1568" s="504"/>
      <c r="N1568" s="504"/>
      <c r="O1568" s="504"/>
      <c r="P1568" s="504"/>
    </row>
    <row r="1569" spans="2:16" ht="15.75" customHeight="1">
      <c r="B1569" s="55"/>
      <c r="C1569" s="504"/>
      <c r="D1569" s="504"/>
      <c r="E1569" s="504"/>
      <c r="F1569" s="504"/>
      <c r="G1569" s="504"/>
      <c r="H1569" s="504"/>
      <c r="I1569" s="501"/>
      <c r="J1569" s="505"/>
      <c r="K1569" s="506"/>
      <c r="L1569" s="504"/>
      <c r="M1569" s="504"/>
      <c r="N1569" s="504"/>
      <c r="O1569" s="504"/>
      <c r="P1569" s="504"/>
    </row>
    <row r="1570" spans="2:16" ht="15.75" customHeight="1">
      <c r="B1570" s="55"/>
      <c r="C1570" s="504"/>
      <c r="D1570" s="504"/>
      <c r="E1570" s="504"/>
      <c r="F1570" s="504"/>
      <c r="G1570" s="504"/>
      <c r="H1570" s="504"/>
      <c r="I1570" s="501"/>
      <c r="J1570" s="505"/>
      <c r="K1570" s="506"/>
      <c r="L1570" s="504"/>
      <c r="M1570" s="504"/>
      <c r="N1570" s="504"/>
      <c r="O1570" s="504"/>
      <c r="P1570" s="504"/>
    </row>
    <row r="1571" spans="2:16" ht="15.75" customHeight="1">
      <c r="B1571" s="55"/>
      <c r="C1571" s="504"/>
      <c r="D1571" s="504"/>
      <c r="E1571" s="504"/>
      <c r="F1571" s="504"/>
      <c r="G1571" s="504"/>
      <c r="H1571" s="504"/>
      <c r="I1571" s="501"/>
      <c r="J1571" s="505"/>
      <c r="K1571" s="506"/>
      <c r="L1571" s="504"/>
      <c r="M1571" s="504"/>
      <c r="N1571" s="504"/>
      <c r="O1571" s="504"/>
      <c r="P1571" s="504"/>
    </row>
    <row r="1572" spans="2:16" ht="15.75" customHeight="1">
      <c r="B1572" s="55"/>
      <c r="C1572" s="504"/>
      <c r="D1572" s="504"/>
      <c r="E1572" s="504"/>
      <c r="F1572" s="504"/>
      <c r="G1572" s="504"/>
      <c r="H1572" s="504"/>
      <c r="I1572" s="501"/>
      <c r="J1572" s="505"/>
      <c r="K1572" s="506"/>
      <c r="L1572" s="504"/>
      <c r="M1572" s="504"/>
      <c r="N1572" s="504"/>
      <c r="O1572" s="504"/>
      <c r="P1572" s="504"/>
    </row>
    <row r="1573" spans="2:16" ht="15.75" customHeight="1">
      <c r="B1573" s="55"/>
      <c r="C1573" s="504"/>
      <c r="D1573" s="504"/>
      <c r="E1573" s="504"/>
      <c r="F1573" s="504"/>
      <c r="G1573" s="504"/>
      <c r="H1573" s="504"/>
      <c r="I1573" s="501"/>
      <c r="J1573" s="505"/>
      <c r="K1573" s="506"/>
      <c r="L1573" s="504"/>
      <c r="M1573" s="504"/>
      <c r="N1573" s="504"/>
      <c r="O1573" s="504"/>
      <c r="P1573" s="504"/>
    </row>
    <row r="1574" spans="2:16" ht="15.75" customHeight="1">
      <c r="B1574" s="55"/>
      <c r="C1574" s="504"/>
      <c r="D1574" s="504"/>
      <c r="E1574" s="504"/>
      <c r="F1574" s="504"/>
      <c r="G1574" s="504"/>
      <c r="H1574" s="504"/>
      <c r="I1574" s="501"/>
      <c r="J1574" s="505"/>
      <c r="K1574" s="506"/>
      <c r="L1574" s="504"/>
      <c r="M1574" s="504"/>
      <c r="N1574" s="504"/>
      <c r="O1574" s="504"/>
      <c r="P1574" s="504"/>
    </row>
    <row r="1575" spans="2:16" ht="15.75" customHeight="1">
      <c r="B1575" s="55"/>
      <c r="C1575" s="504"/>
      <c r="D1575" s="504"/>
      <c r="E1575" s="504"/>
      <c r="F1575" s="504"/>
      <c r="G1575" s="504"/>
      <c r="H1575" s="504"/>
      <c r="I1575" s="501"/>
      <c r="J1575" s="505"/>
      <c r="K1575" s="506"/>
      <c r="L1575" s="504"/>
      <c r="M1575" s="504"/>
      <c r="N1575" s="504"/>
      <c r="O1575" s="504"/>
      <c r="P1575" s="504"/>
    </row>
    <row r="1576" spans="2:16" ht="15.75" customHeight="1">
      <c r="B1576" s="55"/>
      <c r="C1576" s="504"/>
      <c r="D1576" s="504"/>
      <c r="E1576" s="504"/>
      <c r="F1576" s="504"/>
      <c r="G1576" s="504"/>
      <c r="H1576" s="504"/>
      <c r="I1576" s="501"/>
      <c r="J1576" s="505"/>
      <c r="K1576" s="506"/>
      <c r="L1576" s="504"/>
      <c r="M1576" s="504"/>
      <c r="N1576" s="504"/>
      <c r="O1576" s="504"/>
      <c r="P1576" s="504"/>
    </row>
    <row r="1577" spans="2:16" ht="15.75" customHeight="1">
      <c r="B1577" s="55"/>
      <c r="C1577" s="504"/>
      <c r="D1577" s="504"/>
      <c r="E1577" s="504"/>
      <c r="F1577" s="504"/>
      <c r="G1577" s="504"/>
      <c r="H1577" s="504"/>
      <c r="I1577" s="501"/>
      <c r="J1577" s="505"/>
      <c r="K1577" s="506"/>
      <c r="L1577" s="504"/>
      <c r="M1577" s="504"/>
      <c r="N1577" s="504"/>
      <c r="O1577" s="504"/>
      <c r="P1577" s="504"/>
    </row>
    <row r="1578" spans="2:16" ht="15.75" customHeight="1">
      <c r="B1578" s="55"/>
      <c r="C1578" s="504"/>
      <c r="D1578" s="504"/>
      <c r="E1578" s="504"/>
      <c r="F1578" s="504"/>
      <c r="G1578" s="504"/>
      <c r="H1578" s="504"/>
      <c r="I1578" s="501"/>
      <c r="J1578" s="505"/>
      <c r="K1578" s="506"/>
      <c r="L1578" s="504"/>
      <c r="M1578" s="504"/>
      <c r="N1578" s="504"/>
      <c r="O1578" s="504"/>
      <c r="P1578" s="504"/>
    </row>
    <row r="1579" spans="2:16" ht="15.75" customHeight="1">
      <c r="B1579" s="55"/>
      <c r="C1579" s="504"/>
      <c r="D1579" s="504"/>
      <c r="E1579" s="504"/>
      <c r="F1579" s="504"/>
      <c r="G1579" s="504"/>
      <c r="H1579" s="504"/>
      <c r="I1579" s="501"/>
      <c r="J1579" s="505"/>
      <c r="K1579" s="506"/>
      <c r="L1579" s="504"/>
      <c r="M1579" s="504"/>
      <c r="N1579" s="504"/>
      <c r="O1579" s="504"/>
      <c r="P1579" s="504"/>
    </row>
    <row r="1580" spans="2:16" ht="15.75" customHeight="1">
      <c r="B1580" s="55"/>
      <c r="C1580" s="504"/>
      <c r="D1580" s="504"/>
      <c r="E1580" s="504"/>
      <c r="F1580" s="504"/>
      <c r="G1580" s="504"/>
      <c r="H1580" s="504"/>
      <c r="I1580" s="501"/>
      <c r="J1580" s="505"/>
      <c r="K1580" s="506"/>
      <c r="L1580" s="504"/>
      <c r="M1580" s="504"/>
      <c r="N1580" s="504"/>
      <c r="O1580" s="504"/>
      <c r="P1580" s="504"/>
    </row>
    <row r="1581" spans="2:16" ht="15.75" customHeight="1">
      <c r="B1581" s="55"/>
      <c r="C1581" s="504"/>
      <c r="D1581" s="504"/>
      <c r="E1581" s="504"/>
      <c r="F1581" s="504"/>
      <c r="G1581" s="504"/>
      <c r="H1581" s="504"/>
      <c r="I1581" s="501"/>
      <c r="J1581" s="505"/>
      <c r="K1581" s="506"/>
      <c r="L1581" s="504"/>
      <c r="M1581" s="504"/>
      <c r="N1581" s="504"/>
      <c r="O1581" s="504"/>
      <c r="P1581" s="504"/>
    </row>
    <row r="1582" spans="2:16" ht="15.75" customHeight="1">
      <c r="B1582" s="55"/>
      <c r="C1582" s="504"/>
      <c r="D1582" s="504"/>
      <c r="E1582" s="504"/>
      <c r="F1582" s="504"/>
      <c r="G1582" s="504"/>
      <c r="H1582" s="504"/>
      <c r="I1582" s="501"/>
      <c r="J1582" s="505"/>
      <c r="K1582" s="506"/>
      <c r="L1582" s="504"/>
      <c r="M1582" s="504"/>
      <c r="N1582" s="504"/>
      <c r="O1582" s="504"/>
      <c r="P1582" s="504"/>
    </row>
    <row r="1583" spans="2:16" ht="15.75" customHeight="1">
      <c r="B1583" s="55"/>
      <c r="C1583" s="504"/>
      <c r="D1583" s="504"/>
      <c r="E1583" s="504"/>
      <c r="F1583" s="504"/>
      <c r="G1583" s="504"/>
      <c r="H1583" s="504"/>
      <c r="I1583" s="501"/>
      <c r="J1583" s="505"/>
      <c r="K1583" s="506"/>
      <c r="L1583" s="504"/>
      <c r="M1583" s="504"/>
      <c r="N1583" s="504"/>
      <c r="O1583" s="504"/>
      <c r="P1583" s="504"/>
    </row>
    <row r="1584" spans="2:16" ht="15.75" customHeight="1">
      <c r="B1584" s="55"/>
      <c r="C1584" s="504"/>
      <c r="D1584" s="504"/>
      <c r="E1584" s="504"/>
      <c r="F1584" s="504"/>
      <c r="G1584" s="504"/>
      <c r="H1584" s="504"/>
      <c r="I1584" s="501"/>
      <c r="J1584" s="505"/>
      <c r="K1584" s="506"/>
      <c r="L1584" s="504"/>
      <c r="M1584" s="504"/>
      <c r="N1584" s="504"/>
      <c r="O1584" s="504"/>
      <c r="P1584" s="504"/>
    </row>
    <row r="1585" spans="2:16" ht="15.75" customHeight="1">
      <c r="B1585" s="55"/>
      <c r="C1585" s="504"/>
      <c r="D1585" s="504"/>
      <c r="E1585" s="504"/>
      <c r="F1585" s="504"/>
      <c r="G1585" s="504"/>
      <c r="H1585" s="504"/>
      <c r="I1585" s="501"/>
      <c r="J1585" s="505"/>
      <c r="K1585" s="506"/>
      <c r="L1585" s="504"/>
      <c r="M1585" s="504"/>
      <c r="N1585" s="504"/>
      <c r="O1585" s="504"/>
      <c r="P1585" s="504"/>
    </row>
    <row r="1586" spans="2:16" ht="15.75" customHeight="1">
      <c r="B1586" s="55"/>
      <c r="C1586" s="504"/>
      <c r="D1586" s="504"/>
      <c r="E1586" s="504"/>
      <c r="F1586" s="504"/>
      <c r="G1586" s="504"/>
      <c r="H1586" s="504"/>
      <c r="I1586" s="501"/>
      <c r="J1586" s="505"/>
      <c r="K1586" s="506"/>
      <c r="L1586" s="504"/>
      <c r="M1586" s="504"/>
      <c r="N1586" s="504"/>
      <c r="O1586" s="504"/>
      <c r="P1586" s="504"/>
    </row>
    <row r="1587" spans="2:16" ht="15.75" customHeight="1">
      <c r="B1587" s="55"/>
      <c r="C1587" s="504"/>
      <c r="D1587" s="504"/>
      <c r="E1587" s="504"/>
      <c r="F1587" s="504"/>
      <c r="G1587" s="504"/>
      <c r="H1587" s="504"/>
      <c r="I1587" s="501"/>
      <c r="J1587" s="505"/>
      <c r="K1587" s="506"/>
      <c r="L1587" s="504"/>
      <c r="M1587" s="504"/>
      <c r="N1587" s="504"/>
      <c r="O1587" s="504"/>
      <c r="P1587" s="504"/>
    </row>
    <row r="1588" spans="2:16" ht="15.75" customHeight="1">
      <c r="B1588" s="55"/>
      <c r="C1588" s="504"/>
      <c r="D1588" s="504"/>
      <c r="E1588" s="504"/>
      <c r="F1588" s="504"/>
      <c r="G1588" s="504"/>
      <c r="H1588" s="504"/>
      <c r="I1588" s="501"/>
      <c r="J1588" s="505"/>
      <c r="K1588" s="506"/>
      <c r="L1588" s="504"/>
      <c r="M1588" s="504"/>
      <c r="N1588" s="504"/>
      <c r="O1588" s="504"/>
      <c r="P1588" s="504"/>
    </row>
    <row r="1589" spans="2:16" ht="15.75" customHeight="1">
      <c r="B1589" s="55"/>
      <c r="C1589" s="504"/>
      <c r="D1589" s="504"/>
      <c r="E1589" s="504"/>
      <c r="F1589" s="504"/>
      <c r="G1589" s="504"/>
      <c r="H1589" s="504"/>
      <c r="I1589" s="501"/>
      <c r="J1589" s="505"/>
      <c r="K1589" s="506"/>
      <c r="L1589" s="504"/>
      <c r="M1589" s="504"/>
      <c r="N1589" s="504"/>
      <c r="O1589" s="504"/>
      <c r="P1589" s="504"/>
    </row>
    <row r="1590" spans="2:16" ht="15.75" customHeight="1">
      <c r="B1590" s="55"/>
      <c r="C1590" s="504"/>
      <c r="D1590" s="504"/>
      <c r="E1590" s="504"/>
      <c r="F1590" s="504"/>
      <c r="G1590" s="504"/>
      <c r="H1590" s="504"/>
      <c r="I1590" s="501"/>
      <c r="J1590" s="505"/>
      <c r="K1590" s="506"/>
      <c r="L1590" s="504"/>
      <c r="M1590" s="504"/>
      <c r="N1590" s="504"/>
      <c r="O1590" s="504"/>
      <c r="P1590" s="504"/>
    </row>
    <row r="1591" spans="2:16" ht="15.75" customHeight="1">
      <c r="B1591" s="55"/>
      <c r="C1591" s="504"/>
      <c r="D1591" s="504"/>
      <c r="E1591" s="504"/>
      <c r="F1591" s="504"/>
      <c r="G1591" s="504"/>
      <c r="H1591" s="504"/>
      <c r="I1591" s="501"/>
      <c r="J1591" s="505"/>
      <c r="K1591" s="506"/>
      <c r="L1591" s="504"/>
      <c r="M1591" s="504"/>
      <c r="N1591" s="504"/>
      <c r="O1591" s="504"/>
      <c r="P1591" s="504"/>
    </row>
    <row r="1592" spans="2:16" ht="15.75" customHeight="1">
      <c r="B1592" s="55"/>
      <c r="C1592" s="504"/>
      <c r="D1592" s="504"/>
      <c r="E1592" s="504"/>
      <c r="F1592" s="504"/>
      <c r="G1592" s="504"/>
      <c r="H1592" s="504"/>
      <c r="I1592" s="501"/>
      <c r="J1592" s="505"/>
      <c r="K1592" s="506"/>
      <c r="L1592" s="504"/>
      <c r="M1592" s="504"/>
      <c r="N1592" s="504"/>
      <c r="O1592" s="504"/>
      <c r="P1592" s="504"/>
    </row>
    <row r="1593" spans="2:16" ht="15.75" customHeight="1">
      <c r="B1593" s="55"/>
      <c r="C1593" s="504"/>
      <c r="D1593" s="504"/>
      <c r="E1593" s="504"/>
      <c r="F1593" s="504"/>
      <c r="G1593" s="504"/>
      <c r="H1593" s="504"/>
      <c r="I1593" s="501"/>
      <c r="J1593" s="505"/>
      <c r="K1593" s="506"/>
      <c r="L1593" s="504"/>
      <c r="M1593" s="504"/>
      <c r="N1593" s="504"/>
      <c r="O1593" s="504"/>
      <c r="P1593" s="504"/>
    </row>
    <row r="1594" spans="2:16" ht="15.75" customHeight="1">
      <c r="B1594" s="55"/>
      <c r="C1594" s="504"/>
      <c r="D1594" s="504"/>
      <c r="E1594" s="504"/>
      <c r="F1594" s="504"/>
      <c r="G1594" s="504"/>
      <c r="H1594" s="504"/>
      <c r="I1594" s="501"/>
      <c r="J1594" s="505"/>
      <c r="K1594" s="506"/>
      <c r="L1594" s="504"/>
      <c r="M1594" s="504"/>
      <c r="N1594" s="504"/>
      <c r="O1594" s="504"/>
      <c r="P1594" s="504"/>
    </row>
    <row r="1595" spans="2:16" ht="15.75" customHeight="1">
      <c r="B1595" s="55"/>
      <c r="C1595" s="504"/>
      <c r="D1595" s="504"/>
      <c r="E1595" s="504"/>
      <c r="F1595" s="504"/>
      <c r="G1595" s="504"/>
      <c r="H1595" s="504"/>
      <c r="I1595" s="501"/>
      <c r="J1595" s="505"/>
      <c r="K1595" s="506"/>
      <c r="L1595" s="504"/>
      <c r="M1595" s="504"/>
      <c r="N1595" s="504"/>
      <c r="O1595" s="504"/>
      <c r="P1595" s="504"/>
    </row>
    <row r="1596" spans="2:16" ht="15.75" customHeight="1">
      <c r="B1596" s="55"/>
      <c r="C1596" s="504"/>
      <c r="D1596" s="504"/>
      <c r="E1596" s="504"/>
      <c r="F1596" s="504"/>
      <c r="G1596" s="504"/>
      <c r="H1596" s="504"/>
      <c r="I1596" s="501"/>
      <c r="J1596" s="505"/>
      <c r="K1596" s="506"/>
      <c r="L1596" s="504"/>
      <c r="M1596" s="504"/>
      <c r="N1596" s="504"/>
      <c r="O1596" s="504"/>
      <c r="P1596" s="504"/>
    </row>
    <row r="1597" spans="2:16" ht="15.75" customHeight="1">
      <c r="B1597" s="55"/>
      <c r="C1597" s="504"/>
      <c r="D1597" s="504"/>
      <c r="E1597" s="504"/>
      <c r="F1597" s="504"/>
      <c r="G1597" s="504"/>
      <c r="H1597" s="504"/>
      <c r="I1597" s="501"/>
      <c r="J1597" s="505"/>
      <c r="K1597" s="506"/>
      <c r="L1597" s="504"/>
      <c r="M1597" s="504"/>
      <c r="N1597" s="504"/>
      <c r="O1597" s="504"/>
      <c r="P1597" s="504"/>
    </row>
    <row r="1598" spans="2:16" ht="15.75" customHeight="1">
      <c r="B1598" s="55"/>
      <c r="C1598" s="504"/>
      <c r="D1598" s="504"/>
      <c r="E1598" s="504"/>
      <c r="F1598" s="504"/>
      <c r="G1598" s="504"/>
      <c r="H1598" s="504"/>
      <c r="I1598" s="501"/>
      <c r="J1598" s="505"/>
      <c r="K1598" s="506"/>
      <c r="L1598" s="504"/>
      <c r="M1598" s="504"/>
      <c r="N1598" s="504"/>
      <c r="O1598" s="504"/>
      <c r="P1598" s="504"/>
    </row>
    <row r="1599" spans="2:16" ht="15.75" customHeight="1">
      <c r="B1599" s="55"/>
      <c r="C1599" s="504"/>
      <c r="D1599" s="504"/>
      <c r="E1599" s="504"/>
      <c r="F1599" s="504"/>
      <c r="G1599" s="504"/>
      <c r="H1599" s="504"/>
      <c r="I1599" s="501"/>
      <c r="J1599" s="505"/>
      <c r="K1599" s="506"/>
      <c r="L1599" s="504"/>
      <c r="M1599" s="504"/>
      <c r="N1599" s="504"/>
      <c r="O1599" s="504"/>
      <c r="P1599" s="504"/>
    </row>
    <row r="1600" spans="2:16" ht="15.75" customHeight="1">
      <c r="B1600" s="55"/>
      <c r="C1600" s="504"/>
      <c r="D1600" s="504"/>
      <c r="E1600" s="504"/>
      <c r="F1600" s="504"/>
      <c r="G1600" s="504"/>
      <c r="H1600" s="504"/>
      <c r="I1600" s="501"/>
      <c r="J1600" s="505"/>
      <c r="K1600" s="506"/>
      <c r="L1600" s="504"/>
      <c r="M1600" s="504"/>
      <c r="N1600" s="504"/>
      <c r="O1600" s="504"/>
      <c r="P1600" s="504"/>
    </row>
    <row r="1601" spans="2:16" ht="15.75" customHeight="1">
      <c r="B1601" s="55"/>
      <c r="C1601" s="504"/>
      <c r="D1601" s="504"/>
      <c r="E1601" s="504"/>
      <c r="F1601" s="504"/>
      <c r="G1601" s="504"/>
      <c r="H1601" s="504"/>
      <c r="I1601" s="501"/>
      <c r="J1601" s="505"/>
      <c r="K1601" s="506"/>
      <c r="L1601" s="504"/>
      <c r="M1601" s="504"/>
      <c r="N1601" s="504"/>
      <c r="O1601" s="504"/>
      <c r="P1601" s="504"/>
    </row>
    <row r="1602" spans="2:16" ht="15.75" customHeight="1">
      <c r="B1602" s="55"/>
      <c r="C1602" s="504"/>
      <c r="D1602" s="504"/>
      <c r="E1602" s="504"/>
      <c r="F1602" s="504"/>
      <c r="G1602" s="504"/>
      <c r="H1602" s="504"/>
      <c r="I1602" s="501"/>
      <c r="J1602" s="505"/>
      <c r="K1602" s="506"/>
      <c r="L1602" s="504"/>
      <c r="M1602" s="504"/>
      <c r="N1602" s="504"/>
      <c r="O1602" s="504"/>
      <c r="P1602" s="504"/>
    </row>
    <row r="1603" spans="2:16" ht="15.75" customHeight="1">
      <c r="B1603" s="55"/>
      <c r="C1603" s="504"/>
      <c r="D1603" s="504"/>
      <c r="E1603" s="504"/>
      <c r="F1603" s="504"/>
      <c r="G1603" s="504"/>
      <c r="H1603" s="504"/>
      <c r="I1603" s="501"/>
      <c r="J1603" s="505"/>
      <c r="K1603" s="506"/>
      <c r="L1603" s="504"/>
      <c r="M1603" s="504"/>
      <c r="N1603" s="504"/>
      <c r="O1603" s="504"/>
      <c r="P1603" s="504"/>
    </row>
    <row r="1604" spans="2:16" ht="15.75" customHeight="1">
      <c r="B1604" s="55"/>
      <c r="C1604" s="504"/>
      <c r="D1604" s="504"/>
      <c r="E1604" s="504"/>
      <c r="F1604" s="504"/>
      <c r="G1604" s="504"/>
      <c r="H1604" s="504"/>
      <c r="I1604" s="501"/>
      <c r="J1604" s="505"/>
      <c r="K1604" s="506"/>
      <c r="L1604" s="504"/>
      <c r="M1604" s="504"/>
      <c r="N1604" s="504"/>
      <c r="O1604" s="504"/>
      <c r="P1604" s="504"/>
    </row>
    <row r="1605" spans="2:16" ht="15.75" customHeight="1">
      <c r="B1605" s="55"/>
      <c r="C1605" s="504"/>
      <c r="D1605" s="504"/>
      <c r="E1605" s="504"/>
      <c r="F1605" s="504"/>
      <c r="G1605" s="504"/>
      <c r="H1605" s="504"/>
      <c r="I1605" s="501"/>
      <c r="J1605" s="505"/>
      <c r="K1605" s="506"/>
      <c r="L1605" s="504"/>
      <c r="M1605" s="504"/>
      <c r="N1605" s="504"/>
      <c r="O1605" s="504"/>
      <c r="P1605" s="504"/>
    </row>
    <row r="1606" spans="2:16" ht="15.75" customHeight="1">
      <c r="B1606" s="55"/>
      <c r="C1606" s="504"/>
      <c r="D1606" s="504"/>
      <c r="E1606" s="504"/>
      <c r="F1606" s="504"/>
      <c r="G1606" s="504"/>
      <c r="H1606" s="504"/>
      <c r="I1606" s="501"/>
      <c r="J1606" s="505"/>
      <c r="K1606" s="506"/>
      <c r="L1606" s="504"/>
      <c r="M1606" s="504"/>
      <c r="N1606" s="504"/>
      <c r="O1606" s="504"/>
      <c r="P1606" s="504"/>
    </row>
    <row r="1607" spans="2:16" ht="15.75" customHeight="1">
      <c r="B1607" s="55"/>
      <c r="C1607" s="504"/>
      <c r="D1607" s="504"/>
      <c r="E1607" s="504"/>
      <c r="F1607" s="504"/>
      <c r="G1607" s="504"/>
      <c r="H1607" s="504"/>
      <c r="I1607" s="501"/>
      <c r="J1607" s="505"/>
      <c r="K1607" s="506"/>
      <c r="L1607" s="504"/>
      <c r="M1607" s="504"/>
      <c r="N1607" s="504"/>
      <c r="O1607" s="504"/>
      <c r="P1607" s="504"/>
    </row>
    <row r="1608" spans="2:16" ht="15.75" customHeight="1">
      <c r="B1608" s="55"/>
      <c r="C1608" s="504"/>
      <c r="D1608" s="504"/>
      <c r="E1608" s="504"/>
      <c r="F1608" s="504"/>
      <c r="G1608" s="504"/>
      <c r="H1608" s="504"/>
      <c r="I1608" s="501"/>
      <c r="J1608" s="505"/>
      <c r="K1608" s="506"/>
      <c r="L1608" s="504"/>
      <c r="M1608" s="504"/>
      <c r="N1608" s="504"/>
      <c r="O1608" s="504"/>
      <c r="P1608" s="504"/>
    </row>
    <row r="1609" spans="2:16" ht="15.75" customHeight="1">
      <c r="B1609" s="55"/>
      <c r="C1609" s="504"/>
      <c r="D1609" s="504"/>
      <c r="E1609" s="504"/>
      <c r="F1609" s="504"/>
      <c r="G1609" s="504"/>
      <c r="H1609" s="504"/>
      <c r="I1609" s="501"/>
      <c r="J1609" s="505"/>
      <c r="K1609" s="506"/>
      <c r="L1609" s="504"/>
      <c r="M1609" s="504"/>
      <c r="N1609" s="504"/>
      <c r="O1609" s="504"/>
      <c r="P1609" s="504"/>
    </row>
    <row r="1610" spans="2:16" ht="15.75" customHeight="1">
      <c r="B1610" s="55"/>
      <c r="C1610" s="504"/>
      <c r="D1610" s="504"/>
      <c r="E1610" s="504"/>
      <c r="F1610" s="504"/>
      <c r="G1610" s="504"/>
      <c r="H1610" s="504"/>
      <c r="I1610" s="501"/>
      <c r="J1610" s="505"/>
      <c r="K1610" s="506"/>
      <c r="L1610" s="504"/>
      <c r="M1610" s="504"/>
      <c r="N1610" s="504"/>
      <c r="O1610" s="504"/>
      <c r="P1610" s="504"/>
    </row>
    <row r="1611" spans="2:16" ht="15.75" customHeight="1">
      <c r="B1611" s="55"/>
      <c r="C1611" s="504"/>
      <c r="D1611" s="504"/>
      <c r="E1611" s="504"/>
      <c r="F1611" s="504"/>
      <c r="G1611" s="504"/>
      <c r="H1611" s="504"/>
      <c r="I1611" s="501"/>
      <c r="J1611" s="505"/>
      <c r="K1611" s="506"/>
      <c r="L1611" s="504"/>
      <c r="M1611" s="504"/>
      <c r="N1611" s="504"/>
      <c r="O1611" s="504"/>
      <c r="P1611" s="504"/>
    </row>
    <row r="1612" spans="2:16" ht="15.75" customHeight="1">
      <c r="B1612" s="55"/>
      <c r="C1612" s="504"/>
      <c r="D1612" s="504"/>
      <c r="E1612" s="504"/>
      <c r="F1612" s="504"/>
      <c r="G1612" s="504"/>
      <c r="H1612" s="504"/>
      <c r="I1612" s="501"/>
      <c r="J1612" s="505"/>
      <c r="K1612" s="506"/>
      <c r="L1612" s="504"/>
      <c r="M1612" s="504"/>
      <c r="N1612" s="504"/>
      <c r="O1612" s="504"/>
      <c r="P1612" s="504"/>
    </row>
    <row r="1613" spans="2:16" ht="15.75" customHeight="1">
      <c r="B1613" s="55"/>
      <c r="C1613" s="504"/>
      <c r="D1613" s="504"/>
      <c r="E1613" s="504"/>
      <c r="F1613" s="504"/>
      <c r="G1613" s="504"/>
      <c r="H1613" s="504"/>
      <c r="I1613" s="501"/>
      <c r="J1613" s="505"/>
      <c r="K1613" s="506"/>
      <c r="L1613" s="504"/>
      <c r="M1613" s="504"/>
      <c r="N1613" s="504"/>
      <c r="O1613" s="504"/>
      <c r="P1613" s="504"/>
    </row>
    <row r="1614" spans="2:16" ht="15.75" customHeight="1">
      <c r="B1614" s="55"/>
      <c r="C1614" s="504"/>
      <c r="D1614" s="504"/>
      <c r="E1614" s="504"/>
      <c r="F1614" s="504"/>
      <c r="G1614" s="504"/>
      <c r="H1614" s="504"/>
      <c r="I1614" s="501"/>
      <c r="J1614" s="505"/>
      <c r="K1614" s="506"/>
      <c r="L1614" s="504"/>
      <c r="M1614" s="504"/>
      <c r="N1614" s="504"/>
      <c r="O1614" s="504"/>
      <c r="P1614" s="504"/>
    </row>
    <row r="1615" spans="2:16" ht="15.75" customHeight="1">
      <c r="B1615" s="55"/>
      <c r="C1615" s="504"/>
      <c r="D1615" s="504"/>
      <c r="E1615" s="504"/>
      <c r="F1615" s="504"/>
      <c r="G1615" s="504"/>
      <c r="H1615" s="504"/>
      <c r="I1615" s="501"/>
      <c r="J1615" s="505"/>
      <c r="K1615" s="506"/>
      <c r="L1615" s="504"/>
      <c r="M1615" s="504"/>
      <c r="N1615" s="504"/>
      <c r="O1615" s="504"/>
      <c r="P1615" s="504"/>
    </row>
    <row r="1616" spans="2:16" ht="15.75" customHeight="1">
      <c r="B1616" s="55"/>
      <c r="C1616" s="504"/>
      <c r="D1616" s="504"/>
      <c r="E1616" s="504"/>
      <c r="F1616" s="504"/>
      <c r="G1616" s="504"/>
      <c r="H1616" s="504"/>
      <c r="I1616" s="501"/>
      <c r="J1616" s="505"/>
      <c r="K1616" s="506"/>
      <c r="L1616" s="504"/>
      <c r="M1616" s="504"/>
      <c r="N1616" s="504"/>
      <c r="O1616" s="504"/>
      <c r="P1616" s="504"/>
    </row>
    <row r="1617" spans="2:16" ht="15.75" customHeight="1">
      <c r="B1617" s="55"/>
      <c r="C1617" s="504"/>
      <c r="D1617" s="504"/>
      <c r="E1617" s="504"/>
      <c r="F1617" s="504"/>
      <c r="G1617" s="504"/>
      <c r="H1617" s="504"/>
      <c r="I1617" s="501"/>
      <c r="J1617" s="505"/>
      <c r="K1617" s="506"/>
      <c r="L1617" s="504"/>
      <c r="M1617" s="504"/>
      <c r="N1617" s="504"/>
      <c r="O1617" s="504"/>
      <c r="P1617" s="504"/>
    </row>
    <row r="1618" spans="2:16" ht="15.75" customHeight="1">
      <c r="B1618" s="55"/>
      <c r="C1618" s="504"/>
      <c r="D1618" s="504"/>
      <c r="E1618" s="504"/>
      <c r="F1618" s="504"/>
      <c r="G1618" s="504"/>
      <c r="H1618" s="504"/>
      <c r="I1618" s="501"/>
      <c r="J1618" s="505"/>
      <c r="K1618" s="506"/>
      <c r="L1618" s="504"/>
      <c r="M1618" s="504"/>
      <c r="N1618" s="504"/>
      <c r="O1618" s="504"/>
      <c r="P1618" s="504"/>
    </row>
    <row r="1619" spans="2:16" ht="15.75" customHeight="1">
      <c r="B1619" s="55"/>
      <c r="C1619" s="504"/>
      <c r="D1619" s="504"/>
      <c r="E1619" s="504"/>
      <c r="F1619" s="504"/>
      <c r="G1619" s="504"/>
      <c r="H1619" s="504"/>
      <c r="I1619" s="501"/>
      <c r="J1619" s="505"/>
      <c r="K1619" s="506"/>
      <c r="L1619" s="504"/>
      <c r="M1619" s="504"/>
      <c r="N1619" s="504"/>
      <c r="O1619" s="504"/>
      <c r="P1619" s="504"/>
    </row>
    <row r="1620" spans="2:16" ht="15.75" customHeight="1">
      <c r="B1620" s="55"/>
      <c r="C1620" s="504"/>
      <c r="D1620" s="504"/>
      <c r="E1620" s="504"/>
      <c r="F1620" s="504"/>
      <c r="G1620" s="504"/>
      <c r="H1620" s="504"/>
      <c r="I1620" s="501"/>
      <c r="J1620" s="505"/>
      <c r="K1620" s="506"/>
      <c r="L1620" s="504"/>
      <c r="M1620" s="504"/>
      <c r="N1620" s="504"/>
      <c r="O1620" s="504"/>
      <c r="P1620" s="504"/>
    </row>
    <row r="1621" spans="2:16" ht="15.75" customHeight="1">
      <c r="B1621" s="55"/>
      <c r="C1621" s="504"/>
      <c r="D1621" s="504"/>
      <c r="E1621" s="504"/>
      <c r="F1621" s="504"/>
      <c r="G1621" s="504"/>
      <c r="H1621" s="504"/>
      <c r="I1621" s="501"/>
      <c r="J1621" s="505"/>
      <c r="K1621" s="506"/>
      <c r="L1621" s="504"/>
      <c r="M1621" s="504"/>
      <c r="N1621" s="504"/>
      <c r="O1621" s="504"/>
      <c r="P1621" s="504"/>
    </row>
    <row r="1622" spans="2:16" ht="15.75" customHeight="1">
      <c r="B1622" s="55"/>
      <c r="C1622" s="504"/>
      <c r="D1622" s="504"/>
      <c r="E1622" s="504"/>
      <c r="F1622" s="504"/>
      <c r="G1622" s="504"/>
      <c r="H1622" s="504"/>
      <c r="I1622" s="501"/>
      <c r="J1622" s="505"/>
      <c r="K1622" s="506"/>
      <c r="L1622" s="504"/>
      <c r="M1622" s="504"/>
      <c r="N1622" s="504"/>
      <c r="O1622" s="504"/>
      <c r="P1622" s="504"/>
    </row>
    <row r="1623" spans="2:16" ht="15.75" customHeight="1">
      <c r="B1623" s="55"/>
      <c r="C1623" s="504"/>
      <c r="D1623" s="504"/>
      <c r="E1623" s="504"/>
      <c r="F1623" s="504"/>
      <c r="G1623" s="504"/>
      <c r="H1623" s="504"/>
      <c r="I1623" s="501"/>
      <c r="J1623" s="505"/>
      <c r="K1623" s="506"/>
      <c r="L1623" s="504"/>
      <c r="M1623" s="504"/>
      <c r="N1623" s="504"/>
      <c r="O1623" s="504"/>
      <c r="P1623" s="504"/>
    </row>
    <row r="1624" spans="2:16" ht="15.75" customHeight="1">
      <c r="B1624" s="55"/>
      <c r="C1624" s="504"/>
      <c r="D1624" s="504"/>
      <c r="E1624" s="504"/>
      <c r="F1624" s="504"/>
      <c r="G1624" s="504"/>
      <c r="H1624" s="504"/>
      <c r="I1624" s="501"/>
      <c r="J1624" s="505"/>
      <c r="K1624" s="506"/>
      <c r="L1624" s="504"/>
      <c r="M1624" s="504"/>
      <c r="N1624" s="504"/>
      <c r="O1624" s="504"/>
      <c r="P1624" s="504"/>
    </row>
    <row r="1625" spans="2:16" ht="15.75" customHeight="1">
      <c r="B1625" s="55"/>
      <c r="C1625" s="504"/>
      <c r="D1625" s="504"/>
      <c r="E1625" s="504"/>
      <c r="F1625" s="504"/>
      <c r="G1625" s="504"/>
      <c r="H1625" s="504"/>
      <c r="I1625" s="501"/>
      <c r="J1625" s="505"/>
      <c r="K1625" s="506"/>
      <c r="L1625" s="504"/>
      <c r="M1625" s="504"/>
      <c r="N1625" s="504"/>
      <c r="O1625" s="504"/>
      <c r="P1625" s="504"/>
    </row>
    <row r="1626" spans="2:16" ht="15.75" customHeight="1">
      <c r="B1626" s="55"/>
      <c r="C1626" s="504"/>
      <c r="D1626" s="504"/>
      <c r="E1626" s="504"/>
      <c r="F1626" s="504"/>
      <c r="G1626" s="504"/>
      <c r="H1626" s="504"/>
      <c r="I1626" s="501"/>
      <c r="J1626" s="505"/>
      <c r="K1626" s="506"/>
      <c r="L1626" s="504"/>
      <c r="M1626" s="504"/>
      <c r="N1626" s="504"/>
      <c r="O1626" s="504"/>
      <c r="P1626" s="504"/>
    </row>
    <row r="1627" spans="2:16" ht="15.75" customHeight="1">
      <c r="B1627" s="55"/>
      <c r="C1627" s="504"/>
      <c r="D1627" s="504"/>
      <c r="E1627" s="504"/>
      <c r="F1627" s="504"/>
      <c r="G1627" s="504"/>
      <c r="H1627" s="504"/>
      <c r="I1627" s="501"/>
      <c r="J1627" s="505"/>
      <c r="K1627" s="506"/>
      <c r="L1627" s="504"/>
      <c r="M1627" s="504"/>
      <c r="N1627" s="504"/>
      <c r="O1627" s="504"/>
      <c r="P1627" s="504"/>
    </row>
    <row r="1628" spans="2:16" ht="15.75" customHeight="1">
      <c r="B1628" s="55"/>
      <c r="C1628" s="504"/>
      <c r="D1628" s="504"/>
      <c r="E1628" s="504"/>
      <c r="F1628" s="504"/>
      <c r="G1628" s="504"/>
      <c r="H1628" s="504"/>
      <c r="I1628" s="501"/>
      <c r="J1628" s="505"/>
      <c r="K1628" s="506"/>
      <c r="L1628" s="504"/>
      <c r="M1628" s="504"/>
      <c r="N1628" s="504"/>
      <c r="O1628" s="504"/>
      <c r="P1628" s="504"/>
    </row>
    <row r="1629" spans="2:16" ht="15.75" customHeight="1">
      <c r="B1629" s="55"/>
      <c r="C1629" s="504"/>
      <c r="D1629" s="504"/>
      <c r="E1629" s="504"/>
      <c r="F1629" s="504"/>
      <c r="G1629" s="504"/>
      <c r="H1629" s="504"/>
      <c r="I1629" s="501"/>
      <c r="J1629" s="505"/>
      <c r="K1629" s="506"/>
      <c r="L1629" s="504"/>
      <c r="M1629" s="504"/>
      <c r="N1629" s="504"/>
      <c r="O1629" s="504"/>
      <c r="P1629" s="504"/>
    </row>
    <row r="1630" spans="2:16" ht="15.75" customHeight="1">
      <c r="B1630" s="55"/>
      <c r="C1630" s="504"/>
      <c r="D1630" s="504"/>
      <c r="E1630" s="504"/>
      <c r="F1630" s="504"/>
      <c r="G1630" s="504"/>
      <c r="H1630" s="504"/>
      <c r="I1630" s="501"/>
      <c r="J1630" s="505"/>
      <c r="K1630" s="506"/>
      <c r="L1630" s="504"/>
      <c r="M1630" s="504"/>
      <c r="N1630" s="504"/>
      <c r="O1630" s="504"/>
      <c r="P1630" s="504"/>
    </row>
    <row r="1631" spans="2:16" ht="15.75" customHeight="1">
      <c r="B1631" s="55"/>
      <c r="C1631" s="504"/>
      <c r="D1631" s="504"/>
      <c r="E1631" s="504"/>
      <c r="F1631" s="504"/>
      <c r="G1631" s="504"/>
      <c r="H1631" s="504"/>
      <c r="I1631" s="501"/>
      <c r="J1631" s="505"/>
      <c r="K1631" s="506"/>
      <c r="L1631" s="504"/>
      <c r="M1631" s="504"/>
      <c r="N1631" s="504"/>
      <c r="O1631" s="504"/>
      <c r="P1631" s="504"/>
    </row>
    <row r="1632" spans="2:16" ht="15.75" customHeight="1">
      <c r="B1632" s="55"/>
      <c r="C1632" s="504"/>
      <c r="D1632" s="504"/>
      <c r="E1632" s="504"/>
      <c r="F1632" s="504"/>
      <c r="G1632" s="504"/>
      <c r="H1632" s="504"/>
      <c r="I1632" s="501"/>
      <c r="J1632" s="505"/>
      <c r="K1632" s="506"/>
      <c r="L1632" s="504"/>
      <c r="M1632" s="504"/>
      <c r="N1632" s="504"/>
      <c r="O1632" s="504"/>
      <c r="P1632" s="504"/>
    </row>
    <row r="1633" spans="2:16" ht="15.75" customHeight="1">
      <c r="B1633" s="55"/>
      <c r="C1633" s="504"/>
      <c r="D1633" s="504"/>
      <c r="E1633" s="504"/>
      <c r="F1633" s="504"/>
      <c r="G1633" s="504"/>
      <c r="H1633" s="504"/>
      <c r="I1633" s="501"/>
      <c r="J1633" s="505"/>
      <c r="K1633" s="506"/>
      <c r="L1633" s="504"/>
      <c r="M1633" s="504"/>
      <c r="N1633" s="504"/>
      <c r="O1633" s="504"/>
      <c r="P1633" s="504"/>
    </row>
    <row r="1634" spans="2:16" ht="15.75" customHeight="1">
      <c r="B1634" s="55"/>
      <c r="C1634" s="504"/>
      <c r="D1634" s="504"/>
      <c r="E1634" s="504"/>
      <c r="F1634" s="504"/>
      <c r="G1634" s="504"/>
      <c r="H1634" s="504"/>
      <c r="I1634" s="501"/>
      <c r="J1634" s="505"/>
      <c r="K1634" s="506"/>
      <c r="L1634" s="504"/>
      <c r="M1634" s="504"/>
      <c r="N1634" s="504"/>
      <c r="O1634" s="504"/>
      <c r="P1634" s="504"/>
    </row>
    <row r="1635" spans="2:16" ht="15.75" customHeight="1">
      <c r="B1635" s="55"/>
      <c r="C1635" s="504"/>
      <c r="D1635" s="504"/>
      <c r="E1635" s="504"/>
      <c r="F1635" s="504"/>
      <c r="G1635" s="504"/>
      <c r="H1635" s="504"/>
      <c r="I1635" s="501"/>
      <c r="J1635" s="505"/>
      <c r="K1635" s="506"/>
      <c r="L1635" s="504"/>
      <c r="M1635" s="504"/>
      <c r="N1635" s="504"/>
      <c r="O1635" s="504"/>
      <c r="P1635" s="504"/>
    </row>
    <row r="1636" spans="2:16" ht="15.75" customHeight="1">
      <c r="B1636" s="55"/>
      <c r="C1636" s="504"/>
      <c r="D1636" s="504"/>
      <c r="E1636" s="504"/>
      <c r="F1636" s="504"/>
      <c r="G1636" s="504"/>
      <c r="H1636" s="504"/>
      <c r="I1636" s="501"/>
      <c r="J1636" s="505"/>
      <c r="K1636" s="506"/>
      <c r="L1636" s="504"/>
      <c r="M1636" s="504"/>
      <c r="N1636" s="504"/>
      <c r="O1636" s="504"/>
      <c r="P1636" s="504"/>
    </row>
    <row r="1637" spans="2:16" ht="15.75" customHeight="1">
      <c r="B1637" s="55"/>
      <c r="C1637" s="504"/>
      <c r="D1637" s="504"/>
      <c r="E1637" s="504"/>
      <c r="F1637" s="504"/>
      <c r="G1637" s="504"/>
      <c r="H1637" s="504"/>
      <c r="I1637" s="501"/>
      <c r="J1637" s="505"/>
      <c r="K1637" s="506"/>
      <c r="L1637" s="504"/>
      <c r="M1637" s="504"/>
      <c r="N1637" s="504"/>
      <c r="O1637" s="504"/>
      <c r="P1637" s="504"/>
    </row>
    <row r="1638" spans="2:16" ht="15.75" customHeight="1">
      <c r="B1638" s="55"/>
      <c r="C1638" s="504"/>
      <c r="D1638" s="504"/>
      <c r="E1638" s="504"/>
      <c r="F1638" s="504"/>
      <c r="G1638" s="504"/>
      <c r="H1638" s="504"/>
      <c r="I1638" s="501"/>
      <c r="J1638" s="505"/>
      <c r="K1638" s="506"/>
      <c r="L1638" s="504"/>
      <c r="M1638" s="504"/>
      <c r="N1638" s="504"/>
      <c r="O1638" s="504"/>
      <c r="P1638" s="504"/>
    </row>
    <row r="1639" spans="2:16" ht="15.75" customHeight="1">
      <c r="B1639" s="55"/>
      <c r="C1639" s="504"/>
      <c r="D1639" s="504"/>
      <c r="E1639" s="504"/>
      <c r="F1639" s="504"/>
      <c r="G1639" s="504"/>
      <c r="H1639" s="504"/>
      <c r="I1639" s="501"/>
      <c r="J1639" s="505"/>
      <c r="K1639" s="506"/>
      <c r="L1639" s="504"/>
      <c r="M1639" s="504"/>
      <c r="N1639" s="504"/>
      <c r="O1639" s="504"/>
      <c r="P1639" s="504"/>
    </row>
    <row r="1640" spans="2:16" ht="15.75" customHeight="1">
      <c r="B1640" s="55"/>
      <c r="C1640" s="504"/>
      <c r="D1640" s="504"/>
      <c r="E1640" s="504"/>
      <c r="F1640" s="504"/>
      <c r="G1640" s="504"/>
      <c r="H1640" s="504"/>
      <c r="I1640" s="501"/>
      <c r="J1640" s="505"/>
      <c r="K1640" s="506"/>
      <c r="L1640" s="504"/>
      <c r="M1640" s="504"/>
      <c r="N1640" s="504"/>
      <c r="O1640" s="504"/>
      <c r="P1640" s="504"/>
    </row>
    <row r="1641" spans="2:16" ht="15.75" customHeight="1">
      <c r="B1641" s="55"/>
      <c r="C1641" s="504"/>
      <c r="D1641" s="504"/>
      <c r="E1641" s="504"/>
      <c r="F1641" s="504"/>
      <c r="G1641" s="504"/>
      <c r="H1641" s="504"/>
      <c r="I1641" s="501"/>
      <c r="J1641" s="505"/>
      <c r="K1641" s="506"/>
      <c r="L1641" s="504"/>
      <c r="M1641" s="504"/>
      <c r="N1641" s="504"/>
      <c r="O1641" s="504"/>
      <c r="P1641" s="504"/>
    </row>
    <row r="1642" spans="2:16" ht="15.75" customHeight="1">
      <c r="B1642" s="55"/>
      <c r="C1642" s="504"/>
      <c r="D1642" s="504"/>
      <c r="E1642" s="504"/>
      <c r="F1642" s="504"/>
      <c r="G1642" s="504"/>
      <c r="H1642" s="504"/>
      <c r="I1642" s="501"/>
      <c r="J1642" s="505"/>
      <c r="K1642" s="506"/>
      <c r="L1642" s="504"/>
      <c r="M1642" s="504"/>
      <c r="N1642" s="504"/>
      <c r="O1642" s="504"/>
      <c r="P1642" s="504"/>
    </row>
    <row r="1643" spans="2:16" ht="15.75" customHeight="1">
      <c r="B1643" s="55"/>
      <c r="C1643" s="504"/>
      <c r="D1643" s="504"/>
      <c r="E1643" s="504"/>
      <c r="F1643" s="504"/>
      <c r="G1643" s="504"/>
      <c r="H1643" s="504"/>
      <c r="I1643" s="501"/>
      <c r="J1643" s="505"/>
      <c r="K1643" s="506"/>
      <c r="L1643" s="504"/>
      <c r="M1643" s="504"/>
      <c r="N1643" s="504"/>
      <c r="O1643" s="504"/>
      <c r="P1643" s="504"/>
    </row>
    <row r="1644" spans="2:16" ht="15.75" customHeight="1">
      <c r="B1644" s="55"/>
      <c r="C1644" s="504"/>
      <c r="D1644" s="504"/>
      <c r="E1644" s="504"/>
      <c r="F1644" s="504"/>
      <c r="G1644" s="504"/>
      <c r="H1644" s="504"/>
      <c r="I1644" s="501"/>
      <c r="J1644" s="505"/>
      <c r="K1644" s="506"/>
      <c r="L1644" s="504"/>
      <c r="M1644" s="504"/>
      <c r="N1644" s="504"/>
      <c r="O1644" s="504"/>
      <c r="P1644" s="504"/>
    </row>
    <row r="1645" spans="2:16" ht="15.75" customHeight="1">
      <c r="B1645" s="55"/>
      <c r="C1645" s="504"/>
      <c r="D1645" s="504"/>
      <c r="E1645" s="504"/>
      <c r="F1645" s="504"/>
      <c r="G1645" s="504"/>
      <c r="H1645" s="504"/>
      <c r="I1645" s="501"/>
      <c r="J1645" s="505"/>
      <c r="K1645" s="506"/>
      <c r="L1645" s="504"/>
      <c r="M1645" s="504"/>
      <c r="N1645" s="504"/>
      <c r="O1645" s="504"/>
      <c r="P1645" s="504"/>
    </row>
    <row r="1646" spans="2:16" ht="15.75" customHeight="1">
      <c r="B1646" s="55"/>
      <c r="C1646" s="504"/>
      <c r="D1646" s="504"/>
      <c r="E1646" s="504"/>
      <c r="F1646" s="504"/>
      <c r="G1646" s="504"/>
      <c r="H1646" s="504"/>
      <c r="I1646" s="501"/>
      <c r="J1646" s="505"/>
      <c r="K1646" s="506"/>
      <c r="L1646" s="504"/>
      <c r="M1646" s="504"/>
      <c r="N1646" s="504"/>
      <c r="O1646" s="504"/>
      <c r="P1646" s="504"/>
    </row>
    <row r="1647" spans="2:16" ht="15.75" customHeight="1">
      <c r="B1647" s="55"/>
      <c r="C1647" s="504"/>
      <c r="D1647" s="504"/>
      <c r="E1647" s="504"/>
      <c r="F1647" s="504"/>
      <c r="G1647" s="504"/>
      <c r="H1647" s="504"/>
      <c r="I1647" s="501"/>
      <c r="J1647" s="505"/>
      <c r="K1647" s="506"/>
      <c r="L1647" s="504"/>
      <c r="M1647" s="504"/>
      <c r="N1647" s="504"/>
      <c r="O1647" s="504"/>
      <c r="P1647" s="504"/>
    </row>
    <row r="1648" spans="2:16" ht="15.75" customHeight="1">
      <c r="B1648" s="55"/>
      <c r="C1648" s="504"/>
      <c r="D1648" s="504"/>
      <c r="E1648" s="504"/>
      <c r="F1648" s="504"/>
      <c r="G1648" s="504"/>
      <c r="H1648" s="504"/>
      <c r="I1648" s="501"/>
      <c r="J1648" s="505"/>
      <c r="K1648" s="506"/>
      <c r="L1648" s="504"/>
      <c r="M1648" s="504"/>
      <c r="N1648" s="504"/>
      <c r="O1648" s="504"/>
      <c r="P1648" s="504"/>
    </row>
    <row r="1649" spans="2:16" ht="15.75" customHeight="1">
      <c r="B1649" s="55"/>
      <c r="C1649" s="504"/>
      <c r="D1649" s="504"/>
      <c r="E1649" s="504"/>
      <c r="F1649" s="504"/>
      <c r="G1649" s="504"/>
      <c r="H1649" s="504"/>
      <c r="I1649" s="501"/>
      <c r="J1649" s="505"/>
      <c r="K1649" s="506"/>
      <c r="L1649" s="504"/>
      <c r="M1649" s="504"/>
      <c r="N1649" s="504"/>
      <c r="O1649" s="504"/>
      <c r="P1649" s="504"/>
    </row>
    <row r="1650" spans="2:16" ht="15.75" customHeight="1">
      <c r="B1650" s="55"/>
      <c r="C1650" s="504"/>
      <c r="D1650" s="504"/>
      <c r="E1650" s="504"/>
      <c r="F1650" s="504"/>
      <c r="G1650" s="504"/>
      <c r="H1650" s="504"/>
      <c r="I1650" s="501"/>
      <c r="J1650" s="505"/>
      <c r="K1650" s="506"/>
      <c r="L1650" s="504"/>
      <c r="M1650" s="504"/>
      <c r="N1650" s="504"/>
      <c r="O1650" s="504"/>
      <c r="P1650" s="504"/>
    </row>
    <row r="1651" spans="2:16" ht="15.75" customHeight="1">
      <c r="B1651" s="55"/>
      <c r="C1651" s="504"/>
      <c r="D1651" s="504"/>
      <c r="E1651" s="504"/>
      <c r="F1651" s="504"/>
      <c r="G1651" s="504"/>
      <c r="H1651" s="504"/>
      <c r="I1651" s="501"/>
      <c r="J1651" s="505"/>
      <c r="K1651" s="506"/>
      <c r="L1651" s="504"/>
      <c r="M1651" s="504"/>
      <c r="N1651" s="504"/>
      <c r="O1651" s="504"/>
      <c r="P1651" s="504"/>
    </row>
    <row r="1652" spans="2:16" ht="15.75" customHeight="1">
      <c r="B1652" s="55"/>
      <c r="C1652" s="504"/>
      <c r="D1652" s="504"/>
      <c r="E1652" s="504"/>
      <c r="F1652" s="504"/>
      <c r="G1652" s="504"/>
      <c r="H1652" s="504"/>
      <c r="I1652" s="501"/>
      <c r="J1652" s="505"/>
      <c r="K1652" s="506"/>
      <c r="L1652" s="504"/>
      <c r="M1652" s="504"/>
      <c r="N1652" s="504"/>
      <c r="O1652" s="504"/>
      <c r="P1652" s="504"/>
    </row>
    <row r="1653" spans="2:16" ht="15.75" customHeight="1">
      <c r="B1653" s="55"/>
      <c r="C1653" s="504"/>
      <c r="D1653" s="504"/>
      <c r="E1653" s="504"/>
      <c r="F1653" s="504"/>
      <c r="G1653" s="504"/>
      <c r="H1653" s="504"/>
      <c r="I1653" s="501"/>
      <c r="J1653" s="505"/>
      <c r="K1653" s="506"/>
      <c r="L1653" s="504"/>
      <c r="M1653" s="504"/>
      <c r="N1653" s="504"/>
      <c r="O1653" s="504"/>
      <c r="P1653" s="504"/>
    </row>
    <row r="1654" spans="2:16" ht="15.75" customHeight="1">
      <c r="B1654" s="55"/>
      <c r="C1654" s="504"/>
      <c r="D1654" s="504"/>
      <c r="E1654" s="504"/>
      <c r="F1654" s="504"/>
      <c r="G1654" s="504"/>
      <c r="H1654" s="504"/>
      <c r="I1654" s="501"/>
      <c r="J1654" s="505"/>
      <c r="K1654" s="506"/>
      <c r="L1654" s="504"/>
      <c r="M1654" s="504"/>
      <c r="N1654" s="504"/>
      <c r="O1654" s="504"/>
      <c r="P1654" s="504"/>
    </row>
    <row r="1655" spans="2:16" ht="15.75" customHeight="1">
      <c r="B1655" s="55"/>
      <c r="C1655" s="504"/>
      <c r="D1655" s="504"/>
      <c r="E1655" s="504"/>
      <c r="F1655" s="504"/>
      <c r="G1655" s="504"/>
      <c r="H1655" s="504"/>
      <c r="I1655" s="501"/>
      <c r="J1655" s="505"/>
      <c r="K1655" s="506"/>
      <c r="L1655" s="504"/>
      <c r="M1655" s="504"/>
      <c r="N1655" s="504"/>
      <c r="O1655" s="504"/>
      <c r="P1655" s="504"/>
    </row>
    <row r="1656" spans="2:16" ht="15.75" customHeight="1">
      <c r="B1656" s="55"/>
      <c r="C1656" s="504"/>
      <c r="D1656" s="504"/>
      <c r="E1656" s="504"/>
      <c r="F1656" s="504"/>
      <c r="G1656" s="504"/>
      <c r="H1656" s="504"/>
      <c r="I1656" s="501"/>
      <c r="J1656" s="505"/>
      <c r="K1656" s="506"/>
      <c r="L1656" s="504"/>
      <c r="M1656" s="504"/>
      <c r="N1656" s="504"/>
      <c r="O1656" s="504"/>
      <c r="P1656" s="504"/>
    </row>
    <row r="1657" spans="2:16" ht="15.75" customHeight="1">
      <c r="B1657" s="55"/>
      <c r="C1657" s="504"/>
      <c r="D1657" s="504"/>
      <c r="E1657" s="504"/>
      <c r="F1657" s="504"/>
      <c r="G1657" s="504"/>
      <c r="H1657" s="504"/>
      <c r="I1657" s="501"/>
      <c r="J1657" s="505"/>
      <c r="K1657" s="506"/>
      <c r="L1657" s="504"/>
      <c r="M1657" s="504"/>
      <c r="N1657" s="504"/>
      <c r="O1657" s="504"/>
      <c r="P1657" s="504"/>
    </row>
    <row r="1658" spans="2:16" ht="15.75" customHeight="1">
      <c r="B1658" s="55"/>
      <c r="C1658" s="504"/>
      <c r="D1658" s="504"/>
      <c r="E1658" s="504"/>
      <c r="F1658" s="504"/>
      <c r="G1658" s="504"/>
      <c r="H1658" s="504"/>
      <c r="I1658" s="501"/>
      <c r="J1658" s="505"/>
      <c r="K1658" s="506"/>
      <c r="L1658" s="504"/>
      <c r="M1658" s="504"/>
      <c r="N1658" s="504"/>
      <c r="O1658" s="504"/>
      <c r="P1658" s="504"/>
    </row>
    <row r="1659" spans="2:16" ht="15.75" customHeight="1">
      <c r="B1659" s="55"/>
      <c r="C1659" s="504"/>
      <c r="D1659" s="504"/>
      <c r="E1659" s="504"/>
      <c r="F1659" s="504"/>
      <c r="G1659" s="504"/>
      <c r="H1659" s="504"/>
      <c r="I1659" s="501"/>
      <c r="J1659" s="505"/>
      <c r="K1659" s="506"/>
      <c r="L1659" s="504"/>
      <c r="M1659" s="504"/>
      <c r="N1659" s="504"/>
      <c r="O1659" s="504"/>
      <c r="P1659" s="504"/>
    </row>
    <row r="1660" spans="2:16" ht="15.75" customHeight="1">
      <c r="B1660" s="55"/>
      <c r="C1660" s="504"/>
      <c r="D1660" s="504"/>
      <c r="E1660" s="504"/>
      <c r="F1660" s="504"/>
      <c r="G1660" s="504"/>
      <c r="H1660" s="504"/>
      <c r="I1660" s="501"/>
      <c r="J1660" s="505"/>
      <c r="K1660" s="506"/>
      <c r="L1660" s="504"/>
      <c r="M1660" s="504"/>
      <c r="N1660" s="504"/>
      <c r="O1660" s="504"/>
      <c r="P1660" s="504"/>
    </row>
    <row r="1661" spans="2:16" ht="15.75" customHeight="1">
      <c r="B1661" s="55"/>
      <c r="C1661" s="504"/>
      <c r="D1661" s="504"/>
      <c r="E1661" s="504"/>
      <c r="F1661" s="504"/>
      <c r="G1661" s="504"/>
      <c r="H1661" s="504"/>
      <c r="I1661" s="501"/>
      <c r="J1661" s="505"/>
      <c r="K1661" s="506"/>
      <c r="L1661" s="504"/>
      <c r="M1661" s="504"/>
      <c r="N1661" s="504"/>
      <c r="O1661" s="504"/>
      <c r="P1661" s="504"/>
    </row>
    <row r="1662" spans="2:16" ht="15.75" customHeight="1">
      <c r="B1662" s="55"/>
      <c r="C1662" s="504"/>
      <c r="D1662" s="504"/>
      <c r="E1662" s="504"/>
      <c r="F1662" s="504"/>
      <c r="G1662" s="504"/>
      <c r="H1662" s="504"/>
      <c r="I1662" s="501"/>
      <c r="J1662" s="505"/>
      <c r="K1662" s="506"/>
      <c r="L1662" s="504"/>
      <c r="M1662" s="504"/>
      <c r="N1662" s="504"/>
      <c r="O1662" s="504"/>
      <c r="P1662" s="504"/>
    </row>
    <row r="1663" spans="2:16" ht="15.75" customHeight="1">
      <c r="B1663" s="55"/>
      <c r="C1663" s="504"/>
      <c r="D1663" s="504"/>
      <c r="E1663" s="504"/>
      <c r="F1663" s="504"/>
      <c r="G1663" s="504"/>
      <c r="H1663" s="504"/>
      <c r="I1663" s="501"/>
      <c r="J1663" s="505"/>
      <c r="K1663" s="506"/>
      <c r="L1663" s="504"/>
      <c r="M1663" s="504"/>
      <c r="N1663" s="504"/>
      <c r="O1663" s="504"/>
      <c r="P1663" s="504"/>
    </row>
    <row r="1664" spans="2:16" ht="15.75" customHeight="1">
      <c r="B1664" s="55"/>
      <c r="C1664" s="504"/>
      <c r="D1664" s="504"/>
      <c r="E1664" s="504"/>
      <c r="F1664" s="504"/>
      <c r="G1664" s="504"/>
      <c r="H1664" s="504"/>
      <c r="I1664" s="501"/>
      <c r="J1664" s="505"/>
      <c r="K1664" s="506"/>
      <c r="L1664" s="504"/>
      <c r="M1664" s="504"/>
      <c r="N1664" s="504"/>
      <c r="O1664" s="504"/>
      <c r="P1664" s="504"/>
    </row>
    <row r="1665" spans="2:16" ht="15.75" customHeight="1">
      <c r="B1665" s="55"/>
      <c r="C1665" s="504"/>
      <c r="D1665" s="504"/>
      <c r="E1665" s="504"/>
      <c r="F1665" s="504"/>
      <c r="G1665" s="504"/>
      <c r="H1665" s="504"/>
      <c r="I1665" s="501"/>
      <c r="J1665" s="505"/>
      <c r="K1665" s="506"/>
      <c r="L1665" s="504"/>
      <c r="M1665" s="504"/>
      <c r="N1665" s="504"/>
      <c r="O1665" s="504"/>
      <c r="P1665" s="504"/>
    </row>
    <row r="1666" spans="2:16" ht="15.75" customHeight="1">
      <c r="B1666" s="55"/>
      <c r="C1666" s="504"/>
      <c r="D1666" s="504"/>
      <c r="E1666" s="504"/>
      <c r="F1666" s="504"/>
      <c r="G1666" s="504"/>
      <c r="H1666" s="504"/>
      <c r="I1666" s="501"/>
      <c r="J1666" s="505"/>
      <c r="K1666" s="506"/>
      <c r="L1666" s="504"/>
      <c r="M1666" s="504"/>
      <c r="N1666" s="504"/>
      <c r="O1666" s="504"/>
      <c r="P1666" s="504"/>
    </row>
    <row r="1667" spans="2:16" ht="15.75" customHeight="1">
      <c r="B1667" s="55"/>
      <c r="C1667" s="504"/>
      <c r="D1667" s="504"/>
      <c r="E1667" s="504"/>
      <c r="F1667" s="504"/>
      <c r="G1667" s="504"/>
      <c r="H1667" s="504"/>
      <c r="I1667" s="501"/>
      <c r="J1667" s="505"/>
      <c r="K1667" s="506"/>
      <c r="L1667" s="504"/>
      <c r="M1667" s="504"/>
      <c r="N1667" s="504"/>
      <c r="O1667" s="504"/>
      <c r="P1667" s="504"/>
    </row>
    <row r="1668" spans="2:16" ht="15.75" customHeight="1">
      <c r="B1668" s="55"/>
      <c r="C1668" s="504"/>
      <c r="D1668" s="504"/>
      <c r="E1668" s="504"/>
      <c r="F1668" s="504"/>
      <c r="G1668" s="504"/>
      <c r="H1668" s="504"/>
      <c r="I1668" s="501"/>
      <c r="J1668" s="505"/>
      <c r="K1668" s="506"/>
      <c r="L1668" s="504"/>
      <c r="M1668" s="504"/>
      <c r="N1668" s="504"/>
      <c r="O1668" s="504"/>
      <c r="P1668" s="504"/>
    </row>
    <row r="1669" spans="2:16" ht="15.75" customHeight="1">
      <c r="B1669" s="55"/>
      <c r="C1669" s="504"/>
      <c r="D1669" s="504"/>
      <c r="E1669" s="504"/>
      <c r="F1669" s="504"/>
      <c r="G1669" s="504"/>
      <c r="H1669" s="504"/>
      <c r="I1669" s="501"/>
      <c r="J1669" s="505"/>
      <c r="K1669" s="506"/>
      <c r="L1669" s="504"/>
      <c r="M1669" s="504"/>
      <c r="N1669" s="504"/>
      <c r="O1669" s="504"/>
      <c r="P1669" s="504"/>
    </row>
    <row r="1670" spans="2:16" ht="15.75" customHeight="1">
      <c r="B1670" s="55"/>
      <c r="C1670" s="504"/>
      <c r="D1670" s="504"/>
      <c r="E1670" s="504"/>
      <c r="F1670" s="504"/>
      <c r="G1670" s="504"/>
      <c r="H1670" s="504"/>
      <c r="I1670" s="501"/>
      <c r="J1670" s="505"/>
      <c r="K1670" s="506"/>
      <c r="L1670" s="504"/>
      <c r="M1670" s="504"/>
      <c r="N1670" s="504"/>
      <c r="O1670" s="504"/>
      <c r="P1670" s="504"/>
    </row>
    <row r="1671" spans="2:16" ht="15.75" customHeight="1">
      <c r="B1671" s="55"/>
      <c r="C1671" s="504"/>
      <c r="D1671" s="504"/>
      <c r="E1671" s="504"/>
      <c r="F1671" s="504"/>
      <c r="G1671" s="504"/>
      <c r="H1671" s="504"/>
      <c r="I1671" s="501"/>
      <c r="J1671" s="505"/>
      <c r="K1671" s="506"/>
      <c r="L1671" s="504"/>
      <c r="M1671" s="504"/>
      <c r="N1671" s="504"/>
      <c r="O1671" s="504"/>
      <c r="P1671" s="504"/>
    </row>
    <row r="1672" spans="2:16" ht="15.75" customHeight="1">
      <c r="B1672" s="55"/>
      <c r="C1672" s="504"/>
      <c r="D1672" s="504"/>
      <c r="E1672" s="504"/>
      <c r="F1672" s="504"/>
      <c r="G1672" s="504"/>
      <c r="H1672" s="504"/>
      <c r="I1672" s="501"/>
      <c r="J1672" s="505"/>
      <c r="K1672" s="506"/>
      <c r="L1672" s="504"/>
      <c r="M1672" s="504"/>
      <c r="N1672" s="504"/>
      <c r="O1672" s="504"/>
      <c r="P1672" s="504"/>
    </row>
    <row r="1673" spans="2:16" ht="15.75" customHeight="1">
      <c r="B1673" s="55"/>
      <c r="C1673" s="504"/>
      <c r="D1673" s="504"/>
      <c r="E1673" s="504"/>
      <c r="F1673" s="504"/>
      <c r="G1673" s="504"/>
      <c r="H1673" s="504"/>
      <c r="I1673" s="501"/>
      <c r="J1673" s="505"/>
      <c r="K1673" s="506"/>
      <c r="L1673" s="504"/>
      <c r="M1673" s="504"/>
      <c r="N1673" s="504"/>
      <c r="O1673" s="504"/>
      <c r="P1673" s="504"/>
    </row>
    <row r="1674" spans="2:16" ht="15.75" customHeight="1">
      <c r="B1674" s="55"/>
      <c r="C1674" s="504"/>
      <c r="D1674" s="504"/>
      <c r="E1674" s="504"/>
      <c r="F1674" s="504"/>
      <c r="G1674" s="504"/>
      <c r="H1674" s="504"/>
      <c r="I1674" s="501"/>
      <c r="J1674" s="505"/>
      <c r="K1674" s="506"/>
      <c r="L1674" s="504"/>
      <c r="M1674" s="504"/>
      <c r="N1674" s="504"/>
      <c r="O1674" s="504"/>
      <c r="P1674" s="504"/>
    </row>
    <row r="1675" spans="2:16" ht="15.75" customHeight="1">
      <c r="B1675" s="55"/>
      <c r="C1675" s="504"/>
      <c r="D1675" s="504"/>
      <c r="E1675" s="504"/>
      <c r="F1675" s="504"/>
      <c r="G1675" s="504"/>
      <c r="H1675" s="504"/>
      <c r="I1675" s="501"/>
      <c r="J1675" s="505"/>
      <c r="K1675" s="506"/>
      <c r="L1675" s="504"/>
      <c r="M1675" s="504"/>
      <c r="N1675" s="504"/>
      <c r="O1675" s="504"/>
      <c r="P1675" s="504"/>
    </row>
    <row r="1676" spans="2:16" ht="15.75" customHeight="1">
      <c r="B1676" s="55"/>
      <c r="C1676" s="504"/>
      <c r="D1676" s="504"/>
      <c r="E1676" s="504"/>
      <c r="F1676" s="504"/>
      <c r="G1676" s="504"/>
      <c r="H1676" s="504"/>
      <c r="I1676" s="501"/>
      <c r="J1676" s="505"/>
      <c r="K1676" s="506"/>
      <c r="L1676" s="504"/>
      <c r="M1676" s="504"/>
      <c r="N1676" s="504"/>
      <c r="O1676" s="504"/>
      <c r="P1676" s="504"/>
    </row>
    <row r="1677" spans="2:16" ht="15.75" customHeight="1">
      <c r="B1677" s="55"/>
      <c r="C1677" s="504"/>
      <c r="D1677" s="504"/>
      <c r="E1677" s="504"/>
      <c r="F1677" s="504"/>
      <c r="G1677" s="504"/>
      <c r="H1677" s="504"/>
      <c r="I1677" s="501"/>
      <c r="J1677" s="505"/>
      <c r="K1677" s="506"/>
      <c r="L1677" s="504"/>
      <c r="M1677" s="504"/>
      <c r="N1677" s="504"/>
      <c r="O1677" s="504"/>
      <c r="P1677" s="504"/>
    </row>
    <row r="1678" spans="2:16" ht="15.75" customHeight="1">
      <c r="B1678" s="55"/>
      <c r="C1678" s="504"/>
      <c r="D1678" s="504"/>
      <c r="E1678" s="504"/>
      <c r="F1678" s="504"/>
      <c r="G1678" s="504"/>
      <c r="H1678" s="504"/>
      <c r="I1678" s="501"/>
      <c r="J1678" s="505"/>
      <c r="K1678" s="506"/>
      <c r="L1678" s="504"/>
      <c r="M1678" s="504"/>
      <c r="N1678" s="504"/>
      <c r="O1678" s="504"/>
      <c r="P1678" s="504"/>
    </row>
    <row r="1679" spans="2:16" ht="15.75" customHeight="1">
      <c r="B1679" s="55"/>
      <c r="C1679" s="504"/>
      <c r="D1679" s="504"/>
      <c r="E1679" s="504"/>
      <c r="F1679" s="504"/>
      <c r="G1679" s="504"/>
      <c r="H1679" s="504"/>
      <c r="I1679" s="501"/>
      <c r="J1679" s="505"/>
      <c r="K1679" s="506"/>
      <c r="L1679" s="504"/>
      <c r="M1679" s="504"/>
      <c r="N1679" s="504"/>
      <c r="O1679" s="504"/>
      <c r="P1679" s="504"/>
    </row>
    <row r="1680" spans="2:16" ht="15.75" customHeight="1">
      <c r="B1680" s="55"/>
      <c r="C1680" s="504"/>
      <c r="D1680" s="504"/>
      <c r="E1680" s="504"/>
      <c r="F1680" s="504"/>
      <c r="G1680" s="504"/>
      <c r="H1680" s="504"/>
      <c r="I1680" s="501"/>
      <c r="J1680" s="505"/>
      <c r="K1680" s="506"/>
      <c r="L1680" s="504"/>
      <c r="M1680" s="504"/>
      <c r="N1680" s="504"/>
      <c r="O1680" s="504"/>
      <c r="P1680" s="504"/>
    </row>
    <row r="1681" spans="2:16" ht="15.75" customHeight="1">
      <c r="B1681" s="55"/>
      <c r="C1681" s="504"/>
      <c r="D1681" s="504"/>
      <c r="E1681" s="504"/>
      <c r="F1681" s="504"/>
      <c r="G1681" s="504"/>
      <c r="H1681" s="504"/>
      <c r="I1681" s="501"/>
      <c r="J1681" s="505"/>
      <c r="K1681" s="506"/>
      <c r="L1681" s="504"/>
      <c r="M1681" s="504"/>
      <c r="N1681" s="504"/>
      <c r="O1681" s="504"/>
      <c r="P1681" s="504"/>
    </row>
    <row r="1682" spans="2:16" ht="15.75" customHeight="1">
      <c r="B1682" s="55"/>
      <c r="C1682" s="504"/>
      <c r="D1682" s="504"/>
      <c r="E1682" s="504"/>
      <c r="F1682" s="504"/>
      <c r="G1682" s="504"/>
      <c r="H1682" s="504"/>
      <c r="I1682" s="501"/>
      <c r="J1682" s="505"/>
      <c r="K1682" s="506"/>
      <c r="L1682" s="504"/>
      <c r="M1682" s="504"/>
      <c r="N1682" s="504"/>
      <c r="O1682" s="504"/>
      <c r="P1682" s="504"/>
    </row>
    <row r="1683" spans="2:16" ht="15.75" customHeight="1">
      <c r="B1683" s="55"/>
      <c r="C1683" s="504"/>
      <c r="D1683" s="504"/>
      <c r="E1683" s="504"/>
      <c r="F1683" s="504"/>
      <c r="G1683" s="504"/>
      <c r="H1683" s="504"/>
      <c r="I1683" s="501"/>
      <c r="J1683" s="505"/>
      <c r="K1683" s="506"/>
      <c r="L1683" s="504"/>
      <c r="M1683" s="504"/>
      <c r="N1683" s="504"/>
      <c r="O1683" s="504"/>
      <c r="P1683" s="504"/>
    </row>
    <row r="1684" spans="2:16" ht="15.75" customHeight="1">
      <c r="B1684" s="55"/>
      <c r="C1684" s="504"/>
      <c r="D1684" s="504"/>
      <c r="E1684" s="504"/>
      <c r="F1684" s="504"/>
      <c r="G1684" s="504"/>
      <c r="H1684" s="504"/>
      <c r="I1684" s="501"/>
      <c r="J1684" s="505"/>
      <c r="K1684" s="506"/>
      <c r="L1684" s="504"/>
      <c r="M1684" s="504"/>
      <c r="N1684" s="504"/>
      <c r="O1684" s="504"/>
      <c r="P1684" s="504"/>
    </row>
    <row r="1685" spans="2:16" ht="15.75" customHeight="1">
      <c r="B1685" s="55"/>
      <c r="C1685" s="504"/>
      <c r="D1685" s="504"/>
      <c r="E1685" s="504"/>
      <c r="F1685" s="504"/>
      <c r="G1685" s="504"/>
      <c r="H1685" s="504"/>
      <c r="I1685" s="501"/>
      <c r="J1685" s="505"/>
      <c r="K1685" s="506"/>
      <c r="L1685" s="504"/>
      <c r="M1685" s="504"/>
      <c r="N1685" s="504"/>
      <c r="O1685" s="504"/>
      <c r="P1685" s="504"/>
    </row>
    <row r="1686" spans="2:16" ht="15.75" customHeight="1">
      <c r="B1686" s="55"/>
      <c r="C1686" s="504"/>
      <c r="D1686" s="504"/>
      <c r="E1686" s="504"/>
      <c r="F1686" s="504"/>
      <c r="G1686" s="504"/>
      <c r="H1686" s="504"/>
      <c r="I1686" s="501"/>
      <c r="J1686" s="505"/>
      <c r="K1686" s="506"/>
      <c r="L1686" s="504"/>
      <c r="M1686" s="504"/>
      <c r="N1686" s="504"/>
      <c r="O1686" s="504"/>
      <c r="P1686" s="504"/>
    </row>
    <row r="1687" spans="2:16" ht="15.75" customHeight="1">
      <c r="B1687" s="55"/>
      <c r="C1687" s="504"/>
      <c r="D1687" s="504"/>
      <c r="E1687" s="504"/>
      <c r="F1687" s="504"/>
      <c r="G1687" s="504"/>
      <c r="H1687" s="504"/>
      <c r="I1687" s="501"/>
      <c r="J1687" s="505"/>
      <c r="K1687" s="506"/>
      <c r="L1687" s="504"/>
      <c r="M1687" s="504"/>
      <c r="N1687" s="504"/>
      <c r="O1687" s="504"/>
      <c r="P1687" s="504"/>
    </row>
    <row r="1688" spans="2:16" ht="15.75" customHeight="1">
      <c r="B1688" s="55"/>
      <c r="C1688" s="504"/>
      <c r="D1688" s="504"/>
      <c r="E1688" s="504"/>
      <c r="F1688" s="504"/>
      <c r="G1688" s="504"/>
      <c r="H1688" s="504"/>
      <c r="I1688" s="501"/>
      <c r="J1688" s="505"/>
      <c r="K1688" s="506"/>
      <c r="L1688" s="504"/>
      <c r="M1688" s="504"/>
      <c r="N1688" s="504"/>
      <c r="O1688" s="504"/>
      <c r="P1688" s="504"/>
    </row>
    <row r="1689" spans="2:16" ht="15.75" customHeight="1">
      <c r="B1689" s="55"/>
      <c r="C1689" s="504"/>
      <c r="D1689" s="504"/>
      <c r="E1689" s="504"/>
      <c r="F1689" s="504"/>
      <c r="G1689" s="504"/>
      <c r="H1689" s="504"/>
      <c r="I1689" s="501"/>
      <c r="J1689" s="505"/>
      <c r="K1689" s="506"/>
      <c r="L1689" s="504"/>
      <c r="M1689" s="504"/>
      <c r="N1689" s="504"/>
      <c r="O1689" s="504"/>
      <c r="P1689" s="504"/>
    </row>
    <row r="1690" spans="2:16" ht="15.75" customHeight="1">
      <c r="B1690" s="55"/>
      <c r="C1690" s="504"/>
      <c r="D1690" s="504"/>
      <c r="E1690" s="504"/>
      <c r="F1690" s="504"/>
      <c r="G1690" s="504"/>
      <c r="H1690" s="504"/>
      <c r="I1690" s="501"/>
      <c r="J1690" s="505"/>
      <c r="K1690" s="506"/>
      <c r="L1690" s="504"/>
      <c r="M1690" s="504"/>
      <c r="N1690" s="504"/>
      <c r="O1690" s="504"/>
      <c r="P1690" s="504"/>
    </row>
    <row r="1691" spans="2:16" ht="15.75" customHeight="1">
      <c r="B1691" s="55"/>
      <c r="C1691" s="504"/>
      <c r="D1691" s="504"/>
      <c r="E1691" s="504"/>
      <c r="F1691" s="504"/>
      <c r="G1691" s="504"/>
      <c r="H1691" s="504"/>
      <c r="I1691" s="501"/>
      <c r="J1691" s="505"/>
      <c r="K1691" s="506"/>
      <c r="L1691" s="504"/>
      <c r="M1691" s="504"/>
      <c r="N1691" s="504"/>
      <c r="O1691" s="504"/>
      <c r="P1691" s="504"/>
    </row>
    <row r="1692" spans="2:16" ht="15.75" customHeight="1">
      <c r="B1692" s="55"/>
      <c r="C1692" s="504"/>
      <c r="D1692" s="504"/>
      <c r="E1692" s="504"/>
      <c r="F1692" s="504"/>
      <c r="G1692" s="504"/>
      <c r="H1692" s="504"/>
      <c r="I1692" s="501"/>
      <c r="J1692" s="505"/>
      <c r="K1692" s="506"/>
      <c r="L1692" s="504"/>
      <c r="M1692" s="504"/>
      <c r="N1692" s="504"/>
      <c r="O1692" s="504"/>
      <c r="P1692" s="504"/>
    </row>
    <row r="1693" spans="2:16" ht="15.75" customHeight="1">
      <c r="B1693" s="55"/>
      <c r="C1693" s="504"/>
      <c r="D1693" s="504"/>
      <c r="E1693" s="504"/>
      <c r="F1693" s="504"/>
      <c r="G1693" s="504"/>
      <c r="H1693" s="504"/>
      <c r="I1693" s="501"/>
      <c r="J1693" s="505"/>
      <c r="K1693" s="506"/>
      <c r="L1693" s="504"/>
      <c r="M1693" s="504"/>
      <c r="N1693" s="504"/>
      <c r="O1693" s="504"/>
      <c r="P1693" s="504"/>
    </row>
    <row r="1694" spans="2:16" ht="15.75" customHeight="1">
      <c r="B1694" s="55"/>
      <c r="C1694" s="504"/>
      <c r="D1694" s="504"/>
      <c r="E1694" s="504"/>
      <c r="F1694" s="504"/>
      <c r="G1694" s="504"/>
      <c r="H1694" s="504"/>
      <c r="I1694" s="501"/>
      <c r="J1694" s="505"/>
      <c r="K1694" s="506"/>
      <c r="L1694" s="504"/>
      <c r="M1694" s="504"/>
      <c r="N1694" s="504"/>
      <c r="O1694" s="504"/>
      <c r="P1694" s="504"/>
    </row>
    <row r="1695" spans="2:16" ht="15.75" customHeight="1">
      <c r="B1695" s="55"/>
      <c r="C1695" s="504"/>
      <c r="D1695" s="504"/>
      <c r="E1695" s="504"/>
      <c r="F1695" s="504"/>
      <c r="G1695" s="504"/>
      <c r="H1695" s="504"/>
      <c r="I1695" s="501"/>
      <c r="J1695" s="505"/>
      <c r="K1695" s="506"/>
      <c r="L1695" s="504"/>
      <c r="M1695" s="504"/>
      <c r="N1695" s="504"/>
      <c r="O1695" s="504"/>
      <c r="P1695" s="504"/>
    </row>
    <row r="1696" spans="2:16" ht="15.75" customHeight="1">
      <c r="B1696" s="55"/>
      <c r="C1696" s="504"/>
      <c r="D1696" s="504"/>
      <c r="E1696" s="504"/>
      <c r="F1696" s="504"/>
      <c r="G1696" s="504"/>
      <c r="H1696" s="504"/>
      <c r="I1696" s="501"/>
      <c r="J1696" s="505"/>
      <c r="K1696" s="506"/>
      <c r="L1696" s="504"/>
      <c r="M1696" s="504"/>
      <c r="N1696" s="504"/>
      <c r="O1696" s="504"/>
      <c r="P1696" s="504"/>
    </row>
    <row r="1697" spans="2:16" ht="15.75" customHeight="1">
      <c r="B1697" s="55"/>
      <c r="C1697" s="504"/>
      <c r="D1697" s="504"/>
      <c r="E1697" s="504"/>
      <c r="F1697" s="504"/>
      <c r="G1697" s="504"/>
      <c r="H1697" s="504"/>
      <c r="I1697" s="501"/>
      <c r="J1697" s="505"/>
      <c r="K1697" s="506"/>
      <c r="L1697" s="504"/>
      <c r="M1697" s="504"/>
      <c r="N1697" s="504"/>
      <c r="O1697" s="504"/>
      <c r="P1697" s="504"/>
    </row>
    <row r="1698" spans="2:16" ht="15.75" customHeight="1">
      <c r="B1698" s="55"/>
      <c r="C1698" s="504"/>
      <c r="D1698" s="504"/>
      <c r="E1698" s="504"/>
      <c r="F1698" s="504"/>
      <c r="G1698" s="504"/>
      <c r="H1698" s="504"/>
      <c r="I1698" s="501"/>
      <c r="J1698" s="505"/>
      <c r="K1698" s="506"/>
      <c r="L1698" s="504"/>
      <c r="M1698" s="504"/>
      <c r="N1698" s="504"/>
      <c r="O1698" s="504"/>
      <c r="P1698" s="504"/>
    </row>
    <row r="1699" spans="2:16" ht="15.75" customHeight="1">
      <c r="B1699" s="55"/>
      <c r="C1699" s="504"/>
      <c r="D1699" s="504"/>
      <c r="E1699" s="504"/>
      <c r="F1699" s="504"/>
      <c r="G1699" s="504"/>
      <c r="H1699" s="504"/>
      <c r="I1699" s="501"/>
      <c r="J1699" s="505"/>
      <c r="K1699" s="506"/>
      <c r="L1699" s="504"/>
      <c r="M1699" s="504"/>
      <c r="N1699" s="504"/>
      <c r="O1699" s="504"/>
      <c r="P1699" s="504"/>
    </row>
    <row r="1700" spans="2:16" ht="15.75" customHeight="1">
      <c r="B1700" s="55"/>
      <c r="C1700" s="504"/>
      <c r="D1700" s="504"/>
      <c r="E1700" s="504"/>
      <c r="F1700" s="504"/>
      <c r="G1700" s="504"/>
      <c r="H1700" s="504"/>
      <c r="I1700" s="501"/>
      <c r="J1700" s="505"/>
      <c r="K1700" s="506"/>
      <c r="L1700" s="504"/>
      <c r="M1700" s="504"/>
      <c r="N1700" s="504"/>
      <c r="O1700" s="504"/>
      <c r="P1700" s="504"/>
    </row>
    <row r="1701" spans="2:16" ht="15.75" customHeight="1">
      <c r="B1701" s="55"/>
      <c r="C1701" s="504"/>
      <c r="D1701" s="504"/>
      <c r="E1701" s="504"/>
      <c r="F1701" s="504"/>
      <c r="G1701" s="504"/>
      <c r="H1701" s="504"/>
      <c r="I1701" s="501"/>
      <c r="J1701" s="505"/>
      <c r="K1701" s="506"/>
      <c r="L1701" s="504"/>
      <c r="M1701" s="504"/>
      <c r="N1701" s="504"/>
      <c r="O1701" s="504"/>
      <c r="P1701" s="504"/>
    </row>
    <row r="1702" spans="2:16" ht="15.75" customHeight="1">
      <c r="B1702" s="55"/>
      <c r="C1702" s="504"/>
      <c r="D1702" s="504"/>
      <c r="E1702" s="504"/>
      <c r="F1702" s="504"/>
      <c r="G1702" s="504"/>
      <c r="H1702" s="504"/>
      <c r="I1702" s="501"/>
      <c r="J1702" s="505"/>
      <c r="K1702" s="506"/>
      <c r="L1702" s="504"/>
      <c r="M1702" s="504"/>
      <c r="N1702" s="504"/>
      <c r="O1702" s="504"/>
      <c r="P1702" s="504"/>
    </row>
    <row r="1703" spans="2:16" ht="15.75" customHeight="1">
      <c r="B1703" s="55"/>
      <c r="C1703" s="504"/>
      <c r="D1703" s="504"/>
      <c r="E1703" s="504"/>
      <c r="F1703" s="504"/>
      <c r="G1703" s="504"/>
      <c r="H1703" s="504"/>
      <c r="I1703" s="501"/>
      <c r="J1703" s="505"/>
      <c r="K1703" s="506"/>
      <c r="L1703" s="504"/>
      <c r="M1703" s="504"/>
      <c r="N1703" s="504"/>
      <c r="O1703" s="504"/>
      <c r="P1703" s="504"/>
    </row>
    <row r="1704" spans="2:16" ht="15.75" customHeight="1">
      <c r="B1704" s="55"/>
      <c r="C1704" s="504"/>
      <c r="D1704" s="504"/>
      <c r="E1704" s="504"/>
      <c r="F1704" s="504"/>
      <c r="G1704" s="504"/>
      <c r="H1704" s="504"/>
      <c r="I1704" s="501"/>
      <c r="J1704" s="505"/>
      <c r="K1704" s="506"/>
      <c r="L1704" s="504"/>
      <c r="M1704" s="504"/>
      <c r="N1704" s="504"/>
      <c r="O1704" s="504"/>
      <c r="P1704" s="504"/>
    </row>
    <row r="1705" spans="2:16" ht="15.75" customHeight="1">
      <c r="B1705" s="55"/>
      <c r="C1705" s="504"/>
      <c r="D1705" s="504"/>
      <c r="E1705" s="504"/>
      <c r="F1705" s="504"/>
      <c r="G1705" s="504"/>
      <c r="H1705" s="504"/>
      <c r="I1705" s="501"/>
      <c r="J1705" s="505"/>
      <c r="K1705" s="506"/>
      <c r="L1705" s="504"/>
      <c r="M1705" s="504"/>
      <c r="N1705" s="504"/>
      <c r="O1705" s="504"/>
      <c r="P1705" s="504"/>
    </row>
    <row r="1706" spans="2:16" ht="15.75" customHeight="1">
      <c r="B1706" s="55"/>
      <c r="C1706" s="504"/>
      <c r="D1706" s="504"/>
      <c r="E1706" s="504"/>
      <c r="F1706" s="504"/>
      <c r="G1706" s="504"/>
      <c r="H1706" s="504"/>
      <c r="I1706" s="501"/>
      <c r="J1706" s="505"/>
      <c r="K1706" s="506"/>
      <c r="L1706" s="504"/>
      <c r="M1706" s="504"/>
      <c r="N1706" s="504"/>
      <c r="O1706" s="504"/>
      <c r="P1706" s="504"/>
    </row>
    <row r="1707" spans="2:16" ht="15.75" customHeight="1">
      <c r="B1707" s="55"/>
      <c r="C1707" s="504"/>
      <c r="D1707" s="504"/>
      <c r="E1707" s="504"/>
      <c r="F1707" s="504"/>
      <c r="G1707" s="504"/>
      <c r="H1707" s="504"/>
      <c r="I1707" s="501"/>
      <c r="J1707" s="505"/>
      <c r="K1707" s="506"/>
      <c r="L1707" s="504"/>
      <c r="M1707" s="504"/>
      <c r="N1707" s="504"/>
      <c r="O1707" s="504"/>
      <c r="P1707" s="504"/>
    </row>
    <row r="1708" spans="2:16" ht="15.75" customHeight="1">
      <c r="B1708" s="55"/>
      <c r="C1708" s="504"/>
      <c r="D1708" s="504"/>
      <c r="E1708" s="504"/>
      <c r="F1708" s="504"/>
      <c r="G1708" s="504"/>
      <c r="H1708" s="504"/>
      <c r="I1708" s="501"/>
      <c r="J1708" s="505"/>
      <c r="K1708" s="506"/>
      <c r="L1708" s="504"/>
      <c r="M1708" s="504"/>
      <c r="N1708" s="504"/>
      <c r="O1708" s="504"/>
      <c r="P1708" s="504"/>
    </row>
    <row r="1709" spans="2:16" ht="15.75" customHeight="1">
      <c r="B1709" s="55"/>
      <c r="C1709" s="504"/>
      <c r="D1709" s="504"/>
      <c r="E1709" s="504"/>
      <c r="F1709" s="504"/>
      <c r="G1709" s="504"/>
      <c r="H1709" s="504"/>
      <c r="I1709" s="501"/>
      <c r="J1709" s="505"/>
      <c r="K1709" s="506"/>
      <c r="L1709" s="504"/>
      <c r="M1709" s="504"/>
      <c r="N1709" s="504"/>
      <c r="O1709" s="504"/>
      <c r="P1709" s="504"/>
    </row>
    <row r="1710" spans="2:16" ht="15.75" customHeight="1">
      <c r="B1710" s="55"/>
      <c r="C1710" s="504"/>
      <c r="D1710" s="504"/>
      <c r="E1710" s="504"/>
      <c r="F1710" s="504"/>
      <c r="G1710" s="504"/>
      <c r="H1710" s="504"/>
      <c r="I1710" s="501"/>
      <c r="J1710" s="505"/>
      <c r="K1710" s="506"/>
      <c r="L1710" s="504"/>
      <c r="M1710" s="504"/>
      <c r="N1710" s="504"/>
      <c r="O1710" s="504"/>
      <c r="P1710" s="504"/>
    </row>
    <row r="1711" spans="2:16" ht="15.75" customHeight="1">
      <c r="B1711" s="55"/>
      <c r="C1711" s="504"/>
      <c r="D1711" s="504"/>
      <c r="E1711" s="504"/>
      <c r="F1711" s="504"/>
      <c r="G1711" s="504"/>
      <c r="H1711" s="504"/>
      <c r="I1711" s="501"/>
      <c r="J1711" s="505"/>
      <c r="K1711" s="506"/>
      <c r="L1711" s="504"/>
      <c r="M1711" s="504"/>
      <c r="N1711" s="504"/>
      <c r="O1711" s="504"/>
      <c r="P1711" s="504"/>
    </row>
    <row r="1712" spans="2:16" ht="15.75" customHeight="1">
      <c r="B1712" s="55"/>
      <c r="C1712" s="504"/>
      <c r="D1712" s="504"/>
      <c r="E1712" s="504"/>
      <c r="F1712" s="504"/>
      <c r="G1712" s="504"/>
      <c r="H1712" s="504"/>
      <c r="I1712" s="501"/>
      <c r="J1712" s="505"/>
      <c r="K1712" s="506"/>
      <c r="L1712" s="504"/>
      <c r="M1712" s="504"/>
      <c r="N1712" s="504"/>
      <c r="O1712" s="504"/>
      <c r="P1712" s="504"/>
    </row>
    <row r="1713" spans="2:16" ht="15.75" customHeight="1">
      <c r="B1713" s="55"/>
      <c r="C1713" s="504"/>
      <c r="D1713" s="504"/>
      <c r="E1713" s="504"/>
      <c r="F1713" s="504"/>
      <c r="G1713" s="504"/>
      <c r="H1713" s="504"/>
      <c r="I1713" s="501"/>
      <c r="J1713" s="505"/>
      <c r="K1713" s="506"/>
      <c r="L1713" s="504"/>
      <c r="M1713" s="504"/>
      <c r="N1713" s="504"/>
      <c r="O1713" s="504"/>
      <c r="P1713" s="504"/>
    </row>
    <row r="1714" spans="2:16" ht="15.75" customHeight="1">
      <c r="B1714" s="55"/>
      <c r="C1714" s="504"/>
      <c r="D1714" s="504"/>
      <c r="E1714" s="504"/>
      <c r="F1714" s="504"/>
      <c r="G1714" s="504"/>
      <c r="H1714" s="504"/>
      <c r="I1714" s="501"/>
      <c r="J1714" s="505"/>
      <c r="K1714" s="506"/>
      <c r="L1714" s="504"/>
      <c r="M1714" s="504"/>
      <c r="N1714" s="504"/>
      <c r="O1714" s="504"/>
      <c r="P1714" s="504"/>
    </row>
    <row r="1715" spans="2:16" ht="15.75" customHeight="1">
      <c r="B1715" s="55"/>
      <c r="C1715" s="504"/>
      <c r="D1715" s="504"/>
      <c r="E1715" s="504"/>
      <c r="F1715" s="504"/>
      <c r="G1715" s="504"/>
      <c r="H1715" s="504"/>
      <c r="I1715" s="501"/>
      <c r="J1715" s="505"/>
      <c r="K1715" s="506"/>
      <c r="L1715" s="504"/>
      <c r="M1715" s="504"/>
      <c r="N1715" s="504"/>
      <c r="O1715" s="504"/>
      <c r="P1715" s="504"/>
    </row>
    <row r="1716" spans="2:16" ht="15.75" customHeight="1">
      <c r="B1716" s="55"/>
      <c r="C1716" s="504"/>
      <c r="D1716" s="504"/>
      <c r="E1716" s="504"/>
      <c r="F1716" s="504"/>
      <c r="G1716" s="504"/>
      <c r="H1716" s="504"/>
      <c r="I1716" s="501"/>
      <c r="J1716" s="505"/>
      <c r="K1716" s="506"/>
      <c r="L1716" s="504"/>
      <c r="M1716" s="504"/>
      <c r="N1716" s="504"/>
      <c r="O1716" s="504"/>
      <c r="P1716" s="504"/>
    </row>
    <row r="1717" spans="2:16" ht="15.75" customHeight="1">
      <c r="B1717" s="55"/>
      <c r="C1717" s="504"/>
      <c r="D1717" s="504"/>
      <c r="E1717" s="504"/>
      <c r="F1717" s="504"/>
      <c r="G1717" s="504"/>
      <c r="H1717" s="504"/>
      <c r="I1717" s="501"/>
      <c r="J1717" s="505"/>
      <c r="K1717" s="506"/>
      <c r="L1717" s="504"/>
      <c r="M1717" s="504"/>
      <c r="N1717" s="504"/>
      <c r="O1717" s="504"/>
      <c r="P1717" s="504"/>
    </row>
    <row r="1718" spans="2:16" ht="15.75" customHeight="1">
      <c r="B1718" s="55"/>
      <c r="C1718" s="504"/>
      <c r="D1718" s="504"/>
      <c r="E1718" s="504"/>
      <c r="F1718" s="504"/>
      <c r="G1718" s="504"/>
      <c r="H1718" s="504"/>
      <c r="I1718" s="501"/>
      <c r="J1718" s="505"/>
      <c r="K1718" s="506"/>
      <c r="L1718" s="504"/>
      <c r="M1718" s="504"/>
      <c r="N1718" s="504"/>
      <c r="O1718" s="504"/>
      <c r="P1718" s="504"/>
    </row>
    <row r="1719" spans="2:16" ht="15.75" customHeight="1">
      <c r="B1719" s="55"/>
      <c r="C1719" s="504"/>
      <c r="D1719" s="504"/>
      <c r="E1719" s="504"/>
      <c r="F1719" s="504"/>
      <c r="G1719" s="504"/>
      <c r="H1719" s="504"/>
      <c r="I1719" s="501"/>
      <c r="J1719" s="505"/>
      <c r="K1719" s="506"/>
      <c r="L1719" s="504"/>
      <c r="M1719" s="504"/>
      <c r="N1719" s="504"/>
      <c r="O1719" s="504"/>
      <c r="P1719" s="504"/>
    </row>
    <row r="1720" spans="2:16" ht="15.75" customHeight="1">
      <c r="B1720" s="55"/>
      <c r="C1720" s="504"/>
      <c r="D1720" s="504"/>
      <c r="E1720" s="504"/>
      <c r="F1720" s="504"/>
      <c r="G1720" s="504"/>
      <c r="H1720" s="504"/>
      <c r="I1720" s="501"/>
      <c r="J1720" s="505"/>
      <c r="K1720" s="506"/>
      <c r="L1720" s="504"/>
      <c r="M1720" s="504"/>
      <c r="N1720" s="504"/>
      <c r="O1720" s="504"/>
      <c r="P1720" s="504"/>
    </row>
    <row r="1721" spans="2:16" ht="15.75" customHeight="1">
      <c r="B1721" s="55"/>
      <c r="C1721" s="504"/>
      <c r="D1721" s="504"/>
      <c r="E1721" s="504"/>
      <c r="F1721" s="504"/>
      <c r="G1721" s="504"/>
      <c r="H1721" s="504"/>
      <c r="I1721" s="501"/>
      <c r="J1721" s="505"/>
      <c r="K1721" s="506"/>
      <c r="L1721" s="504"/>
      <c r="M1721" s="504"/>
      <c r="N1721" s="504"/>
      <c r="O1721" s="504"/>
      <c r="P1721" s="504"/>
    </row>
    <row r="1722" spans="2:16" ht="15.75" customHeight="1">
      <c r="B1722" s="55"/>
      <c r="C1722" s="504"/>
      <c r="D1722" s="504"/>
      <c r="E1722" s="504"/>
      <c r="F1722" s="504"/>
      <c r="G1722" s="504"/>
      <c r="H1722" s="504"/>
      <c r="I1722" s="501"/>
      <c r="J1722" s="505"/>
      <c r="K1722" s="506"/>
      <c r="L1722" s="504"/>
      <c r="M1722" s="504"/>
      <c r="N1722" s="504"/>
      <c r="O1722" s="504"/>
      <c r="P1722" s="504"/>
    </row>
    <row r="1723" spans="2:16" ht="15.75" customHeight="1">
      <c r="B1723" s="55"/>
      <c r="C1723" s="504"/>
      <c r="D1723" s="504"/>
      <c r="E1723" s="504"/>
      <c r="F1723" s="504"/>
      <c r="G1723" s="504"/>
      <c r="H1723" s="504"/>
      <c r="I1723" s="501"/>
      <c r="J1723" s="505"/>
      <c r="K1723" s="506"/>
      <c r="L1723" s="504"/>
      <c r="M1723" s="504"/>
      <c r="N1723" s="504"/>
      <c r="O1723" s="504"/>
      <c r="P1723" s="504"/>
    </row>
    <row r="1724" spans="2:16" ht="15.75" customHeight="1">
      <c r="B1724" s="55"/>
      <c r="C1724" s="504"/>
      <c r="D1724" s="504"/>
      <c r="E1724" s="504"/>
      <c r="F1724" s="504"/>
      <c r="G1724" s="504"/>
      <c r="H1724" s="504"/>
      <c r="I1724" s="501"/>
      <c r="J1724" s="505"/>
      <c r="K1724" s="506"/>
      <c r="L1724" s="504"/>
      <c r="M1724" s="504"/>
      <c r="N1724" s="504"/>
      <c r="O1724" s="504"/>
      <c r="P1724" s="504"/>
    </row>
    <row r="1725" spans="2:16" ht="15.75" customHeight="1">
      <c r="B1725" s="55"/>
      <c r="C1725" s="504"/>
      <c r="D1725" s="504"/>
      <c r="E1725" s="504"/>
      <c r="F1725" s="504"/>
      <c r="G1725" s="504"/>
      <c r="H1725" s="504"/>
      <c r="I1725" s="501"/>
      <c r="J1725" s="505"/>
      <c r="K1725" s="506"/>
      <c r="L1725" s="504"/>
      <c r="M1725" s="504"/>
      <c r="N1725" s="504"/>
      <c r="O1725" s="504"/>
      <c r="P1725" s="504"/>
    </row>
    <row r="1726" spans="2:16" ht="15.75" customHeight="1">
      <c r="B1726" s="55"/>
      <c r="C1726" s="504"/>
      <c r="D1726" s="504"/>
      <c r="E1726" s="504"/>
      <c r="F1726" s="504"/>
      <c r="G1726" s="504"/>
      <c r="H1726" s="504"/>
      <c r="I1726" s="501"/>
      <c r="J1726" s="505"/>
      <c r="K1726" s="506"/>
      <c r="L1726" s="504"/>
      <c r="M1726" s="504"/>
      <c r="N1726" s="504"/>
      <c r="O1726" s="504"/>
      <c r="P1726" s="504"/>
    </row>
    <row r="1727" spans="2:16" ht="15.75" customHeight="1">
      <c r="B1727" s="55"/>
      <c r="C1727" s="504"/>
      <c r="D1727" s="504"/>
      <c r="E1727" s="504"/>
      <c r="F1727" s="504"/>
      <c r="G1727" s="504"/>
      <c r="H1727" s="504"/>
      <c r="I1727" s="501"/>
      <c r="J1727" s="505"/>
      <c r="K1727" s="506"/>
      <c r="L1727" s="504"/>
      <c r="M1727" s="504"/>
      <c r="N1727" s="504"/>
      <c r="O1727" s="504"/>
      <c r="P1727" s="504"/>
    </row>
    <row r="1728" spans="2:16" ht="15.75" customHeight="1">
      <c r="B1728" s="55"/>
      <c r="C1728" s="504"/>
      <c r="D1728" s="504"/>
      <c r="E1728" s="504"/>
      <c r="F1728" s="504"/>
      <c r="G1728" s="504"/>
      <c r="H1728" s="504"/>
      <c r="I1728" s="501"/>
      <c r="J1728" s="505"/>
      <c r="K1728" s="506"/>
      <c r="L1728" s="504"/>
      <c r="M1728" s="504"/>
      <c r="N1728" s="504"/>
      <c r="O1728" s="504"/>
      <c r="P1728" s="504"/>
    </row>
    <row r="1729" spans="2:16" ht="15.75" customHeight="1">
      <c r="B1729" s="55"/>
      <c r="C1729" s="504"/>
      <c r="D1729" s="504"/>
      <c r="E1729" s="504"/>
      <c r="F1729" s="504"/>
      <c r="G1729" s="504"/>
      <c r="H1729" s="504"/>
      <c r="I1729" s="501"/>
      <c r="J1729" s="505"/>
      <c r="K1729" s="506"/>
      <c r="L1729" s="504"/>
      <c r="M1729" s="504"/>
      <c r="N1729" s="504"/>
      <c r="O1729" s="504"/>
      <c r="P1729" s="504"/>
    </row>
    <row r="1730" spans="2:16" ht="15.75" customHeight="1">
      <c r="B1730" s="55"/>
      <c r="C1730" s="504"/>
      <c r="D1730" s="504"/>
      <c r="E1730" s="504"/>
      <c r="F1730" s="504"/>
      <c r="G1730" s="504"/>
      <c r="H1730" s="504"/>
      <c r="I1730" s="501"/>
      <c r="J1730" s="505"/>
      <c r="K1730" s="506"/>
      <c r="L1730" s="504"/>
      <c r="M1730" s="504"/>
      <c r="N1730" s="504"/>
      <c r="O1730" s="504"/>
      <c r="P1730" s="504"/>
    </row>
    <row r="1731" spans="2:16" ht="15.75" customHeight="1">
      <c r="B1731" s="55"/>
      <c r="C1731" s="504"/>
      <c r="D1731" s="504"/>
      <c r="E1731" s="504"/>
      <c r="F1731" s="504"/>
      <c r="G1731" s="504"/>
      <c r="H1731" s="504"/>
      <c r="I1731" s="501"/>
      <c r="J1731" s="505"/>
      <c r="K1731" s="506"/>
      <c r="L1731" s="504"/>
      <c r="M1731" s="504"/>
      <c r="N1731" s="504"/>
      <c r="O1731" s="504"/>
      <c r="P1731" s="504"/>
    </row>
    <row r="1732" spans="2:16" ht="15.75" customHeight="1">
      <c r="B1732" s="55"/>
      <c r="C1732" s="504"/>
      <c r="D1732" s="504"/>
      <c r="E1732" s="504"/>
      <c r="F1732" s="504"/>
      <c r="G1732" s="504"/>
      <c r="H1732" s="504"/>
      <c r="I1732" s="501"/>
      <c r="J1732" s="505"/>
      <c r="K1732" s="506"/>
      <c r="L1732" s="504"/>
      <c r="M1732" s="504"/>
      <c r="N1732" s="504"/>
      <c r="O1732" s="504"/>
      <c r="P1732" s="504"/>
    </row>
    <row r="1733" spans="2:16" ht="15.75" customHeight="1">
      <c r="B1733" s="55"/>
      <c r="C1733" s="504"/>
      <c r="D1733" s="504"/>
      <c r="E1733" s="504"/>
      <c r="F1733" s="504"/>
      <c r="G1733" s="504"/>
      <c r="H1733" s="504"/>
      <c r="I1733" s="501"/>
      <c r="J1733" s="505"/>
      <c r="K1733" s="506"/>
      <c r="L1733" s="504"/>
      <c r="M1733" s="504"/>
      <c r="N1733" s="504"/>
      <c r="O1733" s="504"/>
      <c r="P1733" s="504"/>
    </row>
    <row r="1734" spans="2:16" ht="15.75" customHeight="1">
      <c r="B1734" s="55"/>
      <c r="C1734" s="504"/>
      <c r="D1734" s="504"/>
      <c r="E1734" s="504"/>
      <c r="F1734" s="504"/>
      <c r="G1734" s="504"/>
      <c r="H1734" s="504"/>
      <c r="I1734" s="501"/>
      <c r="J1734" s="505"/>
      <c r="K1734" s="506"/>
      <c r="L1734" s="504"/>
      <c r="M1734" s="504"/>
      <c r="N1734" s="504"/>
      <c r="O1734" s="504"/>
      <c r="P1734" s="504"/>
    </row>
    <row r="1735" spans="2:16" ht="15.75" customHeight="1">
      <c r="B1735" s="55"/>
      <c r="C1735" s="504"/>
      <c r="D1735" s="504"/>
      <c r="E1735" s="504"/>
      <c r="F1735" s="504"/>
      <c r="G1735" s="504"/>
      <c r="H1735" s="504"/>
      <c r="I1735" s="501"/>
      <c r="J1735" s="505"/>
      <c r="K1735" s="506"/>
      <c r="L1735" s="504"/>
      <c r="M1735" s="504"/>
      <c r="N1735" s="504"/>
      <c r="O1735" s="504"/>
      <c r="P1735" s="504"/>
    </row>
    <row r="1736" spans="2:16" ht="15.75" customHeight="1">
      <c r="B1736" s="55"/>
      <c r="C1736" s="504"/>
      <c r="D1736" s="504"/>
      <c r="E1736" s="504"/>
      <c r="F1736" s="504"/>
      <c r="G1736" s="504"/>
      <c r="H1736" s="504"/>
      <c r="I1736" s="501"/>
      <c r="J1736" s="505"/>
      <c r="K1736" s="506"/>
      <c r="L1736" s="504"/>
      <c r="M1736" s="504"/>
      <c r="N1736" s="504"/>
      <c r="O1736" s="504"/>
      <c r="P1736" s="504"/>
    </row>
    <row r="1737" spans="2:16" ht="15.75" customHeight="1">
      <c r="B1737" s="55"/>
      <c r="C1737" s="504"/>
      <c r="D1737" s="504"/>
      <c r="E1737" s="504"/>
      <c r="F1737" s="504"/>
      <c r="G1737" s="504"/>
      <c r="H1737" s="504"/>
      <c r="I1737" s="501"/>
      <c r="J1737" s="505"/>
      <c r="K1737" s="506"/>
      <c r="L1737" s="504"/>
      <c r="M1737" s="504"/>
      <c r="N1737" s="504"/>
      <c r="O1737" s="504"/>
      <c r="P1737" s="504"/>
    </row>
    <row r="1738" spans="2:16" ht="15.75" customHeight="1">
      <c r="B1738" s="55"/>
      <c r="C1738" s="504"/>
      <c r="D1738" s="504"/>
      <c r="E1738" s="504"/>
      <c r="F1738" s="504"/>
      <c r="G1738" s="504"/>
      <c r="H1738" s="504"/>
      <c r="I1738" s="501"/>
      <c r="J1738" s="505"/>
      <c r="K1738" s="506"/>
      <c r="L1738" s="504"/>
      <c r="M1738" s="504"/>
      <c r="N1738" s="504"/>
      <c r="O1738" s="504"/>
      <c r="P1738" s="504"/>
    </row>
    <row r="1739" spans="2:16" ht="15.75" customHeight="1">
      <c r="B1739" s="55"/>
      <c r="C1739" s="504"/>
      <c r="D1739" s="504"/>
      <c r="E1739" s="504"/>
      <c r="F1739" s="504"/>
      <c r="G1739" s="504"/>
      <c r="H1739" s="504"/>
      <c r="I1739" s="501"/>
      <c r="J1739" s="505"/>
      <c r="K1739" s="506"/>
      <c r="L1739" s="504"/>
      <c r="M1739" s="504"/>
      <c r="N1739" s="504"/>
      <c r="O1739" s="504"/>
      <c r="P1739" s="504"/>
    </row>
    <row r="1740" spans="2:16" ht="15.75" customHeight="1">
      <c r="B1740" s="55"/>
      <c r="C1740" s="504"/>
      <c r="D1740" s="504"/>
      <c r="E1740" s="504"/>
      <c r="F1740" s="504"/>
      <c r="G1740" s="504"/>
      <c r="H1740" s="504"/>
      <c r="I1740" s="501"/>
      <c r="J1740" s="505"/>
      <c r="K1740" s="506"/>
      <c r="L1740" s="504"/>
      <c r="M1740" s="504"/>
      <c r="N1740" s="504"/>
      <c r="O1740" s="504"/>
      <c r="P1740" s="504"/>
    </row>
    <row r="1741" spans="2:16" ht="15.75" customHeight="1">
      <c r="B1741" s="55"/>
      <c r="C1741" s="504"/>
      <c r="D1741" s="504"/>
      <c r="E1741" s="504"/>
      <c r="F1741" s="504"/>
      <c r="G1741" s="504"/>
      <c r="H1741" s="504"/>
      <c r="I1741" s="501"/>
      <c r="J1741" s="505"/>
      <c r="K1741" s="506"/>
      <c r="L1741" s="504"/>
      <c r="M1741" s="504"/>
      <c r="N1741" s="504"/>
      <c r="O1741" s="504"/>
      <c r="P1741" s="504"/>
    </row>
    <row r="1742" spans="2:16" ht="15.75" customHeight="1">
      <c r="B1742" s="55"/>
      <c r="C1742" s="504"/>
      <c r="D1742" s="504"/>
      <c r="E1742" s="504"/>
      <c r="F1742" s="504"/>
      <c r="G1742" s="504"/>
      <c r="H1742" s="504"/>
      <c r="I1742" s="501"/>
      <c r="J1742" s="505"/>
      <c r="K1742" s="506"/>
      <c r="L1742" s="504"/>
      <c r="M1742" s="504"/>
      <c r="N1742" s="504"/>
      <c r="O1742" s="504"/>
      <c r="P1742" s="504"/>
    </row>
    <row r="1743" spans="2:16" ht="15.75" customHeight="1">
      <c r="B1743" s="55"/>
      <c r="C1743" s="504"/>
      <c r="D1743" s="504"/>
      <c r="E1743" s="504"/>
      <c r="F1743" s="504"/>
      <c r="G1743" s="504"/>
      <c r="H1743" s="504"/>
      <c r="I1743" s="501"/>
      <c r="J1743" s="505"/>
      <c r="K1743" s="506"/>
      <c r="L1743" s="504"/>
      <c r="M1743" s="504"/>
      <c r="N1743" s="504"/>
      <c r="O1743" s="504"/>
      <c r="P1743" s="504"/>
    </row>
    <row r="1744" spans="2:16" ht="15.75" customHeight="1">
      <c r="B1744" s="55"/>
      <c r="C1744" s="504"/>
      <c r="D1744" s="504"/>
      <c r="E1744" s="504"/>
      <c r="F1744" s="504"/>
      <c r="G1744" s="504"/>
      <c r="H1744" s="504"/>
      <c r="I1744" s="501"/>
      <c r="J1744" s="505"/>
      <c r="K1744" s="506"/>
      <c r="L1744" s="504"/>
      <c r="M1744" s="504"/>
      <c r="N1744" s="504"/>
      <c r="O1744" s="504"/>
      <c r="P1744" s="504"/>
    </row>
    <row r="1745" spans="2:16" ht="15.75" customHeight="1">
      <c r="B1745" s="55"/>
      <c r="C1745" s="504"/>
      <c r="D1745" s="504"/>
      <c r="E1745" s="504"/>
      <c r="F1745" s="504"/>
      <c r="G1745" s="504"/>
      <c r="H1745" s="504"/>
      <c r="I1745" s="501"/>
      <c r="J1745" s="505"/>
      <c r="K1745" s="506"/>
      <c r="L1745" s="504"/>
      <c r="M1745" s="504"/>
      <c r="N1745" s="504"/>
      <c r="O1745" s="504"/>
      <c r="P1745" s="504"/>
    </row>
    <row r="1746" spans="2:16" ht="15.75" customHeight="1">
      <c r="B1746" s="55"/>
      <c r="C1746" s="504"/>
      <c r="D1746" s="504"/>
      <c r="E1746" s="504"/>
      <c r="F1746" s="504"/>
      <c r="G1746" s="504"/>
      <c r="H1746" s="504"/>
      <c r="I1746" s="501"/>
      <c r="J1746" s="505"/>
      <c r="K1746" s="506"/>
      <c r="L1746" s="504"/>
      <c r="M1746" s="504"/>
      <c r="N1746" s="504"/>
      <c r="O1746" s="504"/>
      <c r="P1746" s="504"/>
    </row>
    <row r="1747" spans="2:16" ht="15.75" customHeight="1">
      <c r="B1747" s="55"/>
      <c r="C1747" s="504"/>
      <c r="D1747" s="504"/>
      <c r="E1747" s="504"/>
      <c r="F1747" s="504"/>
      <c r="G1747" s="504"/>
      <c r="H1747" s="504"/>
      <c r="I1747" s="501"/>
      <c r="J1747" s="505"/>
      <c r="K1747" s="506"/>
      <c r="L1747" s="504"/>
      <c r="M1747" s="504"/>
      <c r="N1747" s="504"/>
      <c r="O1747" s="504"/>
      <c r="P1747" s="504"/>
    </row>
    <row r="1748" spans="2:16" ht="15.75" customHeight="1">
      <c r="B1748" s="55"/>
      <c r="C1748" s="504"/>
      <c r="D1748" s="504"/>
      <c r="E1748" s="504"/>
      <c r="F1748" s="504"/>
      <c r="G1748" s="504"/>
      <c r="H1748" s="504"/>
      <c r="I1748" s="501"/>
      <c r="J1748" s="505"/>
      <c r="K1748" s="506"/>
      <c r="L1748" s="504"/>
      <c r="M1748" s="504"/>
      <c r="N1748" s="504"/>
      <c r="O1748" s="504"/>
      <c r="P1748" s="504"/>
    </row>
    <row r="1749" spans="2:16" ht="15.75" customHeight="1">
      <c r="B1749" s="55"/>
      <c r="C1749" s="504"/>
      <c r="D1749" s="504"/>
      <c r="E1749" s="504"/>
      <c r="F1749" s="504"/>
      <c r="G1749" s="504"/>
      <c r="H1749" s="504"/>
      <c r="I1749" s="501"/>
      <c r="J1749" s="505"/>
      <c r="K1749" s="506"/>
      <c r="L1749" s="504"/>
      <c r="M1749" s="504"/>
      <c r="N1749" s="504"/>
      <c r="O1749" s="504"/>
      <c r="P1749" s="504"/>
    </row>
    <row r="1750" spans="2:16" ht="15.75" customHeight="1">
      <c r="B1750" s="55"/>
      <c r="C1750" s="504"/>
      <c r="D1750" s="504"/>
      <c r="E1750" s="504"/>
      <c r="F1750" s="504"/>
      <c r="G1750" s="504"/>
      <c r="H1750" s="504"/>
      <c r="I1750" s="501"/>
      <c r="J1750" s="505"/>
      <c r="K1750" s="506"/>
      <c r="L1750" s="504"/>
      <c r="M1750" s="504"/>
      <c r="N1750" s="504"/>
      <c r="O1750" s="504"/>
      <c r="P1750" s="504"/>
    </row>
    <row r="1751" spans="2:16" ht="15.75" customHeight="1">
      <c r="B1751" s="55"/>
      <c r="C1751" s="504"/>
      <c r="D1751" s="504"/>
      <c r="E1751" s="504"/>
      <c r="F1751" s="504"/>
      <c r="G1751" s="504"/>
      <c r="H1751" s="504"/>
      <c r="I1751" s="501"/>
      <c r="J1751" s="505"/>
      <c r="K1751" s="506"/>
      <c r="L1751" s="504"/>
      <c r="M1751" s="504"/>
      <c r="N1751" s="504"/>
      <c r="O1751" s="504"/>
      <c r="P1751" s="504"/>
    </row>
    <row r="1752" spans="2:16" ht="15.75" customHeight="1">
      <c r="B1752" s="55"/>
      <c r="C1752" s="504"/>
      <c r="D1752" s="504"/>
      <c r="E1752" s="504"/>
      <c r="F1752" s="504"/>
      <c r="G1752" s="504"/>
      <c r="H1752" s="504"/>
      <c r="I1752" s="501"/>
      <c r="J1752" s="505"/>
      <c r="K1752" s="506"/>
      <c r="L1752" s="504"/>
      <c r="M1752" s="504"/>
      <c r="N1752" s="504"/>
      <c r="O1752" s="504"/>
      <c r="P1752" s="504"/>
    </row>
    <row r="1753" spans="2:16" ht="15.75" customHeight="1">
      <c r="B1753" s="55"/>
      <c r="C1753" s="504"/>
      <c r="D1753" s="504"/>
      <c r="E1753" s="504"/>
      <c r="F1753" s="504"/>
      <c r="G1753" s="504"/>
      <c r="H1753" s="504"/>
      <c r="I1753" s="501"/>
      <c r="J1753" s="505"/>
      <c r="K1753" s="506"/>
      <c r="L1753" s="504"/>
      <c r="M1753" s="504"/>
      <c r="N1753" s="504"/>
      <c r="O1753" s="504"/>
      <c r="P1753" s="504"/>
    </row>
    <row r="1754" spans="2:16" ht="15.75" customHeight="1">
      <c r="B1754" s="55"/>
      <c r="C1754" s="504"/>
      <c r="D1754" s="504"/>
      <c r="E1754" s="504"/>
      <c r="F1754" s="504"/>
      <c r="G1754" s="504"/>
      <c r="H1754" s="504"/>
      <c r="I1754" s="501"/>
      <c r="J1754" s="505"/>
      <c r="K1754" s="506"/>
      <c r="L1754" s="504"/>
      <c r="M1754" s="504"/>
      <c r="N1754" s="504"/>
      <c r="O1754" s="504"/>
      <c r="P1754" s="504"/>
    </row>
    <row r="1755" spans="2:16" ht="15.75" customHeight="1">
      <c r="B1755" s="55"/>
      <c r="C1755" s="504"/>
      <c r="D1755" s="504"/>
      <c r="E1755" s="504"/>
      <c r="F1755" s="504"/>
      <c r="G1755" s="504"/>
      <c r="H1755" s="504"/>
      <c r="I1755" s="501"/>
      <c r="J1755" s="505"/>
      <c r="K1755" s="506"/>
      <c r="L1755" s="504"/>
      <c r="M1755" s="504"/>
      <c r="N1755" s="504"/>
      <c r="O1755" s="504"/>
      <c r="P1755" s="504"/>
    </row>
    <row r="1756" spans="2:16" ht="15.75" customHeight="1">
      <c r="B1756" s="55"/>
      <c r="C1756" s="504"/>
      <c r="D1756" s="504"/>
      <c r="E1756" s="504"/>
      <c r="F1756" s="504"/>
      <c r="G1756" s="504"/>
      <c r="H1756" s="504"/>
      <c r="I1756" s="501"/>
      <c r="J1756" s="505"/>
      <c r="K1756" s="506"/>
      <c r="L1756" s="504"/>
      <c r="M1756" s="504"/>
      <c r="N1756" s="504"/>
      <c r="O1756" s="504"/>
      <c r="P1756" s="504"/>
    </row>
    <row r="1757" spans="2:16" ht="15.75" customHeight="1">
      <c r="B1757" s="55"/>
      <c r="C1757" s="504"/>
      <c r="D1757" s="504"/>
      <c r="E1757" s="504"/>
      <c r="F1757" s="504"/>
      <c r="G1757" s="504"/>
      <c r="H1757" s="504"/>
      <c r="I1757" s="501"/>
      <c r="J1757" s="505"/>
      <c r="K1757" s="506"/>
      <c r="L1757" s="504"/>
      <c r="M1757" s="504"/>
      <c r="N1757" s="504"/>
      <c r="O1757" s="504"/>
      <c r="P1757" s="504"/>
    </row>
    <row r="1758" spans="2:16" ht="15.75" customHeight="1">
      <c r="B1758" s="55"/>
      <c r="C1758" s="504"/>
      <c r="D1758" s="504"/>
      <c r="E1758" s="504"/>
      <c r="F1758" s="504"/>
      <c r="G1758" s="504"/>
      <c r="H1758" s="504"/>
      <c r="I1758" s="501"/>
      <c r="J1758" s="505"/>
      <c r="K1758" s="506"/>
      <c r="L1758" s="504"/>
      <c r="M1758" s="504"/>
      <c r="N1758" s="504"/>
      <c r="O1758" s="504"/>
      <c r="P1758" s="504"/>
    </row>
    <row r="1759" spans="2:16" ht="15.75" customHeight="1">
      <c r="B1759" s="55"/>
      <c r="C1759" s="504"/>
      <c r="D1759" s="504"/>
      <c r="E1759" s="504"/>
      <c r="F1759" s="504"/>
      <c r="G1759" s="504"/>
      <c r="H1759" s="504"/>
      <c r="I1759" s="501"/>
      <c r="J1759" s="505"/>
      <c r="K1759" s="506"/>
      <c r="L1759" s="504"/>
      <c r="M1759" s="504"/>
      <c r="N1759" s="504"/>
      <c r="O1759" s="504"/>
      <c r="P1759" s="504"/>
    </row>
    <row r="1760" spans="2:16" ht="15.75" customHeight="1">
      <c r="B1760" s="55"/>
      <c r="C1760" s="504"/>
      <c r="D1760" s="504"/>
      <c r="E1760" s="504"/>
      <c r="F1760" s="504"/>
      <c r="G1760" s="504"/>
      <c r="H1760" s="504"/>
      <c r="I1760" s="501"/>
      <c r="J1760" s="505"/>
      <c r="K1760" s="506"/>
      <c r="L1760" s="504"/>
      <c r="M1760" s="504"/>
      <c r="N1760" s="504"/>
      <c r="O1760" s="504"/>
      <c r="P1760" s="504"/>
    </row>
    <row r="1761" spans="2:16" ht="15.75" customHeight="1">
      <c r="B1761" s="55"/>
      <c r="C1761" s="504"/>
      <c r="D1761" s="504"/>
      <c r="E1761" s="504"/>
      <c r="F1761" s="504"/>
      <c r="G1761" s="504"/>
      <c r="H1761" s="504"/>
      <c r="I1761" s="501"/>
      <c r="J1761" s="505"/>
      <c r="K1761" s="506"/>
      <c r="L1761" s="504"/>
      <c r="M1761" s="504"/>
      <c r="N1761" s="504"/>
      <c r="O1761" s="504"/>
      <c r="P1761" s="504"/>
    </row>
    <row r="1762" spans="2:16" ht="15.75" customHeight="1">
      <c r="B1762" s="55"/>
      <c r="C1762" s="504"/>
      <c r="D1762" s="504"/>
      <c r="E1762" s="504"/>
      <c r="F1762" s="504"/>
      <c r="G1762" s="504"/>
      <c r="H1762" s="504"/>
      <c r="I1762" s="501"/>
      <c r="J1762" s="505"/>
      <c r="K1762" s="506"/>
      <c r="L1762" s="504"/>
      <c r="M1762" s="504"/>
      <c r="N1762" s="504"/>
      <c r="O1762" s="504"/>
      <c r="P1762" s="504"/>
    </row>
    <row r="1763" spans="2:16" ht="15.75" customHeight="1">
      <c r="B1763" s="55"/>
      <c r="C1763" s="504"/>
      <c r="D1763" s="504"/>
      <c r="E1763" s="504"/>
      <c r="F1763" s="504"/>
      <c r="G1763" s="504"/>
      <c r="H1763" s="504"/>
      <c r="I1763" s="501"/>
      <c r="J1763" s="505"/>
      <c r="K1763" s="506"/>
      <c r="L1763" s="504"/>
      <c r="M1763" s="504"/>
      <c r="N1763" s="504"/>
      <c r="O1763" s="504"/>
      <c r="P1763" s="504"/>
    </row>
    <row r="1764" spans="2:16" ht="15.75" customHeight="1">
      <c r="B1764" s="55"/>
      <c r="C1764" s="504"/>
      <c r="D1764" s="504"/>
      <c r="E1764" s="504"/>
      <c r="F1764" s="504"/>
      <c r="G1764" s="504"/>
      <c r="H1764" s="504"/>
      <c r="I1764" s="501"/>
      <c r="J1764" s="505"/>
      <c r="K1764" s="506"/>
      <c r="L1764" s="504"/>
      <c r="M1764" s="504"/>
      <c r="N1764" s="504"/>
      <c r="O1764" s="504"/>
      <c r="P1764" s="504"/>
    </row>
    <row r="1765" spans="2:16" ht="15.75" customHeight="1">
      <c r="B1765" s="55"/>
      <c r="C1765" s="504"/>
      <c r="D1765" s="504"/>
      <c r="E1765" s="504"/>
      <c r="F1765" s="504"/>
      <c r="G1765" s="504"/>
      <c r="H1765" s="504"/>
      <c r="I1765" s="501"/>
      <c r="J1765" s="505"/>
      <c r="K1765" s="506"/>
      <c r="L1765" s="504"/>
      <c r="M1765" s="504"/>
      <c r="N1765" s="504"/>
      <c r="O1765" s="504"/>
      <c r="P1765" s="504"/>
    </row>
    <row r="1766" spans="2:16" ht="15.75" customHeight="1">
      <c r="B1766" s="55"/>
      <c r="C1766" s="504"/>
      <c r="D1766" s="504"/>
      <c r="E1766" s="504"/>
      <c r="F1766" s="504"/>
      <c r="G1766" s="504"/>
      <c r="H1766" s="504"/>
      <c r="I1766" s="501"/>
      <c r="J1766" s="505"/>
      <c r="K1766" s="506"/>
      <c r="L1766" s="504"/>
      <c r="M1766" s="504"/>
      <c r="N1766" s="504"/>
      <c r="O1766" s="504"/>
      <c r="P1766" s="504"/>
    </row>
    <row r="1767" spans="2:16" ht="15.75" customHeight="1">
      <c r="B1767" s="55"/>
      <c r="C1767" s="504"/>
      <c r="D1767" s="504"/>
      <c r="E1767" s="504"/>
      <c r="F1767" s="504"/>
      <c r="G1767" s="504"/>
      <c r="H1767" s="504"/>
      <c r="I1767" s="501"/>
      <c r="J1767" s="505"/>
      <c r="K1767" s="506"/>
      <c r="L1767" s="504"/>
      <c r="M1767" s="504"/>
      <c r="N1767" s="504"/>
      <c r="O1767" s="504"/>
      <c r="P1767" s="504"/>
    </row>
    <row r="1768" spans="2:16" ht="15.75" customHeight="1">
      <c r="B1768" s="55"/>
      <c r="C1768" s="504"/>
      <c r="D1768" s="504"/>
      <c r="E1768" s="504"/>
      <c r="F1768" s="504"/>
      <c r="G1768" s="504"/>
      <c r="H1768" s="504"/>
      <c r="I1768" s="501"/>
      <c r="J1768" s="505"/>
      <c r="K1768" s="506"/>
      <c r="L1768" s="504"/>
      <c r="M1768" s="504"/>
      <c r="N1768" s="504"/>
      <c r="O1768" s="504"/>
      <c r="P1768" s="504"/>
    </row>
    <row r="1769" spans="2:16" ht="15.75" customHeight="1">
      <c r="B1769" s="55"/>
      <c r="C1769" s="504"/>
      <c r="D1769" s="504"/>
      <c r="E1769" s="504"/>
      <c r="F1769" s="504"/>
      <c r="G1769" s="504"/>
      <c r="H1769" s="504"/>
      <c r="I1769" s="501"/>
      <c r="J1769" s="505"/>
      <c r="K1769" s="506"/>
      <c r="L1769" s="504"/>
      <c r="M1769" s="504"/>
      <c r="N1769" s="504"/>
      <c r="O1769" s="504"/>
      <c r="P1769" s="504"/>
    </row>
    <row r="1770" spans="2:16" ht="15.75" customHeight="1">
      <c r="B1770" s="55"/>
      <c r="C1770" s="504"/>
      <c r="D1770" s="504"/>
      <c r="E1770" s="504"/>
      <c r="F1770" s="504"/>
      <c r="G1770" s="504"/>
      <c r="H1770" s="504"/>
      <c r="I1770" s="501"/>
      <c r="J1770" s="505"/>
      <c r="K1770" s="506"/>
      <c r="L1770" s="504"/>
      <c r="M1770" s="504"/>
      <c r="N1770" s="504"/>
      <c r="O1770" s="504"/>
      <c r="P1770" s="504"/>
    </row>
    <row r="1771" spans="2:16" ht="15.75" customHeight="1">
      <c r="B1771" s="55"/>
      <c r="C1771" s="504"/>
      <c r="D1771" s="504"/>
      <c r="E1771" s="504"/>
      <c r="F1771" s="504"/>
      <c r="G1771" s="504"/>
      <c r="H1771" s="504"/>
      <c r="I1771" s="501"/>
      <c r="J1771" s="505"/>
      <c r="K1771" s="506"/>
      <c r="L1771" s="504"/>
      <c r="M1771" s="504"/>
      <c r="N1771" s="504"/>
      <c r="O1771" s="504"/>
      <c r="P1771" s="504"/>
    </row>
    <row r="1772" spans="2:16" ht="15.75" customHeight="1">
      <c r="B1772" s="55"/>
      <c r="C1772" s="504"/>
      <c r="D1772" s="504"/>
      <c r="E1772" s="504"/>
      <c r="F1772" s="504"/>
      <c r="G1772" s="504"/>
      <c r="H1772" s="504"/>
      <c r="I1772" s="501"/>
      <c r="J1772" s="505"/>
      <c r="K1772" s="506"/>
      <c r="L1772" s="504"/>
      <c r="M1772" s="504"/>
      <c r="N1772" s="504"/>
      <c r="O1772" s="504"/>
      <c r="P1772" s="504"/>
    </row>
    <row r="1773" spans="2:16" ht="15.75" customHeight="1">
      <c r="B1773" s="55"/>
      <c r="C1773" s="504"/>
      <c r="D1773" s="504"/>
      <c r="E1773" s="504"/>
      <c r="F1773" s="504"/>
      <c r="G1773" s="504"/>
      <c r="H1773" s="504"/>
      <c r="I1773" s="501"/>
      <c r="J1773" s="505"/>
      <c r="K1773" s="506"/>
      <c r="L1773" s="504"/>
      <c r="M1773" s="504"/>
      <c r="N1773" s="504"/>
      <c r="O1773" s="504"/>
      <c r="P1773" s="504"/>
    </row>
    <row r="1774" spans="2:16" ht="15.75" customHeight="1">
      <c r="B1774" s="55"/>
      <c r="C1774" s="504"/>
      <c r="D1774" s="504"/>
      <c r="E1774" s="504"/>
      <c r="F1774" s="504"/>
      <c r="G1774" s="504"/>
      <c r="H1774" s="504"/>
      <c r="I1774" s="501"/>
      <c r="J1774" s="505"/>
      <c r="K1774" s="506"/>
      <c r="L1774" s="504"/>
      <c r="M1774" s="504"/>
      <c r="N1774" s="504"/>
      <c r="O1774" s="504"/>
      <c r="P1774" s="504"/>
    </row>
    <row r="1775" spans="2:16" ht="15.75" customHeight="1">
      <c r="B1775" s="55"/>
      <c r="C1775" s="504"/>
      <c r="D1775" s="504"/>
      <c r="E1775" s="504"/>
      <c r="F1775" s="504"/>
      <c r="G1775" s="504"/>
      <c r="H1775" s="504"/>
      <c r="I1775" s="501"/>
      <c r="J1775" s="505"/>
      <c r="K1775" s="506"/>
      <c r="L1775" s="504"/>
      <c r="M1775" s="504"/>
      <c r="N1775" s="504"/>
      <c r="O1775" s="504"/>
      <c r="P1775" s="504"/>
    </row>
    <row r="1776" spans="2:16" ht="15.75" customHeight="1">
      <c r="B1776" s="55"/>
      <c r="C1776" s="504"/>
      <c r="D1776" s="504"/>
      <c r="E1776" s="504"/>
      <c r="F1776" s="504"/>
      <c r="G1776" s="504"/>
      <c r="H1776" s="504"/>
      <c r="I1776" s="501"/>
      <c r="J1776" s="505"/>
      <c r="K1776" s="506"/>
      <c r="L1776" s="504"/>
      <c r="M1776" s="504"/>
      <c r="N1776" s="504"/>
      <c r="O1776" s="504"/>
      <c r="P1776" s="504"/>
    </row>
    <row r="1777" spans="2:16" ht="15.75" customHeight="1">
      <c r="B1777" s="55"/>
      <c r="C1777" s="504"/>
      <c r="D1777" s="504"/>
      <c r="E1777" s="504"/>
      <c r="F1777" s="504"/>
      <c r="G1777" s="504"/>
      <c r="H1777" s="504"/>
      <c r="I1777" s="501"/>
      <c r="J1777" s="505"/>
      <c r="K1777" s="506"/>
      <c r="L1777" s="504"/>
      <c r="M1777" s="504"/>
      <c r="N1777" s="504"/>
      <c r="O1777" s="504"/>
      <c r="P1777" s="504"/>
    </row>
    <row r="1778" spans="2:16" ht="15.75" customHeight="1">
      <c r="B1778" s="55"/>
      <c r="C1778" s="504"/>
      <c r="D1778" s="504"/>
      <c r="E1778" s="504"/>
      <c r="F1778" s="504"/>
      <c r="G1778" s="504"/>
      <c r="H1778" s="504"/>
      <c r="I1778" s="501"/>
      <c r="J1778" s="505"/>
      <c r="K1778" s="506"/>
      <c r="L1778" s="504"/>
      <c r="M1778" s="504"/>
      <c r="N1778" s="504"/>
      <c r="O1778" s="504"/>
      <c r="P1778" s="504"/>
    </row>
    <row r="1779" spans="2:16" ht="15.75" customHeight="1">
      <c r="B1779" s="55"/>
      <c r="C1779" s="504"/>
      <c r="D1779" s="504"/>
      <c r="E1779" s="504"/>
      <c r="F1779" s="504"/>
      <c r="G1779" s="504"/>
      <c r="H1779" s="504"/>
      <c r="I1779" s="501"/>
      <c r="J1779" s="505"/>
      <c r="K1779" s="506"/>
      <c r="L1779" s="504"/>
      <c r="M1779" s="504"/>
      <c r="N1779" s="504"/>
      <c r="O1779" s="504"/>
      <c r="P1779" s="504"/>
    </row>
    <row r="1780" spans="2:16" ht="15.75" customHeight="1">
      <c r="B1780" s="55"/>
      <c r="C1780" s="504"/>
      <c r="D1780" s="504"/>
      <c r="E1780" s="504"/>
      <c r="F1780" s="504"/>
      <c r="G1780" s="504"/>
      <c r="H1780" s="504"/>
      <c r="I1780" s="501"/>
      <c r="J1780" s="505"/>
      <c r="K1780" s="506"/>
      <c r="L1780" s="504"/>
      <c r="M1780" s="504"/>
      <c r="N1780" s="504"/>
      <c r="O1780" s="504"/>
      <c r="P1780" s="504"/>
    </row>
    <row r="1781" spans="2:16" ht="15.75" customHeight="1">
      <c r="B1781" s="55"/>
      <c r="C1781" s="504"/>
      <c r="D1781" s="504"/>
      <c r="E1781" s="504"/>
      <c r="F1781" s="504"/>
      <c r="G1781" s="504"/>
      <c r="H1781" s="504"/>
      <c r="I1781" s="501"/>
      <c r="J1781" s="505"/>
      <c r="K1781" s="506"/>
      <c r="L1781" s="504"/>
      <c r="M1781" s="504"/>
      <c r="N1781" s="504"/>
      <c r="O1781" s="504"/>
      <c r="P1781" s="504"/>
    </row>
    <row r="1782" spans="2:16" ht="15.75" customHeight="1">
      <c r="B1782" s="55"/>
      <c r="C1782" s="504"/>
      <c r="D1782" s="504"/>
      <c r="E1782" s="504"/>
      <c r="F1782" s="504"/>
      <c r="G1782" s="504"/>
      <c r="H1782" s="504"/>
      <c r="I1782" s="501"/>
      <c r="J1782" s="505"/>
      <c r="K1782" s="506"/>
      <c r="L1782" s="504"/>
      <c r="M1782" s="504"/>
      <c r="N1782" s="504"/>
      <c r="O1782" s="504"/>
      <c r="P1782" s="504"/>
    </row>
    <row r="1783" spans="2:16" ht="15.75" customHeight="1">
      <c r="B1783" s="55"/>
      <c r="C1783" s="504"/>
      <c r="D1783" s="504"/>
      <c r="E1783" s="504"/>
      <c r="F1783" s="504"/>
      <c r="G1783" s="504"/>
      <c r="H1783" s="504"/>
      <c r="I1783" s="501"/>
      <c r="J1783" s="505"/>
      <c r="K1783" s="506"/>
      <c r="L1783" s="504"/>
      <c r="M1783" s="504"/>
      <c r="N1783" s="504"/>
      <c r="O1783" s="504"/>
      <c r="P1783" s="504"/>
    </row>
    <row r="1784" spans="2:16" ht="15.75" customHeight="1">
      <c r="B1784" s="55"/>
      <c r="C1784" s="504"/>
      <c r="D1784" s="504"/>
      <c r="E1784" s="504"/>
      <c r="F1784" s="504"/>
      <c r="G1784" s="504"/>
      <c r="H1784" s="504"/>
      <c r="I1784" s="501"/>
      <c r="J1784" s="505"/>
      <c r="K1784" s="506"/>
      <c r="L1784" s="504"/>
      <c r="M1784" s="504"/>
      <c r="N1784" s="504"/>
      <c r="O1784" s="504"/>
      <c r="P1784" s="504"/>
    </row>
    <row r="1785" spans="2:16" ht="15.75" customHeight="1">
      <c r="B1785" s="55"/>
      <c r="C1785" s="504"/>
      <c r="D1785" s="504"/>
      <c r="E1785" s="504"/>
      <c r="F1785" s="504"/>
      <c r="G1785" s="504"/>
      <c r="H1785" s="504"/>
      <c r="I1785" s="501"/>
      <c r="J1785" s="505"/>
      <c r="K1785" s="506"/>
      <c r="L1785" s="504"/>
      <c r="M1785" s="504"/>
      <c r="N1785" s="504"/>
      <c r="O1785" s="504"/>
      <c r="P1785" s="504"/>
    </row>
    <row r="1786" spans="2:16" ht="15.75" customHeight="1">
      <c r="B1786" s="55"/>
      <c r="C1786" s="504"/>
      <c r="D1786" s="504"/>
      <c r="E1786" s="504"/>
      <c r="F1786" s="504"/>
      <c r="G1786" s="504"/>
      <c r="H1786" s="504"/>
      <c r="I1786" s="501"/>
      <c r="J1786" s="505"/>
      <c r="K1786" s="506"/>
      <c r="L1786" s="504"/>
      <c r="M1786" s="504"/>
      <c r="N1786" s="504"/>
      <c r="O1786" s="504"/>
      <c r="P1786" s="504"/>
    </row>
    <row r="1787" spans="2:16" ht="15.75" customHeight="1">
      <c r="B1787" s="55"/>
      <c r="C1787" s="504"/>
      <c r="D1787" s="504"/>
      <c r="E1787" s="504"/>
      <c r="F1787" s="504"/>
      <c r="G1787" s="504"/>
      <c r="H1787" s="504"/>
      <c r="I1787" s="501"/>
      <c r="J1787" s="505"/>
      <c r="K1787" s="506"/>
      <c r="L1787" s="504"/>
      <c r="M1787" s="504"/>
      <c r="N1787" s="504"/>
      <c r="O1787" s="504"/>
      <c r="P1787" s="504"/>
    </row>
    <row r="1788" spans="2:16" ht="15.75" customHeight="1">
      <c r="B1788" s="55"/>
      <c r="C1788" s="504"/>
      <c r="D1788" s="504"/>
      <c r="E1788" s="504"/>
      <c r="F1788" s="504"/>
      <c r="G1788" s="504"/>
      <c r="H1788" s="504"/>
      <c r="I1788" s="501"/>
      <c r="J1788" s="505"/>
      <c r="K1788" s="506"/>
      <c r="L1788" s="504"/>
      <c r="M1788" s="504"/>
      <c r="N1788" s="504"/>
      <c r="O1788" s="504"/>
      <c r="P1788" s="504"/>
    </row>
    <row r="1789" spans="2:16" ht="15.75" customHeight="1">
      <c r="B1789" s="55"/>
      <c r="C1789" s="504"/>
      <c r="D1789" s="504"/>
      <c r="E1789" s="504"/>
      <c r="F1789" s="504"/>
      <c r="G1789" s="504"/>
      <c r="H1789" s="504"/>
      <c r="I1789" s="501"/>
      <c r="J1789" s="505"/>
      <c r="K1789" s="506"/>
      <c r="L1789" s="504"/>
      <c r="M1789" s="504"/>
      <c r="N1789" s="504"/>
      <c r="O1789" s="504"/>
      <c r="P1789" s="504"/>
    </row>
    <row r="1790" spans="2:16" ht="15.75" customHeight="1">
      <c r="B1790" s="55"/>
      <c r="C1790" s="504"/>
      <c r="D1790" s="504"/>
      <c r="E1790" s="504"/>
      <c r="F1790" s="504"/>
      <c r="G1790" s="504"/>
      <c r="H1790" s="504"/>
      <c r="I1790" s="501"/>
      <c r="J1790" s="505"/>
      <c r="K1790" s="506"/>
      <c r="L1790" s="504"/>
      <c r="M1790" s="504"/>
      <c r="N1790" s="504"/>
      <c r="O1790" s="504"/>
      <c r="P1790" s="504"/>
    </row>
    <row r="1791" spans="2:16" ht="15.75" customHeight="1">
      <c r="B1791" s="55"/>
      <c r="C1791" s="504"/>
      <c r="D1791" s="504"/>
      <c r="E1791" s="504"/>
      <c r="F1791" s="504"/>
      <c r="G1791" s="504"/>
      <c r="H1791" s="504"/>
      <c r="I1791" s="501"/>
      <c r="J1791" s="505"/>
      <c r="K1791" s="506"/>
      <c r="L1791" s="504"/>
      <c r="M1791" s="504"/>
      <c r="N1791" s="504"/>
      <c r="O1791" s="504"/>
      <c r="P1791" s="504"/>
    </row>
    <row r="1792" spans="2:16" ht="15.75" customHeight="1">
      <c r="B1792" s="55"/>
      <c r="C1792" s="504"/>
      <c r="D1792" s="504"/>
      <c r="E1792" s="504"/>
      <c r="F1792" s="504"/>
      <c r="G1792" s="504"/>
      <c r="H1792" s="504"/>
      <c r="I1792" s="501"/>
      <c r="J1792" s="505"/>
      <c r="K1792" s="506"/>
      <c r="L1792" s="504"/>
      <c r="M1792" s="504"/>
      <c r="N1792" s="504"/>
      <c r="O1792" s="504"/>
      <c r="P1792" s="504"/>
    </row>
    <row r="1793" spans="2:16" ht="15.75" customHeight="1">
      <c r="B1793" s="55"/>
      <c r="C1793" s="504"/>
      <c r="D1793" s="504"/>
      <c r="E1793" s="504"/>
      <c r="F1793" s="504"/>
      <c r="G1793" s="504"/>
      <c r="H1793" s="504"/>
      <c r="I1793" s="501"/>
      <c r="J1793" s="505"/>
      <c r="K1793" s="506"/>
      <c r="L1793" s="504"/>
      <c r="M1793" s="504"/>
      <c r="N1793" s="504"/>
      <c r="O1793" s="504"/>
      <c r="P1793" s="504"/>
    </row>
    <row r="1794" spans="2:16" ht="15.75" customHeight="1">
      <c r="B1794" s="55"/>
      <c r="C1794" s="504"/>
      <c r="D1794" s="504"/>
      <c r="E1794" s="504"/>
      <c r="F1794" s="504"/>
      <c r="G1794" s="504"/>
      <c r="H1794" s="504"/>
      <c r="I1794" s="501"/>
      <c r="J1794" s="505"/>
      <c r="K1794" s="506"/>
      <c r="L1794" s="504"/>
      <c r="M1794" s="504"/>
      <c r="N1794" s="504"/>
      <c r="O1794" s="504"/>
      <c r="P1794" s="504"/>
    </row>
    <row r="1795" spans="2:16" ht="15.75" customHeight="1">
      <c r="B1795" s="55"/>
      <c r="C1795" s="504"/>
      <c r="D1795" s="504"/>
      <c r="E1795" s="504"/>
      <c r="F1795" s="504"/>
      <c r="G1795" s="504"/>
      <c r="H1795" s="504"/>
      <c r="I1795" s="501"/>
      <c r="J1795" s="505"/>
      <c r="K1795" s="506"/>
      <c r="L1795" s="504"/>
      <c r="M1795" s="504"/>
      <c r="N1795" s="504"/>
      <c r="O1795" s="504"/>
      <c r="P1795" s="504"/>
    </row>
    <row r="1796" spans="2:16" ht="15.75" customHeight="1">
      <c r="B1796" s="55"/>
      <c r="C1796" s="504"/>
      <c r="D1796" s="504"/>
      <c r="E1796" s="504"/>
      <c r="F1796" s="504"/>
      <c r="G1796" s="504"/>
      <c r="H1796" s="504"/>
      <c r="I1796" s="501"/>
      <c r="J1796" s="505"/>
      <c r="K1796" s="506"/>
      <c r="L1796" s="504"/>
      <c r="M1796" s="504"/>
      <c r="N1796" s="504"/>
      <c r="O1796" s="504"/>
      <c r="P1796" s="504"/>
    </row>
    <row r="1797" spans="2:16" ht="15.75" customHeight="1">
      <c r="B1797" s="55"/>
      <c r="C1797" s="504"/>
      <c r="D1797" s="504"/>
      <c r="E1797" s="504"/>
      <c r="F1797" s="504"/>
      <c r="G1797" s="504"/>
      <c r="H1797" s="504"/>
      <c r="I1797" s="501"/>
      <c r="J1797" s="505"/>
      <c r="K1797" s="506"/>
      <c r="L1797" s="504"/>
      <c r="M1797" s="504"/>
      <c r="N1797" s="504"/>
      <c r="O1797" s="504"/>
      <c r="P1797" s="504"/>
    </row>
    <row r="1798" spans="2:16" ht="15.75" customHeight="1">
      <c r="B1798" s="55"/>
      <c r="C1798" s="504"/>
      <c r="D1798" s="504"/>
      <c r="E1798" s="504"/>
      <c r="F1798" s="504"/>
      <c r="G1798" s="504"/>
      <c r="H1798" s="504"/>
      <c r="I1798" s="501"/>
      <c r="J1798" s="505"/>
      <c r="K1798" s="506"/>
      <c r="L1798" s="504"/>
      <c r="M1798" s="504"/>
      <c r="N1798" s="504"/>
      <c r="O1798" s="504"/>
      <c r="P1798" s="504"/>
    </row>
    <row r="1799" spans="2:16" ht="15.75" customHeight="1">
      <c r="B1799" s="55"/>
      <c r="C1799" s="504"/>
      <c r="D1799" s="504"/>
      <c r="E1799" s="504"/>
      <c r="F1799" s="504"/>
      <c r="G1799" s="504"/>
      <c r="H1799" s="504"/>
      <c r="I1799" s="501"/>
      <c r="J1799" s="505"/>
      <c r="K1799" s="506"/>
      <c r="L1799" s="504"/>
      <c r="M1799" s="504"/>
      <c r="N1799" s="504"/>
      <c r="O1799" s="504"/>
      <c r="P1799" s="504"/>
    </row>
    <row r="1800" spans="2:16" ht="15.75" customHeight="1">
      <c r="B1800" s="55"/>
      <c r="C1800" s="504"/>
      <c r="D1800" s="504"/>
      <c r="E1800" s="504"/>
      <c r="F1800" s="504"/>
      <c r="G1800" s="504"/>
      <c r="H1800" s="504"/>
      <c r="I1800" s="501"/>
      <c r="J1800" s="505"/>
      <c r="K1800" s="506"/>
      <c r="L1800" s="504"/>
      <c r="M1800" s="504"/>
      <c r="N1800" s="504"/>
      <c r="O1800" s="504"/>
      <c r="P1800" s="504"/>
    </row>
    <row r="1801" spans="2:16" ht="15.75" customHeight="1">
      <c r="B1801" s="55"/>
      <c r="C1801" s="504"/>
      <c r="D1801" s="504"/>
      <c r="E1801" s="504"/>
      <c r="F1801" s="504"/>
      <c r="G1801" s="504"/>
      <c r="H1801" s="504"/>
      <c r="I1801" s="501"/>
      <c r="J1801" s="505"/>
      <c r="K1801" s="506"/>
      <c r="L1801" s="504"/>
      <c r="M1801" s="504"/>
      <c r="N1801" s="504"/>
      <c r="O1801" s="504"/>
      <c r="P1801" s="504"/>
    </row>
    <row r="1802" spans="2:16" ht="15.75" customHeight="1">
      <c r="B1802" s="55"/>
      <c r="C1802" s="504"/>
      <c r="D1802" s="504"/>
      <c r="E1802" s="504"/>
      <c r="F1802" s="504"/>
      <c r="G1802" s="504"/>
      <c r="H1802" s="504"/>
      <c r="I1802" s="501"/>
      <c r="J1802" s="505"/>
      <c r="K1802" s="506"/>
      <c r="L1802" s="504"/>
      <c r="M1802" s="504"/>
      <c r="N1802" s="504"/>
      <c r="O1802" s="504"/>
      <c r="P1802" s="504"/>
    </row>
    <row r="1803" spans="2:16" ht="15.75" customHeight="1">
      <c r="B1803" s="55"/>
      <c r="C1803" s="504"/>
      <c r="D1803" s="504"/>
      <c r="E1803" s="504"/>
      <c r="F1803" s="504"/>
      <c r="G1803" s="504"/>
      <c r="H1803" s="504"/>
      <c r="I1803" s="501"/>
      <c r="J1803" s="505"/>
      <c r="K1803" s="506"/>
      <c r="L1803" s="504"/>
      <c r="M1803" s="504"/>
      <c r="N1803" s="504"/>
      <c r="O1803" s="504"/>
      <c r="P1803" s="504"/>
    </row>
    <row r="1804" spans="2:16" ht="15.75" customHeight="1">
      <c r="B1804" s="55"/>
      <c r="C1804" s="504"/>
      <c r="D1804" s="504"/>
      <c r="E1804" s="504"/>
      <c r="F1804" s="504"/>
      <c r="G1804" s="504"/>
      <c r="H1804" s="504"/>
      <c r="I1804" s="501"/>
      <c r="J1804" s="505"/>
      <c r="K1804" s="506"/>
      <c r="L1804" s="504"/>
      <c r="M1804" s="504"/>
      <c r="N1804" s="504"/>
      <c r="O1804" s="504"/>
      <c r="P1804" s="504"/>
    </row>
    <row r="1805" spans="2:16" ht="15.75" customHeight="1">
      <c r="B1805" s="55"/>
      <c r="C1805" s="504"/>
      <c r="D1805" s="504"/>
      <c r="E1805" s="504"/>
      <c r="F1805" s="504"/>
      <c r="G1805" s="504"/>
      <c r="H1805" s="504"/>
      <c r="I1805" s="501"/>
      <c r="J1805" s="505"/>
      <c r="K1805" s="506"/>
      <c r="L1805" s="504"/>
      <c r="M1805" s="504"/>
      <c r="N1805" s="504"/>
      <c r="O1805" s="504"/>
      <c r="P1805" s="504"/>
    </row>
    <row r="1806" spans="2:16" ht="15.75" customHeight="1">
      <c r="B1806" s="55"/>
      <c r="C1806" s="504"/>
      <c r="D1806" s="504"/>
      <c r="E1806" s="504"/>
      <c r="F1806" s="504"/>
      <c r="G1806" s="504"/>
      <c r="H1806" s="504"/>
      <c r="I1806" s="501"/>
      <c r="J1806" s="505"/>
      <c r="K1806" s="506"/>
      <c r="L1806" s="504"/>
      <c r="M1806" s="504"/>
      <c r="N1806" s="504"/>
      <c r="O1806" s="504"/>
      <c r="P1806" s="504"/>
    </row>
    <row r="1807" spans="2:16" ht="15.75" customHeight="1">
      <c r="B1807" s="55"/>
      <c r="C1807" s="504"/>
      <c r="D1807" s="504"/>
      <c r="E1807" s="504"/>
      <c r="F1807" s="504"/>
      <c r="G1807" s="504"/>
      <c r="H1807" s="504"/>
      <c r="I1807" s="501"/>
      <c r="J1807" s="505"/>
      <c r="K1807" s="506"/>
      <c r="L1807" s="504"/>
      <c r="M1807" s="504"/>
      <c r="N1807" s="504"/>
      <c r="O1807" s="504"/>
      <c r="P1807" s="504"/>
    </row>
    <row r="1808" spans="2:16" ht="15.75" customHeight="1">
      <c r="B1808" s="55"/>
      <c r="C1808" s="504"/>
      <c r="D1808" s="504"/>
      <c r="E1808" s="504"/>
      <c r="F1808" s="504"/>
      <c r="G1808" s="504"/>
      <c r="H1808" s="504"/>
      <c r="I1808" s="501"/>
      <c r="J1808" s="505"/>
      <c r="K1808" s="506"/>
      <c r="L1808" s="504"/>
      <c r="M1808" s="504"/>
      <c r="N1808" s="504"/>
      <c r="O1808" s="504"/>
      <c r="P1808" s="504"/>
    </row>
    <row r="1809" spans="2:16" ht="15.75" customHeight="1">
      <c r="B1809" s="55"/>
      <c r="C1809" s="504"/>
      <c r="D1809" s="504"/>
      <c r="E1809" s="504"/>
      <c r="F1809" s="504"/>
      <c r="G1809" s="504"/>
      <c r="H1809" s="504"/>
      <c r="I1809" s="501"/>
      <c r="J1809" s="505"/>
      <c r="K1809" s="506"/>
      <c r="L1809" s="504"/>
      <c r="M1809" s="504"/>
      <c r="N1809" s="504"/>
      <c r="O1809" s="504"/>
      <c r="P1809" s="504"/>
    </row>
    <row r="1810" spans="2:16" ht="15.75" customHeight="1">
      <c r="B1810" s="55"/>
      <c r="C1810" s="504"/>
      <c r="D1810" s="504"/>
      <c r="E1810" s="504"/>
      <c r="F1810" s="504"/>
      <c r="G1810" s="504"/>
      <c r="H1810" s="504"/>
      <c r="I1810" s="501"/>
      <c r="J1810" s="505"/>
      <c r="K1810" s="506"/>
      <c r="L1810" s="504"/>
      <c r="M1810" s="504"/>
      <c r="N1810" s="504"/>
      <c r="O1810" s="504"/>
      <c r="P1810" s="504"/>
    </row>
    <row r="1811" spans="2:16" ht="15.75" customHeight="1">
      <c r="B1811" s="55"/>
      <c r="C1811" s="504"/>
      <c r="D1811" s="504"/>
      <c r="E1811" s="504"/>
      <c r="F1811" s="504"/>
      <c r="G1811" s="504"/>
      <c r="H1811" s="504"/>
      <c r="I1811" s="501"/>
      <c r="J1811" s="505"/>
      <c r="K1811" s="506"/>
      <c r="L1811" s="504"/>
      <c r="M1811" s="504"/>
      <c r="N1811" s="504"/>
      <c r="O1811" s="504"/>
      <c r="P1811" s="504"/>
    </row>
    <row r="1812" spans="2:16" ht="15.75" customHeight="1">
      <c r="B1812" s="55"/>
      <c r="C1812" s="504"/>
      <c r="D1812" s="504"/>
      <c r="E1812" s="504"/>
      <c r="F1812" s="504"/>
      <c r="G1812" s="504"/>
      <c r="H1812" s="504"/>
      <c r="I1812" s="501"/>
      <c r="J1812" s="505"/>
      <c r="K1812" s="506"/>
      <c r="L1812" s="504"/>
      <c r="M1812" s="504"/>
      <c r="N1812" s="504"/>
      <c r="O1812" s="504"/>
      <c r="P1812" s="504"/>
    </row>
    <row r="1813" spans="2:16" ht="15.75" customHeight="1">
      <c r="B1813" s="55"/>
      <c r="C1813" s="504"/>
      <c r="D1813" s="504"/>
      <c r="E1813" s="504"/>
      <c r="F1813" s="504"/>
      <c r="G1813" s="504"/>
      <c r="H1813" s="504"/>
      <c r="I1813" s="501"/>
      <c r="J1813" s="505"/>
      <c r="K1813" s="506"/>
      <c r="L1813" s="504"/>
      <c r="M1813" s="504"/>
      <c r="N1813" s="504"/>
      <c r="O1813" s="504"/>
      <c r="P1813" s="504"/>
    </row>
    <row r="1814" spans="2:16" ht="15.75" customHeight="1">
      <c r="B1814" s="55"/>
      <c r="C1814" s="504"/>
      <c r="D1814" s="504"/>
      <c r="E1814" s="504"/>
      <c r="F1814" s="504"/>
      <c r="G1814" s="504"/>
      <c r="H1814" s="504"/>
      <c r="I1814" s="501"/>
      <c r="J1814" s="505"/>
      <c r="K1814" s="506"/>
      <c r="L1814" s="504"/>
      <c r="M1814" s="504"/>
      <c r="N1814" s="504"/>
      <c r="O1814" s="504"/>
      <c r="P1814" s="504"/>
    </row>
    <row r="1815" spans="2:16" ht="15.75" customHeight="1">
      <c r="B1815" s="55"/>
      <c r="C1815" s="504"/>
      <c r="D1815" s="504"/>
      <c r="E1815" s="504"/>
      <c r="F1815" s="504"/>
      <c r="G1815" s="504"/>
      <c r="H1815" s="504"/>
      <c r="I1815" s="501"/>
      <c r="J1815" s="505"/>
      <c r="K1815" s="506"/>
      <c r="L1815" s="504"/>
      <c r="M1815" s="504"/>
      <c r="N1815" s="504"/>
      <c r="O1815" s="504"/>
      <c r="P1815" s="504"/>
    </row>
    <row r="1816" spans="2:16" ht="15.75" customHeight="1">
      <c r="B1816" s="55"/>
      <c r="C1816" s="504"/>
      <c r="D1816" s="504"/>
      <c r="E1816" s="504"/>
      <c r="F1816" s="504"/>
      <c r="G1816" s="504"/>
      <c r="H1816" s="504"/>
      <c r="I1816" s="501"/>
      <c r="J1816" s="505"/>
      <c r="K1816" s="506"/>
      <c r="L1816" s="504"/>
      <c r="M1816" s="504"/>
      <c r="N1816" s="504"/>
      <c r="O1816" s="504"/>
      <c r="P1816" s="504"/>
    </row>
    <row r="1817" spans="2:16" ht="15.75" customHeight="1">
      <c r="B1817" s="55"/>
      <c r="C1817" s="504"/>
      <c r="D1817" s="504"/>
      <c r="E1817" s="504"/>
      <c r="F1817" s="504"/>
      <c r="G1817" s="504"/>
      <c r="H1817" s="504"/>
      <c r="I1817" s="501"/>
      <c r="J1817" s="505"/>
      <c r="K1817" s="506"/>
      <c r="L1817" s="504"/>
      <c r="M1817" s="504"/>
      <c r="N1817" s="504"/>
      <c r="O1817" s="504"/>
      <c r="P1817" s="504"/>
    </row>
    <row r="1818" spans="2:16" ht="15.75" customHeight="1">
      <c r="B1818" s="55"/>
      <c r="C1818" s="504"/>
      <c r="D1818" s="504"/>
      <c r="E1818" s="504"/>
      <c r="F1818" s="504"/>
      <c r="G1818" s="504"/>
      <c r="H1818" s="504"/>
      <c r="I1818" s="501"/>
      <c r="J1818" s="505"/>
      <c r="K1818" s="506"/>
      <c r="L1818" s="504"/>
      <c r="M1818" s="504"/>
      <c r="N1818" s="504"/>
      <c r="O1818" s="504"/>
      <c r="P1818" s="504"/>
    </row>
    <row r="1819" spans="2:16" ht="15.75" customHeight="1">
      <c r="B1819" s="55"/>
      <c r="C1819" s="504"/>
      <c r="D1819" s="504"/>
      <c r="E1819" s="504"/>
      <c r="F1819" s="504"/>
      <c r="G1819" s="504"/>
      <c r="H1819" s="504"/>
      <c r="I1819" s="501"/>
      <c r="J1819" s="505"/>
      <c r="K1819" s="506"/>
      <c r="L1819" s="504"/>
      <c r="M1819" s="504"/>
      <c r="N1819" s="504"/>
      <c r="O1819" s="504"/>
      <c r="P1819" s="504"/>
    </row>
    <row r="1820" spans="2:16" ht="15.75" customHeight="1">
      <c r="B1820" s="55"/>
      <c r="C1820" s="504"/>
      <c r="D1820" s="504"/>
      <c r="E1820" s="504"/>
      <c r="F1820" s="504"/>
      <c r="G1820" s="504"/>
      <c r="H1820" s="504"/>
      <c r="I1820" s="501"/>
      <c r="J1820" s="505"/>
      <c r="K1820" s="506"/>
      <c r="L1820" s="504"/>
      <c r="M1820" s="504"/>
      <c r="N1820" s="504"/>
      <c r="O1820" s="504"/>
      <c r="P1820" s="504"/>
    </row>
    <row r="1821" spans="2:16">
      <c r="B1821" s="55"/>
      <c r="C1821" s="504"/>
      <c r="D1821" s="504"/>
      <c r="E1821" s="504"/>
      <c r="F1821" s="504"/>
      <c r="G1821" s="504"/>
      <c r="H1821" s="504"/>
      <c r="I1821" s="501"/>
      <c r="J1821" s="505"/>
      <c r="K1821" s="506"/>
      <c r="L1821" s="504"/>
      <c r="M1821" s="504"/>
      <c r="N1821" s="504"/>
      <c r="O1821" s="504"/>
      <c r="P1821" s="504"/>
    </row>
    <row r="1822" spans="2:16">
      <c r="B1822" s="55"/>
      <c r="C1822" s="504"/>
      <c r="D1822" s="504"/>
      <c r="E1822" s="504"/>
      <c r="F1822" s="504"/>
      <c r="G1822" s="504"/>
      <c r="H1822" s="504"/>
      <c r="I1822" s="501"/>
      <c r="J1822" s="505"/>
      <c r="K1822" s="506"/>
      <c r="L1822" s="504"/>
      <c r="M1822" s="504"/>
      <c r="N1822" s="504"/>
      <c r="O1822" s="504"/>
      <c r="P1822" s="504"/>
    </row>
    <row r="1823" spans="2:16">
      <c r="B1823" s="55"/>
      <c r="C1823" s="504"/>
      <c r="D1823" s="504"/>
      <c r="E1823" s="504"/>
      <c r="F1823" s="504"/>
      <c r="G1823" s="504"/>
      <c r="H1823" s="504"/>
      <c r="I1823" s="501"/>
      <c r="J1823" s="505"/>
      <c r="K1823" s="506"/>
      <c r="L1823" s="504"/>
      <c r="M1823" s="504"/>
      <c r="N1823" s="504"/>
      <c r="O1823" s="504"/>
      <c r="P1823" s="504"/>
    </row>
    <row r="1824" spans="2:16">
      <c r="B1824" s="55"/>
      <c r="C1824" s="504"/>
      <c r="D1824" s="504"/>
      <c r="E1824" s="504"/>
      <c r="F1824" s="504"/>
      <c r="G1824" s="504"/>
      <c r="H1824" s="504"/>
      <c r="I1824" s="501"/>
      <c r="J1824" s="505"/>
      <c r="K1824" s="506"/>
      <c r="L1824" s="504"/>
      <c r="M1824" s="504"/>
      <c r="N1824" s="504"/>
      <c r="O1824" s="504"/>
      <c r="P1824" s="504"/>
    </row>
    <row r="1825" spans="2:16">
      <c r="B1825" s="55"/>
      <c r="C1825" s="504"/>
      <c r="D1825" s="504"/>
      <c r="E1825" s="504"/>
      <c r="F1825" s="504"/>
      <c r="G1825" s="504"/>
      <c r="H1825" s="504"/>
      <c r="I1825" s="501"/>
      <c r="J1825" s="505"/>
      <c r="K1825" s="506"/>
      <c r="L1825" s="504"/>
      <c r="M1825" s="504"/>
      <c r="N1825" s="504"/>
      <c r="O1825" s="504"/>
      <c r="P1825" s="504"/>
    </row>
    <row r="1826" spans="2:16">
      <c r="B1826" s="55"/>
      <c r="C1826" s="504"/>
      <c r="D1826" s="504"/>
      <c r="E1826" s="504"/>
      <c r="F1826" s="504"/>
      <c r="G1826" s="504"/>
      <c r="H1826" s="504"/>
      <c r="I1826" s="501"/>
      <c r="J1826" s="505"/>
      <c r="K1826" s="506"/>
      <c r="L1826" s="504"/>
      <c r="M1826" s="504"/>
      <c r="N1826" s="504"/>
      <c r="O1826" s="504"/>
      <c r="P1826" s="504"/>
    </row>
    <row r="1827" spans="2:16">
      <c r="B1827" s="55"/>
      <c r="C1827" s="504"/>
      <c r="D1827" s="504"/>
      <c r="E1827" s="504"/>
      <c r="F1827" s="504"/>
      <c r="G1827" s="504"/>
      <c r="H1827" s="504"/>
      <c r="I1827" s="501"/>
      <c r="J1827" s="505"/>
      <c r="K1827" s="506"/>
      <c r="L1827" s="504"/>
      <c r="M1827" s="504"/>
      <c r="N1827" s="504"/>
      <c r="O1827" s="504"/>
      <c r="P1827" s="504"/>
    </row>
    <row r="1828" spans="2:16">
      <c r="B1828" s="55"/>
      <c r="C1828" s="504"/>
      <c r="D1828" s="504"/>
      <c r="E1828" s="504"/>
      <c r="F1828" s="504"/>
      <c r="G1828" s="504"/>
      <c r="H1828" s="504"/>
      <c r="I1828" s="501"/>
      <c r="J1828" s="505"/>
      <c r="K1828" s="506"/>
      <c r="L1828" s="504"/>
      <c r="M1828" s="504"/>
      <c r="N1828" s="504"/>
      <c r="O1828" s="504"/>
      <c r="P1828" s="504"/>
    </row>
    <row r="1829" spans="2:16">
      <c r="B1829" s="55"/>
      <c r="C1829" s="504"/>
      <c r="D1829" s="504"/>
      <c r="E1829" s="504"/>
      <c r="F1829" s="504"/>
      <c r="G1829" s="504"/>
      <c r="H1829" s="504"/>
      <c r="I1829" s="501"/>
      <c r="J1829" s="505"/>
      <c r="K1829" s="506"/>
      <c r="L1829" s="504"/>
      <c r="M1829" s="504"/>
      <c r="N1829" s="504"/>
      <c r="O1829" s="504"/>
      <c r="P1829" s="504"/>
    </row>
    <row r="1830" spans="2:16">
      <c r="B1830" s="55"/>
      <c r="C1830" s="504"/>
      <c r="D1830" s="504"/>
      <c r="E1830" s="504"/>
      <c r="F1830" s="504"/>
      <c r="G1830" s="504"/>
      <c r="H1830" s="504"/>
      <c r="I1830" s="501"/>
      <c r="J1830" s="505"/>
      <c r="K1830" s="506"/>
      <c r="L1830" s="504"/>
      <c r="M1830" s="504"/>
      <c r="N1830" s="504"/>
      <c r="O1830" s="504"/>
      <c r="P1830" s="504"/>
    </row>
    <row r="1831" spans="2:16">
      <c r="B1831" s="55"/>
      <c r="C1831" s="504"/>
      <c r="D1831" s="504"/>
      <c r="E1831" s="504"/>
      <c r="F1831" s="504"/>
      <c r="G1831" s="504"/>
      <c r="H1831" s="504"/>
      <c r="I1831" s="501"/>
      <c r="J1831" s="505"/>
      <c r="K1831" s="506"/>
      <c r="L1831" s="504"/>
      <c r="M1831" s="504"/>
      <c r="N1831" s="504"/>
      <c r="O1831" s="504"/>
      <c r="P1831" s="504"/>
    </row>
    <row r="1832" spans="2:16">
      <c r="B1832" s="55"/>
      <c r="C1832" s="504"/>
      <c r="D1832" s="504"/>
      <c r="E1832" s="504"/>
      <c r="F1832" s="504"/>
      <c r="G1832" s="504"/>
      <c r="H1832" s="504"/>
      <c r="I1832" s="501"/>
      <c r="J1832" s="505"/>
      <c r="K1832" s="506"/>
      <c r="L1832" s="504"/>
      <c r="M1832" s="504"/>
      <c r="N1832" s="504"/>
      <c r="O1832" s="504"/>
      <c r="P1832" s="504"/>
    </row>
    <row r="1833" spans="2:16">
      <c r="B1833" s="55"/>
      <c r="C1833" s="504"/>
      <c r="D1833" s="504"/>
      <c r="E1833" s="504"/>
      <c r="F1833" s="504"/>
      <c r="G1833" s="504"/>
      <c r="H1833" s="504"/>
      <c r="I1833" s="501"/>
      <c r="J1833" s="505"/>
      <c r="K1833" s="506"/>
      <c r="L1833" s="504"/>
      <c r="M1833" s="504"/>
      <c r="N1833" s="504"/>
      <c r="O1833" s="504"/>
      <c r="P1833" s="504"/>
    </row>
    <row r="1834" spans="2:16">
      <c r="B1834" s="55"/>
      <c r="C1834" s="504"/>
      <c r="D1834" s="504"/>
      <c r="E1834" s="504"/>
      <c r="F1834" s="504"/>
      <c r="G1834" s="504"/>
      <c r="H1834" s="504"/>
      <c r="I1834" s="501"/>
      <c r="J1834" s="505"/>
      <c r="K1834" s="506"/>
      <c r="L1834" s="504"/>
      <c r="M1834" s="504"/>
      <c r="N1834" s="504"/>
      <c r="O1834" s="504"/>
      <c r="P1834" s="504"/>
    </row>
    <row r="1835" spans="2:16">
      <c r="B1835" s="55"/>
      <c r="C1835" s="504"/>
      <c r="D1835" s="504"/>
      <c r="E1835" s="504"/>
      <c r="F1835" s="504"/>
      <c r="G1835" s="504"/>
      <c r="H1835" s="504"/>
      <c r="I1835" s="501"/>
      <c r="J1835" s="505"/>
      <c r="K1835" s="506"/>
      <c r="L1835" s="504"/>
      <c r="M1835" s="504"/>
      <c r="N1835" s="504"/>
      <c r="O1835" s="504"/>
      <c r="P1835" s="504"/>
    </row>
    <row r="1836" spans="2:16">
      <c r="B1836" s="55"/>
      <c r="C1836" s="504"/>
      <c r="D1836" s="504"/>
      <c r="E1836" s="504"/>
      <c r="F1836" s="504"/>
      <c r="G1836" s="504"/>
      <c r="H1836" s="504"/>
      <c r="I1836" s="501"/>
      <c r="J1836" s="505"/>
      <c r="K1836" s="506"/>
      <c r="L1836" s="504"/>
      <c r="M1836" s="504"/>
      <c r="N1836" s="504"/>
      <c r="O1836" s="504"/>
      <c r="P1836" s="504"/>
    </row>
    <row r="1837" spans="2:16">
      <c r="B1837" s="55"/>
      <c r="C1837" s="504"/>
      <c r="D1837" s="504"/>
      <c r="E1837" s="504"/>
      <c r="F1837" s="504"/>
      <c r="G1837" s="504"/>
      <c r="H1837" s="504"/>
      <c r="I1837" s="501"/>
      <c r="J1837" s="505"/>
      <c r="K1837" s="506"/>
      <c r="L1837" s="504"/>
      <c r="M1837" s="504"/>
      <c r="N1837" s="504"/>
      <c r="O1837" s="504"/>
      <c r="P1837" s="504"/>
    </row>
    <row r="1838" spans="2:16">
      <c r="B1838" s="55"/>
      <c r="C1838" s="504"/>
      <c r="D1838" s="504"/>
      <c r="E1838" s="504"/>
      <c r="F1838" s="504"/>
      <c r="G1838" s="504"/>
      <c r="H1838" s="504"/>
      <c r="I1838" s="501"/>
      <c r="J1838" s="505"/>
      <c r="K1838" s="506"/>
      <c r="L1838" s="504"/>
      <c r="M1838" s="504"/>
      <c r="N1838" s="504"/>
      <c r="O1838" s="504"/>
      <c r="P1838" s="504"/>
    </row>
    <row r="1839" spans="2:16">
      <c r="B1839" s="55"/>
      <c r="C1839" s="504"/>
      <c r="D1839" s="504"/>
      <c r="E1839" s="504"/>
      <c r="F1839" s="504"/>
      <c r="G1839" s="504"/>
      <c r="H1839" s="504"/>
      <c r="I1839" s="501"/>
      <c r="J1839" s="505"/>
      <c r="K1839" s="506"/>
      <c r="L1839" s="504"/>
      <c r="M1839" s="504"/>
      <c r="N1839" s="504"/>
      <c r="O1839" s="504"/>
      <c r="P1839" s="504"/>
    </row>
    <row r="1840" spans="2:16">
      <c r="B1840" s="55"/>
      <c r="C1840" s="504"/>
      <c r="D1840" s="504"/>
      <c r="E1840" s="504"/>
      <c r="F1840" s="504"/>
      <c r="G1840" s="504"/>
      <c r="H1840" s="504"/>
      <c r="I1840" s="501"/>
      <c r="J1840" s="505"/>
      <c r="K1840" s="506"/>
      <c r="L1840" s="504"/>
      <c r="M1840" s="504"/>
      <c r="N1840" s="504"/>
      <c r="O1840" s="504"/>
      <c r="P1840" s="504"/>
    </row>
    <row r="1841" spans="2:16">
      <c r="B1841" s="55"/>
      <c r="C1841" s="504"/>
      <c r="D1841" s="504"/>
      <c r="E1841" s="504"/>
      <c r="F1841" s="504"/>
      <c r="G1841" s="504"/>
      <c r="H1841" s="504"/>
      <c r="I1841" s="501"/>
      <c r="J1841" s="505"/>
      <c r="K1841" s="506"/>
      <c r="L1841" s="504"/>
      <c r="M1841" s="504"/>
      <c r="N1841" s="504"/>
      <c r="O1841" s="504"/>
      <c r="P1841" s="504"/>
    </row>
    <row r="1842" spans="2:16">
      <c r="B1842" s="55"/>
      <c r="C1842" s="504"/>
      <c r="D1842" s="504"/>
      <c r="E1842" s="504"/>
      <c r="F1842" s="504"/>
      <c r="G1842" s="504"/>
      <c r="H1842" s="504"/>
      <c r="I1842" s="501"/>
      <c r="J1842" s="505"/>
      <c r="K1842" s="506"/>
      <c r="L1842" s="504"/>
      <c r="M1842" s="504"/>
      <c r="N1842" s="504"/>
      <c r="O1842" s="504"/>
      <c r="P1842" s="504"/>
    </row>
    <row r="1843" spans="2:16">
      <c r="B1843" s="55"/>
      <c r="C1843" s="504"/>
      <c r="D1843" s="504"/>
      <c r="E1843" s="504"/>
      <c r="F1843" s="504"/>
      <c r="G1843" s="504"/>
      <c r="H1843" s="504"/>
      <c r="I1843" s="501"/>
      <c r="J1843" s="505"/>
      <c r="K1843" s="506"/>
      <c r="L1843" s="504"/>
      <c r="M1843" s="504"/>
      <c r="N1843" s="504"/>
      <c r="O1843" s="504"/>
      <c r="P1843" s="504"/>
    </row>
    <row r="1844" spans="2:16">
      <c r="B1844" s="55"/>
      <c r="C1844" s="504"/>
      <c r="D1844" s="504"/>
      <c r="E1844" s="504"/>
      <c r="F1844" s="504"/>
      <c r="G1844" s="504"/>
      <c r="H1844" s="504"/>
      <c r="I1844" s="501"/>
      <c r="J1844" s="505"/>
      <c r="K1844" s="506"/>
      <c r="L1844" s="504"/>
      <c r="M1844" s="504"/>
      <c r="N1844" s="504"/>
      <c r="O1844" s="504"/>
      <c r="P1844" s="504"/>
    </row>
    <row r="1845" spans="2:16">
      <c r="B1845" s="55"/>
      <c r="C1845" s="504"/>
      <c r="D1845" s="504"/>
      <c r="E1845" s="504"/>
      <c r="F1845" s="504"/>
      <c r="G1845" s="504"/>
      <c r="H1845" s="504"/>
      <c r="I1845" s="501"/>
      <c r="J1845" s="505"/>
      <c r="K1845" s="506"/>
      <c r="L1845" s="504"/>
      <c r="M1845" s="504"/>
      <c r="N1845" s="504"/>
      <c r="O1845" s="504"/>
      <c r="P1845" s="504"/>
    </row>
    <row r="1846" spans="2:16">
      <c r="B1846" s="55"/>
      <c r="C1846" s="504"/>
      <c r="D1846" s="504"/>
      <c r="E1846" s="504"/>
      <c r="F1846" s="504"/>
      <c r="G1846" s="504"/>
      <c r="H1846" s="504"/>
      <c r="I1846" s="501"/>
      <c r="J1846" s="505"/>
      <c r="K1846" s="506"/>
      <c r="L1846" s="504"/>
      <c r="M1846" s="504"/>
      <c r="N1846" s="504"/>
      <c r="O1846" s="504"/>
      <c r="P1846" s="504"/>
    </row>
    <row r="1847" spans="2:16">
      <c r="B1847" s="55"/>
      <c r="C1847" s="504"/>
      <c r="D1847" s="504"/>
      <c r="E1847" s="504"/>
      <c r="F1847" s="504"/>
      <c r="G1847" s="504"/>
      <c r="H1847" s="504"/>
      <c r="I1847" s="501"/>
      <c r="J1847" s="505"/>
      <c r="K1847" s="506"/>
      <c r="L1847" s="504"/>
      <c r="M1847" s="504"/>
      <c r="N1847" s="504"/>
      <c r="O1847" s="504"/>
      <c r="P1847" s="504"/>
    </row>
    <row r="1848" spans="2:16">
      <c r="B1848" s="55"/>
      <c r="C1848" s="504"/>
      <c r="D1848" s="504"/>
      <c r="E1848" s="504"/>
      <c r="F1848" s="504"/>
      <c r="G1848" s="504"/>
      <c r="H1848" s="504"/>
      <c r="I1848" s="501"/>
      <c r="J1848" s="505"/>
      <c r="K1848" s="506"/>
      <c r="L1848" s="504"/>
      <c r="M1848" s="504"/>
      <c r="N1848" s="504"/>
      <c r="O1848" s="504"/>
      <c r="P1848" s="504"/>
    </row>
    <row r="1849" spans="2:16">
      <c r="B1849" s="55"/>
      <c r="C1849" s="504"/>
      <c r="D1849" s="504"/>
      <c r="E1849" s="504"/>
      <c r="F1849" s="504"/>
      <c r="G1849" s="504"/>
      <c r="H1849" s="504"/>
      <c r="I1849" s="501"/>
      <c r="J1849" s="505"/>
      <c r="K1849" s="506"/>
      <c r="L1849" s="504"/>
      <c r="M1849" s="504"/>
      <c r="N1849" s="504"/>
      <c r="O1849" s="504"/>
      <c r="P1849" s="504"/>
    </row>
    <row r="1850" spans="2:16">
      <c r="B1850" s="55"/>
      <c r="C1850" s="504"/>
      <c r="D1850" s="504"/>
      <c r="E1850" s="504"/>
      <c r="F1850" s="504"/>
      <c r="G1850" s="504"/>
      <c r="H1850" s="504"/>
      <c r="I1850" s="501"/>
      <c r="J1850" s="505"/>
      <c r="K1850" s="506"/>
      <c r="L1850" s="504"/>
      <c r="M1850" s="504"/>
      <c r="N1850" s="504"/>
      <c r="O1850" s="504"/>
      <c r="P1850" s="504"/>
    </row>
    <row r="1851" spans="2:16">
      <c r="B1851" s="55"/>
      <c r="C1851" s="504"/>
      <c r="D1851" s="504"/>
      <c r="E1851" s="504"/>
      <c r="F1851" s="504"/>
      <c r="G1851" s="504"/>
      <c r="H1851" s="504"/>
      <c r="I1851" s="501"/>
      <c r="J1851" s="505"/>
      <c r="K1851" s="506"/>
      <c r="L1851" s="504"/>
      <c r="M1851" s="504"/>
      <c r="N1851" s="504"/>
      <c r="O1851" s="504"/>
      <c r="P1851" s="504"/>
    </row>
    <row r="1852" spans="2:16">
      <c r="B1852" s="55"/>
      <c r="C1852" s="504"/>
      <c r="D1852" s="504"/>
      <c r="E1852" s="504"/>
      <c r="F1852" s="504"/>
      <c r="G1852" s="504"/>
      <c r="H1852" s="504"/>
      <c r="I1852" s="501"/>
      <c r="J1852" s="505"/>
      <c r="K1852" s="506"/>
      <c r="L1852" s="504"/>
      <c r="M1852" s="504"/>
      <c r="N1852" s="504"/>
      <c r="O1852" s="504"/>
      <c r="P1852" s="504"/>
    </row>
    <row r="1853" spans="2:16">
      <c r="B1853" s="55"/>
      <c r="C1853" s="504"/>
      <c r="D1853" s="504"/>
      <c r="E1853" s="504"/>
      <c r="F1853" s="504"/>
      <c r="G1853" s="504"/>
      <c r="H1853" s="504"/>
      <c r="I1853" s="501"/>
      <c r="J1853" s="505"/>
      <c r="K1853" s="506"/>
      <c r="L1853" s="504"/>
      <c r="M1853" s="504"/>
      <c r="N1853" s="504"/>
      <c r="O1853" s="504"/>
      <c r="P1853" s="504"/>
    </row>
    <row r="1854" spans="2:16">
      <c r="B1854" s="55"/>
      <c r="C1854" s="504"/>
      <c r="D1854" s="504"/>
      <c r="E1854" s="504"/>
      <c r="F1854" s="504"/>
      <c r="G1854" s="504"/>
      <c r="H1854" s="504"/>
      <c r="I1854" s="501"/>
      <c r="J1854" s="505"/>
      <c r="K1854" s="506"/>
      <c r="L1854" s="504"/>
      <c r="M1854" s="504"/>
      <c r="N1854" s="504"/>
      <c r="O1854" s="504"/>
      <c r="P1854" s="504"/>
    </row>
    <row r="1855" spans="2:16">
      <c r="B1855" s="55"/>
      <c r="C1855" s="504"/>
      <c r="D1855" s="504"/>
      <c r="E1855" s="504"/>
      <c r="F1855" s="504"/>
      <c r="G1855" s="504"/>
      <c r="H1855" s="504"/>
      <c r="I1855" s="501"/>
      <c r="J1855" s="505"/>
      <c r="K1855" s="506"/>
      <c r="L1855" s="504"/>
      <c r="M1855" s="504"/>
      <c r="N1855" s="504"/>
      <c r="O1855" s="504"/>
      <c r="P1855" s="504"/>
    </row>
    <row r="1856" spans="2:16">
      <c r="B1856" s="55"/>
      <c r="C1856" s="504"/>
      <c r="D1856" s="504"/>
      <c r="E1856" s="504"/>
      <c r="F1856" s="504"/>
      <c r="G1856" s="504"/>
      <c r="H1856" s="504"/>
      <c r="I1856" s="501"/>
      <c r="J1856" s="505"/>
      <c r="K1856" s="506"/>
      <c r="L1856" s="504"/>
      <c r="M1856" s="504"/>
      <c r="N1856" s="504"/>
      <c r="O1856" s="504"/>
      <c r="P1856" s="504"/>
    </row>
    <row r="1857" spans="2:16">
      <c r="B1857" s="55"/>
      <c r="C1857" s="504"/>
      <c r="D1857" s="504"/>
      <c r="E1857" s="504"/>
      <c r="F1857" s="504"/>
      <c r="G1857" s="504"/>
      <c r="H1857" s="504"/>
      <c r="I1857" s="501"/>
      <c r="J1857" s="505"/>
      <c r="K1857" s="506"/>
      <c r="L1857" s="504"/>
      <c r="M1857" s="504"/>
      <c r="N1857" s="504"/>
      <c r="O1857" s="504"/>
      <c r="P1857" s="504"/>
    </row>
    <row r="1858" spans="2:16">
      <c r="B1858" s="55"/>
      <c r="C1858" s="504"/>
      <c r="D1858" s="504"/>
      <c r="E1858" s="504"/>
      <c r="F1858" s="504"/>
      <c r="G1858" s="504"/>
      <c r="H1858" s="504"/>
      <c r="I1858" s="501"/>
      <c r="J1858" s="505"/>
      <c r="K1858" s="506"/>
      <c r="L1858" s="504"/>
      <c r="M1858" s="504"/>
      <c r="N1858" s="504"/>
      <c r="O1858" s="504"/>
      <c r="P1858" s="504"/>
    </row>
    <row r="1859" spans="2:16">
      <c r="B1859" s="55"/>
      <c r="C1859" s="504"/>
      <c r="D1859" s="504"/>
      <c r="E1859" s="504"/>
      <c r="F1859" s="504"/>
      <c r="G1859" s="504"/>
      <c r="H1859" s="504"/>
      <c r="I1859" s="501"/>
      <c r="J1859" s="505"/>
      <c r="K1859" s="506"/>
      <c r="L1859" s="504"/>
      <c r="M1859" s="504"/>
      <c r="N1859" s="504"/>
      <c r="O1859" s="504"/>
      <c r="P1859" s="504"/>
    </row>
    <row r="1860" spans="2:16">
      <c r="B1860" s="55"/>
      <c r="C1860" s="504"/>
      <c r="D1860" s="504"/>
      <c r="E1860" s="504"/>
      <c r="F1860" s="504"/>
      <c r="G1860" s="504"/>
      <c r="H1860" s="504"/>
      <c r="I1860" s="501"/>
      <c r="J1860" s="505"/>
      <c r="K1860" s="506"/>
      <c r="L1860" s="504"/>
      <c r="M1860" s="504"/>
      <c r="N1860" s="504"/>
      <c r="O1860" s="504"/>
      <c r="P1860" s="504"/>
    </row>
    <row r="1861" spans="2:16">
      <c r="B1861" s="55"/>
      <c r="C1861" s="504"/>
      <c r="D1861" s="504"/>
      <c r="E1861" s="504"/>
      <c r="F1861" s="504"/>
      <c r="G1861" s="504"/>
      <c r="H1861" s="504"/>
      <c r="I1861" s="501"/>
      <c r="J1861" s="505"/>
      <c r="K1861" s="506"/>
      <c r="L1861" s="504"/>
      <c r="M1861" s="504"/>
      <c r="N1861" s="504"/>
      <c r="O1861" s="504"/>
      <c r="P1861" s="504"/>
    </row>
    <row r="1862" spans="2:16">
      <c r="B1862" s="55"/>
      <c r="C1862" s="504"/>
      <c r="D1862" s="504"/>
      <c r="E1862" s="504"/>
      <c r="F1862" s="504"/>
      <c r="G1862" s="504"/>
      <c r="H1862" s="504"/>
      <c r="I1862" s="501"/>
      <c r="J1862" s="505"/>
      <c r="K1862" s="506"/>
      <c r="L1862" s="504"/>
      <c r="M1862" s="504"/>
      <c r="N1862" s="504"/>
      <c r="O1862" s="504"/>
      <c r="P1862" s="504"/>
    </row>
    <row r="1863" spans="2:16">
      <c r="B1863" s="55"/>
      <c r="C1863" s="504"/>
      <c r="D1863" s="504"/>
      <c r="E1863" s="504"/>
      <c r="F1863" s="504"/>
      <c r="G1863" s="504"/>
      <c r="H1863" s="504"/>
      <c r="I1863" s="501"/>
      <c r="J1863" s="505"/>
      <c r="K1863" s="506"/>
      <c r="L1863" s="504"/>
      <c r="M1863" s="504"/>
      <c r="N1863" s="504"/>
      <c r="O1863" s="504"/>
      <c r="P1863" s="504"/>
    </row>
    <row r="1864" spans="2:16">
      <c r="B1864" s="55"/>
      <c r="C1864" s="504"/>
      <c r="D1864" s="504"/>
      <c r="E1864" s="504"/>
      <c r="F1864" s="504"/>
      <c r="G1864" s="504"/>
      <c r="H1864" s="504"/>
      <c r="I1864" s="501"/>
      <c r="J1864" s="505"/>
      <c r="K1864" s="506"/>
      <c r="L1864" s="504"/>
      <c r="M1864" s="504"/>
      <c r="N1864" s="504"/>
      <c r="O1864" s="504"/>
      <c r="P1864" s="504"/>
    </row>
    <row r="1865" spans="2:16">
      <c r="B1865" s="55"/>
      <c r="C1865" s="504"/>
      <c r="D1865" s="504"/>
      <c r="E1865" s="504"/>
      <c r="F1865" s="504"/>
      <c r="G1865" s="504"/>
      <c r="H1865" s="504"/>
      <c r="I1865" s="501"/>
      <c r="J1865" s="505"/>
      <c r="K1865" s="506"/>
      <c r="L1865" s="504"/>
      <c r="M1865" s="504"/>
      <c r="N1865" s="504"/>
      <c r="O1865" s="504"/>
      <c r="P1865" s="504"/>
    </row>
    <row r="1866" spans="2:16">
      <c r="B1866" s="55"/>
      <c r="C1866" s="504"/>
      <c r="D1866" s="504"/>
      <c r="E1866" s="504"/>
      <c r="F1866" s="504"/>
      <c r="G1866" s="504"/>
      <c r="H1866" s="504"/>
      <c r="I1866" s="501"/>
      <c r="J1866" s="505"/>
      <c r="K1866" s="506"/>
      <c r="L1866" s="504"/>
      <c r="M1866" s="504"/>
      <c r="N1866" s="504"/>
      <c r="O1866" s="504"/>
      <c r="P1866" s="504"/>
    </row>
    <row r="1867" spans="2:16">
      <c r="B1867" s="55"/>
      <c r="C1867" s="504"/>
      <c r="D1867" s="504"/>
      <c r="E1867" s="504"/>
      <c r="F1867" s="504"/>
      <c r="G1867" s="504"/>
      <c r="H1867" s="504"/>
      <c r="I1867" s="501"/>
      <c r="J1867" s="505"/>
      <c r="K1867" s="506"/>
      <c r="L1867" s="504"/>
      <c r="M1867" s="504"/>
      <c r="N1867" s="504"/>
      <c r="O1867" s="504"/>
      <c r="P1867" s="504"/>
    </row>
    <row r="1868" spans="2:16">
      <c r="B1868" s="55"/>
      <c r="C1868" s="504"/>
      <c r="D1868" s="504"/>
      <c r="E1868" s="504"/>
      <c r="F1868" s="504"/>
      <c r="G1868" s="504"/>
      <c r="H1868" s="504"/>
      <c r="I1868" s="501"/>
      <c r="J1868" s="505"/>
      <c r="K1868" s="506"/>
      <c r="L1868" s="504"/>
      <c r="M1868" s="504"/>
      <c r="N1868" s="504"/>
      <c r="O1868" s="504"/>
      <c r="P1868" s="504"/>
    </row>
    <row r="1869" spans="2:16">
      <c r="B1869" s="55"/>
      <c r="C1869" s="504"/>
      <c r="D1869" s="504"/>
      <c r="E1869" s="504"/>
      <c r="F1869" s="504"/>
      <c r="G1869" s="504"/>
      <c r="H1869" s="504"/>
      <c r="I1869" s="501"/>
      <c r="J1869" s="505"/>
      <c r="K1869" s="506"/>
      <c r="L1869" s="504"/>
      <c r="M1869" s="504"/>
      <c r="N1869" s="504"/>
      <c r="O1869" s="504"/>
      <c r="P1869" s="504"/>
    </row>
    <row r="1870" spans="2:16">
      <c r="B1870" s="55"/>
      <c r="C1870" s="504"/>
      <c r="D1870" s="504"/>
      <c r="E1870" s="504"/>
      <c r="F1870" s="504"/>
      <c r="G1870" s="504"/>
      <c r="H1870" s="504"/>
      <c r="I1870" s="501"/>
      <c r="J1870" s="505"/>
      <c r="K1870" s="506"/>
      <c r="L1870" s="504"/>
      <c r="M1870" s="504"/>
      <c r="N1870" s="504"/>
      <c r="O1870" s="504"/>
      <c r="P1870" s="504"/>
    </row>
    <row r="1871" spans="2:16">
      <c r="B1871" s="55"/>
      <c r="C1871" s="504"/>
      <c r="D1871" s="504"/>
      <c r="E1871" s="504"/>
      <c r="F1871" s="504"/>
      <c r="G1871" s="504"/>
      <c r="H1871" s="504"/>
      <c r="I1871" s="501"/>
      <c r="J1871" s="505"/>
      <c r="K1871" s="506"/>
      <c r="L1871" s="504"/>
      <c r="M1871" s="504"/>
      <c r="N1871" s="504"/>
      <c r="O1871" s="504"/>
      <c r="P1871" s="504"/>
    </row>
    <row r="1872" spans="2:16">
      <c r="B1872" s="55"/>
      <c r="C1872" s="504"/>
      <c r="D1872" s="504"/>
      <c r="E1872" s="504"/>
      <c r="F1872" s="504"/>
      <c r="G1872" s="504"/>
      <c r="H1872" s="504"/>
      <c r="I1872" s="501"/>
      <c r="J1872" s="505"/>
      <c r="K1872" s="506"/>
      <c r="L1872" s="504"/>
      <c r="M1872" s="504"/>
      <c r="N1872" s="504"/>
      <c r="O1872" s="504"/>
      <c r="P1872" s="504"/>
    </row>
    <row r="1873" spans="2:16">
      <c r="B1873" s="55"/>
      <c r="C1873" s="504"/>
      <c r="D1873" s="504"/>
      <c r="E1873" s="504"/>
      <c r="F1873" s="504"/>
      <c r="G1873" s="504"/>
      <c r="H1873" s="504"/>
      <c r="I1873" s="501"/>
      <c r="J1873" s="505"/>
      <c r="K1873" s="506"/>
      <c r="L1873" s="504"/>
      <c r="M1873" s="504"/>
      <c r="N1873" s="504"/>
      <c r="O1873" s="504"/>
      <c r="P1873" s="504"/>
    </row>
    <row r="1874" spans="2:16">
      <c r="B1874" s="55"/>
      <c r="C1874" s="504"/>
      <c r="D1874" s="504"/>
      <c r="E1874" s="504"/>
      <c r="F1874" s="504"/>
      <c r="G1874" s="504"/>
      <c r="H1874" s="504"/>
      <c r="I1874" s="501"/>
      <c r="J1874" s="505"/>
      <c r="K1874" s="506"/>
      <c r="L1874" s="504"/>
      <c r="M1874" s="504"/>
      <c r="N1874" s="504"/>
      <c r="O1874" s="504"/>
      <c r="P1874" s="504"/>
    </row>
    <row r="1875" spans="2:16">
      <c r="B1875" s="55"/>
      <c r="C1875" s="504"/>
      <c r="D1875" s="504"/>
      <c r="E1875" s="504"/>
      <c r="F1875" s="504"/>
      <c r="G1875" s="504"/>
      <c r="H1875" s="504"/>
      <c r="I1875" s="501"/>
      <c r="J1875" s="505"/>
      <c r="K1875" s="506"/>
      <c r="L1875" s="504"/>
      <c r="M1875" s="504"/>
      <c r="N1875" s="504"/>
      <c r="O1875" s="504"/>
      <c r="P1875" s="504"/>
    </row>
    <row r="1876" spans="2:16">
      <c r="B1876" s="55"/>
      <c r="C1876" s="504"/>
      <c r="D1876" s="504"/>
      <c r="E1876" s="504"/>
      <c r="F1876" s="504"/>
      <c r="G1876" s="504"/>
      <c r="H1876" s="504"/>
      <c r="I1876" s="501"/>
      <c r="J1876" s="505"/>
      <c r="K1876" s="506"/>
      <c r="L1876" s="504"/>
      <c r="M1876" s="504"/>
      <c r="N1876" s="504"/>
      <c r="O1876" s="504"/>
      <c r="P1876" s="504"/>
    </row>
  </sheetData>
  <autoFilter ref="A1:A1876"/>
  <pageMargins left="0.7" right="0.7" top="0.75" bottom="0.75" header="0" footer="0"/>
  <pageSetup paperSize="9" orientation="landscape"/>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620"/>
  <sheetViews>
    <sheetView topLeftCell="A250" workbookViewId="0">
      <selection activeCell="B269" sqref="B269"/>
    </sheetView>
  </sheetViews>
  <sheetFormatPr defaultColWidth="12.640625" defaultRowHeight="15" customHeight="1"/>
  <cols>
    <col min="1" max="1" width="14.5" style="139" bestFit="1" customWidth="1"/>
    <col min="2" max="2" width="145.640625" style="139" bestFit="1" customWidth="1"/>
    <col min="3" max="3" width="9" style="529" customWidth="1"/>
    <col min="4" max="4" width="37.5" style="139" customWidth="1"/>
    <col min="5" max="16384" width="12.640625" style="139"/>
  </cols>
  <sheetData>
    <row r="1" spans="1:4" ht="14.25" customHeight="1">
      <c r="A1" s="4" t="s">
        <v>3435</v>
      </c>
      <c r="B1" s="4" t="s">
        <v>3436</v>
      </c>
      <c r="C1" s="529" t="s">
        <v>3437</v>
      </c>
      <c r="D1" s="301"/>
    </row>
    <row r="2" spans="1:4" ht="17.25" customHeight="1">
      <c r="A2" s="865" t="s">
        <v>3439</v>
      </c>
      <c r="B2" s="865"/>
      <c r="C2" s="779"/>
      <c r="D2" s="301"/>
    </row>
    <row r="3" spans="1:4" ht="17.25" customHeight="1">
      <c r="A3" s="771" t="s">
        <v>3440</v>
      </c>
      <c r="B3" s="770"/>
      <c r="C3" s="779"/>
      <c r="D3" s="301"/>
    </row>
    <row r="4" spans="1:4" ht="15" customHeight="1">
      <c r="A4" s="771" t="s">
        <v>3441</v>
      </c>
      <c r="B4" s="772" t="s">
        <v>3442</v>
      </c>
      <c r="C4" s="779"/>
      <c r="D4" s="301"/>
    </row>
    <row r="5" spans="1:4" ht="15" customHeight="1">
      <c r="A5" s="755" t="s">
        <v>2675</v>
      </c>
      <c r="B5" s="756" t="s">
        <v>5858</v>
      </c>
      <c r="C5" s="779" t="s">
        <v>3443</v>
      </c>
      <c r="D5" s="301"/>
    </row>
    <row r="6" spans="1:4" ht="15" customHeight="1">
      <c r="A6" s="757" t="s">
        <v>5723</v>
      </c>
      <c r="B6" s="773" t="s">
        <v>5859</v>
      </c>
      <c r="C6" s="779" t="s">
        <v>3449</v>
      </c>
      <c r="D6" s="301"/>
    </row>
    <row r="7" spans="1:4" ht="15" customHeight="1">
      <c r="A7" s="757" t="s">
        <v>5723</v>
      </c>
      <c r="B7" s="773" t="s">
        <v>5969</v>
      </c>
      <c r="C7" s="779" t="s">
        <v>3449</v>
      </c>
      <c r="D7" s="301"/>
    </row>
    <row r="8" spans="1:4" ht="15" customHeight="1">
      <c r="A8" s="758" t="s">
        <v>3444</v>
      </c>
      <c r="B8" s="756" t="s">
        <v>3445</v>
      </c>
      <c r="C8" s="779" t="s">
        <v>5860</v>
      </c>
      <c r="D8" s="301"/>
    </row>
    <row r="9" spans="1:4" ht="15" customHeight="1">
      <c r="A9" s="758" t="s">
        <v>3444</v>
      </c>
      <c r="B9" s="756" t="s">
        <v>3446</v>
      </c>
      <c r="C9" s="779" t="s">
        <v>5860</v>
      </c>
      <c r="D9" s="301"/>
    </row>
    <row r="10" spans="1:4" ht="15" customHeight="1">
      <c r="A10" s="759" t="s">
        <v>3447</v>
      </c>
      <c r="B10" s="756" t="s">
        <v>3448</v>
      </c>
      <c r="C10" s="779" t="s">
        <v>3486</v>
      </c>
      <c r="D10" s="301"/>
    </row>
    <row r="11" spans="1:4" ht="15" customHeight="1">
      <c r="A11" s="759" t="s">
        <v>3447</v>
      </c>
      <c r="B11" s="773" t="s">
        <v>2680</v>
      </c>
      <c r="C11" s="779" t="s">
        <v>3486</v>
      </c>
      <c r="D11" s="301"/>
    </row>
    <row r="12" spans="1:4" ht="15" customHeight="1">
      <c r="A12" s="759" t="s">
        <v>3447</v>
      </c>
      <c r="B12" s="773" t="s">
        <v>2680</v>
      </c>
      <c r="C12" s="779" t="s">
        <v>3486</v>
      </c>
      <c r="D12" s="301"/>
    </row>
    <row r="13" spans="1:4" ht="15" customHeight="1">
      <c r="A13" s="760" t="s">
        <v>3450</v>
      </c>
      <c r="B13" s="756" t="s">
        <v>3451</v>
      </c>
      <c r="C13" s="779" t="s">
        <v>3452</v>
      </c>
      <c r="D13" s="301"/>
    </row>
    <row r="14" spans="1:4" ht="15" customHeight="1">
      <c r="A14" s="760" t="s">
        <v>3450</v>
      </c>
      <c r="B14" s="756" t="s">
        <v>5861</v>
      </c>
      <c r="C14" s="779" t="s">
        <v>3452</v>
      </c>
      <c r="D14" s="301"/>
    </row>
    <row r="15" spans="1:4" ht="15" customHeight="1">
      <c r="A15" s="760" t="s">
        <v>3450</v>
      </c>
      <c r="B15" s="773" t="s">
        <v>2680</v>
      </c>
      <c r="C15" s="779" t="s">
        <v>3452</v>
      </c>
      <c r="D15" s="301"/>
    </row>
    <row r="16" spans="1:4" ht="15" customHeight="1">
      <c r="A16" s="761" t="s">
        <v>3453</v>
      </c>
      <c r="B16" s="756" t="s">
        <v>3454</v>
      </c>
      <c r="C16" s="779" t="s">
        <v>3455</v>
      </c>
      <c r="D16" s="301"/>
    </row>
    <row r="17" spans="1:4" ht="15" customHeight="1">
      <c r="A17" s="774" t="s">
        <v>3456</v>
      </c>
      <c r="B17" s="773" t="s">
        <v>2680</v>
      </c>
      <c r="C17" s="779"/>
      <c r="D17" s="301"/>
    </row>
    <row r="18" spans="1:4" ht="15" customHeight="1">
      <c r="A18" s="764"/>
      <c r="B18" s="764"/>
      <c r="C18" s="779"/>
      <c r="D18" s="301"/>
    </row>
    <row r="19" spans="1:4" ht="15" customHeight="1">
      <c r="A19" s="771" t="s">
        <v>3457</v>
      </c>
      <c r="B19" s="756" t="s">
        <v>3458</v>
      </c>
      <c r="C19" s="779"/>
      <c r="D19" s="301"/>
    </row>
    <row r="20" spans="1:4" ht="15" customHeight="1">
      <c r="A20" s="755" t="s">
        <v>2675</v>
      </c>
      <c r="B20" s="756" t="s">
        <v>3459</v>
      </c>
      <c r="C20" s="779" t="s">
        <v>3443</v>
      </c>
      <c r="D20" s="301"/>
    </row>
    <row r="21" spans="1:4" ht="15" customHeight="1">
      <c r="A21" s="757" t="s">
        <v>5723</v>
      </c>
      <c r="B21" s="773" t="s">
        <v>5862</v>
      </c>
      <c r="C21" s="779" t="s">
        <v>3449</v>
      </c>
      <c r="D21" s="301"/>
    </row>
    <row r="22" spans="1:4" ht="15" customHeight="1">
      <c r="A22" s="757" t="s">
        <v>5723</v>
      </c>
      <c r="B22" s="773" t="s">
        <v>2680</v>
      </c>
      <c r="C22" s="779" t="s">
        <v>3449</v>
      </c>
      <c r="D22" s="301"/>
    </row>
    <row r="23" spans="1:4" ht="15" customHeight="1">
      <c r="A23" s="758" t="s">
        <v>3444</v>
      </c>
      <c r="B23" s="756" t="s">
        <v>3460</v>
      </c>
      <c r="C23" s="779" t="s">
        <v>5860</v>
      </c>
      <c r="D23" s="301"/>
    </row>
    <row r="24" spans="1:4" ht="15" customHeight="1">
      <c r="A24" s="758" t="s">
        <v>3444</v>
      </c>
      <c r="B24" s="773" t="s">
        <v>2680</v>
      </c>
      <c r="C24" s="779" t="s">
        <v>5860</v>
      </c>
      <c r="D24" s="301"/>
    </row>
    <row r="25" spans="1:4" ht="15" customHeight="1">
      <c r="A25" s="759" t="s">
        <v>3447</v>
      </c>
      <c r="B25" s="756" t="s">
        <v>3461</v>
      </c>
      <c r="C25" s="779" t="s">
        <v>3486</v>
      </c>
      <c r="D25" s="301"/>
    </row>
    <row r="26" spans="1:4" ht="15" customHeight="1">
      <c r="A26" s="759" t="s">
        <v>3447</v>
      </c>
      <c r="B26" s="773" t="s">
        <v>2680</v>
      </c>
      <c r="C26" s="779" t="s">
        <v>3486</v>
      </c>
      <c r="D26" s="301"/>
    </row>
    <row r="27" spans="1:4" ht="15" customHeight="1">
      <c r="A27" s="759" t="s">
        <v>3447</v>
      </c>
      <c r="B27" s="773" t="s">
        <v>2680</v>
      </c>
      <c r="C27" s="779" t="s">
        <v>3486</v>
      </c>
      <c r="D27" s="301"/>
    </row>
    <row r="28" spans="1:4" ht="15" customHeight="1">
      <c r="A28" s="760" t="s">
        <v>3450</v>
      </c>
      <c r="B28" s="756" t="s">
        <v>3462</v>
      </c>
      <c r="C28" s="779" t="s">
        <v>3452</v>
      </c>
      <c r="D28" s="301"/>
    </row>
    <row r="29" spans="1:4" ht="15" customHeight="1">
      <c r="A29" s="760" t="s">
        <v>3450</v>
      </c>
      <c r="B29" s="773" t="s">
        <v>2680</v>
      </c>
      <c r="C29" s="779" t="s">
        <v>3452</v>
      </c>
      <c r="D29" s="301"/>
    </row>
    <row r="30" spans="1:4" ht="15" customHeight="1">
      <c r="A30" s="760" t="s">
        <v>3450</v>
      </c>
      <c r="B30" s="773" t="s">
        <v>2680</v>
      </c>
      <c r="C30" s="779" t="s">
        <v>3452</v>
      </c>
      <c r="D30" s="301"/>
    </row>
    <row r="31" spans="1:4" ht="15" customHeight="1">
      <c r="A31" s="761" t="s">
        <v>3453</v>
      </c>
      <c r="B31" s="756" t="s">
        <v>3463</v>
      </c>
      <c r="C31" s="779" t="s">
        <v>3455</v>
      </c>
      <c r="D31" s="301"/>
    </row>
    <row r="32" spans="1:4" ht="15" customHeight="1">
      <c r="A32" s="774" t="s">
        <v>3456</v>
      </c>
      <c r="B32" s="773" t="s">
        <v>2680</v>
      </c>
      <c r="C32" s="779"/>
      <c r="D32" s="301"/>
    </row>
    <row r="33" spans="1:4" ht="15" customHeight="1">
      <c r="A33" s="764"/>
      <c r="B33" s="764"/>
      <c r="C33" s="779"/>
      <c r="D33" s="301"/>
    </row>
    <row r="34" spans="1:4" ht="15" customHeight="1">
      <c r="A34" s="771" t="s">
        <v>3464</v>
      </c>
      <c r="B34" s="756" t="s">
        <v>3465</v>
      </c>
      <c r="C34" s="779"/>
      <c r="D34" s="301"/>
    </row>
    <row r="35" spans="1:4" ht="15" customHeight="1">
      <c r="A35" s="755" t="s">
        <v>2675</v>
      </c>
      <c r="B35" s="756" t="s">
        <v>3466</v>
      </c>
      <c r="C35" s="779" t="s">
        <v>3443</v>
      </c>
      <c r="D35" s="301"/>
    </row>
    <row r="36" spans="1:4" ht="15" customHeight="1">
      <c r="A36" s="757" t="s">
        <v>5723</v>
      </c>
      <c r="B36" s="773" t="s">
        <v>5863</v>
      </c>
      <c r="C36" s="779" t="s">
        <v>3449</v>
      </c>
      <c r="D36" s="301"/>
    </row>
    <row r="37" spans="1:4" ht="15" customHeight="1">
      <c r="A37" s="757" t="s">
        <v>5723</v>
      </c>
      <c r="B37" s="773" t="s">
        <v>2680</v>
      </c>
      <c r="C37" s="779" t="s">
        <v>3449</v>
      </c>
      <c r="D37" s="301"/>
    </row>
    <row r="38" spans="1:4" ht="15" customHeight="1">
      <c r="A38" s="758" t="s">
        <v>3444</v>
      </c>
      <c r="B38" s="756" t="s">
        <v>3467</v>
      </c>
      <c r="C38" s="779" t="s">
        <v>5860</v>
      </c>
      <c r="D38" s="301"/>
    </row>
    <row r="39" spans="1:4" ht="15" customHeight="1">
      <c r="A39" s="758" t="s">
        <v>3444</v>
      </c>
      <c r="B39" s="773" t="s">
        <v>2680</v>
      </c>
      <c r="C39" s="779" t="s">
        <v>5860</v>
      </c>
      <c r="D39" s="301"/>
    </row>
    <row r="40" spans="1:4" ht="15" customHeight="1">
      <c r="A40" s="759" t="s">
        <v>3447</v>
      </c>
      <c r="B40" s="773" t="s">
        <v>5864</v>
      </c>
      <c r="C40" s="779" t="s">
        <v>3486</v>
      </c>
      <c r="D40" s="301"/>
    </row>
    <row r="41" spans="1:4" ht="15" customHeight="1">
      <c r="A41" s="759" t="s">
        <v>3447</v>
      </c>
      <c r="B41" s="773" t="s">
        <v>2680</v>
      </c>
      <c r="C41" s="779" t="s">
        <v>3486</v>
      </c>
      <c r="D41" s="301"/>
    </row>
    <row r="42" spans="1:4" ht="15" customHeight="1">
      <c r="A42" s="759" t="s">
        <v>3447</v>
      </c>
      <c r="B42" s="756" t="s">
        <v>3468</v>
      </c>
      <c r="C42" s="779" t="s">
        <v>3486</v>
      </c>
      <c r="D42" s="301"/>
    </row>
    <row r="43" spans="1:4" ht="15" customHeight="1">
      <c r="A43" s="760" t="s">
        <v>3450</v>
      </c>
      <c r="B43" s="756" t="s">
        <v>3469</v>
      </c>
      <c r="C43" s="779" t="s">
        <v>3452</v>
      </c>
      <c r="D43" s="301"/>
    </row>
    <row r="44" spans="1:4" ht="15" customHeight="1">
      <c r="A44" s="760" t="s">
        <v>3450</v>
      </c>
      <c r="B44" s="756" t="s">
        <v>3470</v>
      </c>
      <c r="C44" s="779" t="s">
        <v>3452</v>
      </c>
      <c r="D44" s="301"/>
    </row>
    <row r="45" spans="1:4" ht="15" customHeight="1">
      <c r="A45" s="760" t="s">
        <v>3450</v>
      </c>
      <c r="B45" s="756" t="s">
        <v>3471</v>
      </c>
      <c r="C45" s="779" t="s">
        <v>3452</v>
      </c>
      <c r="D45" s="301"/>
    </row>
    <row r="46" spans="1:4" ht="15" customHeight="1">
      <c r="A46" s="761" t="s">
        <v>3453</v>
      </c>
      <c r="B46" s="756" t="s">
        <v>5865</v>
      </c>
      <c r="C46" s="779" t="s">
        <v>3455</v>
      </c>
      <c r="D46" s="301"/>
    </row>
    <row r="47" spans="1:4" ht="15" customHeight="1">
      <c r="A47" s="774" t="s">
        <v>3456</v>
      </c>
      <c r="B47" s="773" t="s">
        <v>2680</v>
      </c>
      <c r="C47" s="779"/>
      <c r="D47" s="301"/>
    </row>
    <row r="48" spans="1:4" ht="15" customHeight="1">
      <c r="A48" s="764"/>
      <c r="B48" s="764"/>
      <c r="C48" s="779"/>
      <c r="D48" s="301"/>
    </row>
    <row r="49" spans="1:4" ht="15" customHeight="1">
      <c r="A49" s="771" t="s">
        <v>3472</v>
      </c>
      <c r="B49" s="756" t="s">
        <v>3473</v>
      </c>
      <c r="C49" s="779"/>
      <c r="D49" s="301"/>
    </row>
    <row r="50" spans="1:4" ht="15" customHeight="1">
      <c r="A50" s="755" t="s">
        <v>2675</v>
      </c>
      <c r="B50" s="756" t="s">
        <v>5866</v>
      </c>
      <c r="C50" s="779" t="s">
        <v>3443</v>
      </c>
      <c r="D50" s="301"/>
    </row>
    <row r="51" spans="1:4" ht="15" customHeight="1">
      <c r="A51" s="757" t="s">
        <v>5723</v>
      </c>
      <c r="B51" s="773" t="s">
        <v>5867</v>
      </c>
      <c r="C51" s="779" t="s">
        <v>3449</v>
      </c>
      <c r="D51" s="301"/>
    </row>
    <row r="52" spans="1:4" ht="15" customHeight="1">
      <c r="A52" s="757" t="s">
        <v>5723</v>
      </c>
      <c r="B52" s="773" t="s">
        <v>2680</v>
      </c>
      <c r="C52" s="779" t="s">
        <v>3449</v>
      </c>
      <c r="D52" s="301"/>
    </row>
    <row r="53" spans="1:4" ht="15" customHeight="1">
      <c r="A53" s="758" t="s">
        <v>3444</v>
      </c>
      <c r="B53" s="756" t="s">
        <v>3474</v>
      </c>
      <c r="C53" s="779" t="s">
        <v>5860</v>
      </c>
      <c r="D53" s="301"/>
    </row>
    <row r="54" spans="1:4" s="55" customFormat="1" ht="15" customHeight="1">
      <c r="A54" s="758" t="s">
        <v>3444</v>
      </c>
      <c r="B54" s="756" t="s">
        <v>5868</v>
      </c>
      <c r="C54" s="779" t="s">
        <v>5860</v>
      </c>
      <c r="D54" s="139"/>
    </row>
    <row r="55" spans="1:4" ht="15" customHeight="1">
      <c r="A55" s="759" t="s">
        <v>3447</v>
      </c>
      <c r="B55" s="756" t="s">
        <v>3475</v>
      </c>
      <c r="C55" s="779" t="s">
        <v>3486</v>
      </c>
    </row>
    <row r="56" spans="1:4" ht="15" customHeight="1">
      <c r="A56" s="759" t="s">
        <v>3447</v>
      </c>
      <c r="B56" s="756" t="s">
        <v>3476</v>
      </c>
      <c r="C56" s="779" t="s">
        <v>3486</v>
      </c>
    </row>
    <row r="57" spans="1:4" ht="15" customHeight="1">
      <c r="A57" s="759" t="s">
        <v>3447</v>
      </c>
      <c r="B57" s="756" t="s">
        <v>3477</v>
      </c>
      <c r="C57" s="779" t="s">
        <v>3486</v>
      </c>
    </row>
    <row r="58" spans="1:4" ht="15" customHeight="1">
      <c r="A58" s="760" t="s">
        <v>3450</v>
      </c>
      <c r="B58" s="756" t="s">
        <v>3478</v>
      </c>
      <c r="C58" s="779" t="s">
        <v>3452</v>
      </c>
    </row>
    <row r="59" spans="1:4" ht="15" customHeight="1">
      <c r="A59" s="760" t="s">
        <v>3450</v>
      </c>
      <c r="B59" s="773" t="s">
        <v>5869</v>
      </c>
      <c r="C59" s="779" t="s">
        <v>3452</v>
      </c>
    </row>
    <row r="60" spans="1:4" ht="15" customHeight="1">
      <c r="A60" s="760" t="s">
        <v>3450</v>
      </c>
      <c r="B60" s="756" t="s">
        <v>3479</v>
      </c>
      <c r="C60" s="779" t="s">
        <v>3452</v>
      </c>
    </row>
    <row r="61" spans="1:4" ht="15" customHeight="1">
      <c r="A61" s="761" t="s">
        <v>3453</v>
      </c>
      <c r="B61" s="756" t="s">
        <v>3480</v>
      </c>
      <c r="C61" s="779" t="s">
        <v>3455</v>
      </c>
    </row>
    <row r="62" spans="1:4" ht="15" customHeight="1">
      <c r="A62" s="774" t="s">
        <v>3456</v>
      </c>
      <c r="B62" s="756" t="s">
        <v>3481</v>
      </c>
      <c r="C62" s="779" t="s">
        <v>3482</v>
      </c>
    </row>
    <row r="63" spans="1:4" ht="15" customHeight="1">
      <c r="A63" s="764"/>
      <c r="B63" s="775" t="s">
        <v>3483</v>
      </c>
      <c r="C63" s="779"/>
    </row>
    <row r="64" spans="1:4" ht="15" customHeight="1">
      <c r="A64" s="756"/>
      <c r="B64" s="764"/>
      <c r="C64" s="779"/>
    </row>
    <row r="65" spans="1:4" ht="15" customHeight="1">
      <c r="A65" s="776" t="s">
        <v>3484</v>
      </c>
      <c r="B65" s="756"/>
      <c r="C65" s="779"/>
    </row>
    <row r="66" spans="1:4" ht="15" customHeight="1">
      <c r="A66" s="755" t="s">
        <v>2675</v>
      </c>
      <c r="B66" s="755" t="s">
        <v>3485</v>
      </c>
      <c r="C66" s="779" t="s">
        <v>3486</v>
      </c>
    </row>
    <row r="67" spans="1:4" ht="15" customHeight="1">
      <c r="A67" s="755" t="s">
        <v>2675</v>
      </c>
      <c r="B67" s="755" t="s">
        <v>3487</v>
      </c>
      <c r="C67" s="779" t="s">
        <v>3486</v>
      </c>
    </row>
    <row r="68" spans="1:4" ht="15" customHeight="1">
      <c r="A68" s="755" t="s">
        <v>2675</v>
      </c>
      <c r="B68" s="755" t="s">
        <v>3488</v>
      </c>
      <c r="C68" s="779" t="s">
        <v>3486</v>
      </c>
    </row>
    <row r="69" spans="1:4" ht="16.5" customHeight="1">
      <c r="A69" s="755" t="s">
        <v>2675</v>
      </c>
      <c r="B69" s="755" t="s">
        <v>3489</v>
      </c>
      <c r="C69" s="779" t="s">
        <v>3486</v>
      </c>
    </row>
    <row r="70" spans="1:4" ht="15" customHeight="1">
      <c r="A70" s="755" t="s">
        <v>2675</v>
      </c>
      <c r="B70" s="755" t="s">
        <v>3490</v>
      </c>
      <c r="C70" s="779" t="s">
        <v>3486</v>
      </c>
    </row>
    <row r="71" spans="1:4" ht="15" customHeight="1">
      <c r="A71" s="755" t="s">
        <v>2675</v>
      </c>
      <c r="B71" s="755" t="s">
        <v>3491</v>
      </c>
      <c r="C71" s="779" t="s">
        <v>3486</v>
      </c>
    </row>
    <row r="72" spans="1:4" ht="15" customHeight="1">
      <c r="A72" s="755" t="s">
        <v>2675</v>
      </c>
      <c r="B72" s="755" t="s">
        <v>3492</v>
      </c>
      <c r="C72" s="779" t="s">
        <v>3486</v>
      </c>
    </row>
    <row r="73" spans="1:4" ht="15" customHeight="1">
      <c r="A73" s="755" t="s">
        <v>2675</v>
      </c>
      <c r="B73" s="755" t="s">
        <v>3493</v>
      </c>
      <c r="C73" s="779" t="s">
        <v>3486</v>
      </c>
    </row>
    <row r="74" spans="1:4" ht="15" customHeight="1">
      <c r="A74" s="755" t="s">
        <v>2675</v>
      </c>
      <c r="B74" s="755" t="s">
        <v>3494</v>
      </c>
      <c r="C74" s="779" t="s">
        <v>3486</v>
      </c>
    </row>
    <row r="75" spans="1:4" ht="15" customHeight="1">
      <c r="A75" s="755" t="s">
        <v>2675</v>
      </c>
      <c r="B75" s="755" t="s">
        <v>3495</v>
      </c>
      <c r="C75" s="779" t="s">
        <v>3486</v>
      </c>
    </row>
    <row r="76" spans="1:4" ht="15" customHeight="1">
      <c r="A76" s="755" t="s">
        <v>2675</v>
      </c>
      <c r="B76" s="755" t="s">
        <v>3496</v>
      </c>
      <c r="C76" s="779" t="s">
        <v>3486</v>
      </c>
    </row>
    <row r="77" spans="1:4" ht="15" customHeight="1">
      <c r="A77" s="755" t="s">
        <v>2675</v>
      </c>
      <c r="B77" s="755" t="s">
        <v>3497</v>
      </c>
      <c r="C77" s="779" t="s">
        <v>3486</v>
      </c>
    </row>
    <row r="78" spans="1:4" ht="15" customHeight="1">
      <c r="A78" s="757" t="s">
        <v>5723</v>
      </c>
      <c r="B78" s="757" t="s">
        <v>3498</v>
      </c>
      <c r="C78" s="779" t="s">
        <v>3452</v>
      </c>
    </row>
    <row r="79" spans="1:4" ht="15" customHeight="1">
      <c r="A79" s="757" t="s">
        <v>5723</v>
      </c>
      <c r="B79" s="757" t="s">
        <v>3499</v>
      </c>
      <c r="C79" s="779" t="s">
        <v>3452</v>
      </c>
      <c r="D79" s="301"/>
    </row>
    <row r="80" spans="1:4" ht="15" customHeight="1">
      <c r="A80" s="757" t="s">
        <v>5723</v>
      </c>
      <c r="B80" s="757" t="s">
        <v>3500</v>
      </c>
      <c r="C80" s="779" t="s">
        <v>3452</v>
      </c>
      <c r="D80" s="301"/>
    </row>
    <row r="81" spans="1:4" ht="15" customHeight="1">
      <c r="A81" s="757" t="s">
        <v>5723</v>
      </c>
      <c r="B81" s="757" t="s">
        <v>3501</v>
      </c>
      <c r="C81" s="779" t="s">
        <v>3452</v>
      </c>
      <c r="D81" s="301"/>
    </row>
    <row r="82" spans="1:4" ht="15" customHeight="1">
      <c r="A82" s="757" t="s">
        <v>5723</v>
      </c>
      <c r="B82" s="757" t="s">
        <v>3502</v>
      </c>
      <c r="C82" s="779" t="s">
        <v>3452</v>
      </c>
      <c r="D82" s="301"/>
    </row>
    <row r="83" spans="1:4" ht="15" customHeight="1">
      <c r="A83" s="757" t="s">
        <v>5723</v>
      </c>
      <c r="B83" s="757" t="s">
        <v>3503</v>
      </c>
      <c r="C83" s="779" t="s">
        <v>3452</v>
      </c>
      <c r="D83" s="301"/>
    </row>
    <row r="84" spans="1:4" ht="15" customHeight="1">
      <c r="A84" s="757" t="s">
        <v>5723</v>
      </c>
      <c r="B84" s="757" t="s">
        <v>3504</v>
      </c>
      <c r="C84" s="779" t="s">
        <v>3452</v>
      </c>
      <c r="D84" s="301"/>
    </row>
    <row r="85" spans="1:4" ht="15" customHeight="1">
      <c r="A85" s="757" t="s">
        <v>5723</v>
      </c>
      <c r="B85" s="757" t="s">
        <v>3505</v>
      </c>
      <c r="C85" s="779" t="s">
        <v>3452</v>
      </c>
      <c r="D85" s="301"/>
    </row>
    <row r="86" spans="1:4" ht="15" customHeight="1">
      <c r="A86" s="757" t="s">
        <v>5723</v>
      </c>
      <c r="B86" s="757" t="s">
        <v>3506</v>
      </c>
      <c r="C86" s="779" t="s">
        <v>3452</v>
      </c>
      <c r="D86" s="301"/>
    </row>
    <row r="87" spans="1:4" ht="15" customHeight="1">
      <c r="A87" s="757" t="s">
        <v>5723</v>
      </c>
      <c r="B87" s="757" t="s">
        <v>3507</v>
      </c>
      <c r="C87" s="779" t="s">
        <v>3452</v>
      </c>
      <c r="D87" s="301"/>
    </row>
    <row r="88" spans="1:4" ht="15" customHeight="1">
      <c r="A88" s="757" t="s">
        <v>5723</v>
      </c>
      <c r="B88" s="757" t="s">
        <v>3508</v>
      </c>
      <c r="C88" s="779" t="s">
        <v>3452</v>
      </c>
      <c r="D88" s="301"/>
    </row>
    <row r="89" spans="1:4" ht="15" customHeight="1">
      <c r="A89" s="757" t="s">
        <v>5723</v>
      </c>
      <c r="B89" s="757" t="s">
        <v>3509</v>
      </c>
      <c r="C89" s="779" t="s">
        <v>3452</v>
      </c>
      <c r="D89" s="301"/>
    </row>
    <row r="90" spans="1:4" ht="15" customHeight="1">
      <c r="A90" s="757" t="s">
        <v>5723</v>
      </c>
      <c r="B90" s="757" t="s">
        <v>3510</v>
      </c>
      <c r="C90" s="779" t="s">
        <v>3452</v>
      </c>
      <c r="D90" s="301"/>
    </row>
    <row r="91" spans="1:4" ht="15" customHeight="1">
      <c r="A91" s="757" t="s">
        <v>5723</v>
      </c>
      <c r="B91" s="757" t="s">
        <v>3511</v>
      </c>
      <c r="C91" s="779" t="s">
        <v>3452</v>
      </c>
      <c r="D91" s="301"/>
    </row>
    <row r="92" spans="1:4" ht="15" customHeight="1">
      <c r="A92" s="757" t="s">
        <v>5723</v>
      </c>
      <c r="B92" s="757" t="s">
        <v>3512</v>
      </c>
      <c r="C92" s="779" t="s">
        <v>3452</v>
      </c>
      <c r="D92" s="301"/>
    </row>
    <row r="93" spans="1:4" ht="15" customHeight="1">
      <c r="A93" s="758" t="s">
        <v>3444</v>
      </c>
      <c r="B93" s="758" t="s">
        <v>3513</v>
      </c>
      <c r="C93" s="779" t="s">
        <v>3514</v>
      </c>
      <c r="D93" s="301"/>
    </row>
    <row r="94" spans="1:4" ht="15" customHeight="1">
      <c r="A94" s="758" t="s">
        <v>3444</v>
      </c>
      <c r="B94" s="758" t="s">
        <v>3515</v>
      </c>
      <c r="C94" s="779" t="s">
        <v>3514</v>
      </c>
      <c r="D94" s="301"/>
    </row>
    <row r="95" spans="1:4" ht="15" customHeight="1">
      <c r="A95" s="758" t="s">
        <v>3444</v>
      </c>
      <c r="B95" s="758" t="s">
        <v>3516</v>
      </c>
      <c r="C95" s="779" t="s">
        <v>3514</v>
      </c>
      <c r="D95" s="301"/>
    </row>
    <row r="96" spans="1:4" ht="15" customHeight="1">
      <c r="A96" s="758" t="s">
        <v>3444</v>
      </c>
      <c r="B96" s="758" t="s">
        <v>3517</v>
      </c>
      <c r="C96" s="779" t="s">
        <v>3514</v>
      </c>
      <c r="D96" s="301"/>
    </row>
    <row r="97" spans="1:4" ht="15" customHeight="1">
      <c r="A97" s="758" t="s">
        <v>3444</v>
      </c>
      <c r="B97" s="758" t="s">
        <v>3518</v>
      </c>
      <c r="C97" s="779" t="s">
        <v>3514</v>
      </c>
      <c r="D97" s="301"/>
    </row>
    <row r="98" spans="1:4" ht="15" customHeight="1">
      <c r="A98" s="758" t="s">
        <v>3444</v>
      </c>
      <c r="B98" s="758" t="s">
        <v>3519</v>
      </c>
      <c r="C98" s="779" t="s">
        <v>3514</v>
      </c>
      <c r="D98" s="301"/>
    </row>
    <row r="99" spans="1:4" ht="15" customHeight="1">
      <c r="A99" s="758" t="s">
        <v>3444</v>
      </c>
      <c r="B99" s="758" t="s">
        <v>3520</v>
      </c>
      <c r="C99" s="779" t="s">
        <v>3514</v>
      </c>
      <c r="D99" s="301"/>
    </row>
    <row r="100" spans="1:4" ht="15" customHeight="1">
      <c r="A100" s="758" t="s">
        <v>3444</v>
      </c>
      <c r="B100" s="758" t="s">
        <v>3521</v>
      </c>
      <c r="C100" s="779" t="s">
        <v>3514</v>
      </c>
      <c r="D100" s="301"/>
    </row>
    <row r="101" spans="1:4" ht="15" customHeight="1">
      <c r="A101" s="758" t="s">
        <v>3444</v>
      </c>
      <c r="B101" s="758" t="s">
        <v>3522</v>
      </c>
      <c r="C101" s="779" t="s">
        <v>3514</v>
      </c>
      <c r="D101" s="301"/>
    </row>
    <row r="102" spans="1:4" ht="15" customHeight="1">
      <c r="A102" s="764"/>
      <c r="B102" s="756"/>
      <c r="C102" s="779"/>
      <c r="D102" s="301"/>
    </row>
    <row r="103" spans="1:4" ht="15" customHeight="1">
      <c r="A103" s="771" t="s">
        <v>3523</v>
      </c>
      <c r="B103" s="756" t="s">
        <v>3524</v>
      </c>
      <c r="C103" s="779"/>
      <c r="D103" s="301"/>
    </row>
    <row r="104" spans="1:4" ht="15" customHeight="1">
      <c r="A104" s="760" t="s">
        <v>3450</v>
      </c>
      <c r="B104" s="756" t="s">
        <v>3525</v>
      </c>
      <c r="C104" s="779" t="s">
        <v>3455</v>
      </c>
      <c r="D104" s="301"/>
    </row>
    <row r="105" spans="1:4" ht="15" customHeight="1">
      <c r="A105" s="760" t="s">
        <v>3450</v>
      </c>
      <c r="B105" s="762" t="s">
        <v>3527</v>
      </c>
      <c r="C105" s="779" t="s">
        <v>3455</v>
      </c>
      <c r="D105" s="301"/>
    </row>
    <row r="106" spans="1:4" ht="15" customHeight="1">
      <c r="A106" s="760" t="s">
        <v>3450</v>
      </c>
      <c r="B106" s="756" t="s">
        <v>3529</v>
      </c>
      <c r="C106" s="779" t="s">
        <v>3455</v>
      </c>
      <c r="D106" s="301"/>
    </row>
    <row r="107" spans="1:4" ht="15" customHeight="1">
      <c r="A107" s="760" t="s">
        <v>3450</v>
      </c>
      <c r="B107" s="756" t="s">
        <v>5870</v>
      </c>
      <c r="C107" s="779" t="s">
        <v>3455</v>
      </c>
      <c r="D107" s="301"/>
    </row>
    <row r="108" spans="1:4" ht="15" customHeight="1">
      <c r="A108" s="760" t="s">
        <v>3450</v>
      </c>
      <c r="B108" s="756" t="s">
        <v>3532</v>
      </c>
      <c r="C108" s="779" t="s">
        <v>3455</v>
      </c>
      <c r="D108" s="301"/>
    </row>
    <row r="109" spans="1:4" ht="15" customHeight="1">
      <c r="A109" s="760" t="s">
        <v>3450</v>
      </c>
      <c r="B109" s="756" t="s">
        <v>3534</v>
      </c>
      <c r="C109" s="779" t="s">
        <v>3455</v>
      </c>
      <c r="D109" s="301"/>
    </row>
    <row r="110" spans="1:4" ht="15" customHeight="1">
      <c r="A110" s="760" t="s">
        <v>3450</v>
      </c>
      <c r="B110" s="756" t="s">
        <v>3536</v>
      </c>
      <c r="C110" s="779" t="s">
        <v>3455</v>
      </c>
      <c r="D110" s="301"/>
    </row>
    <row r="111" spans="1:4" ht="15" customHeight="1">
      <c r="A111" s="760" t="s">
        <v>3450</v>
      </c>
      <c r="B111" s="756" t="s">
        <v>3537</v>
      </c>
      <c r="C111" s="779" t="s">
        <v>3455</v>
      </c>
      <c r="D111" s="301"/>
    </row>
    <row r="112" spans="1:4" ht="15" customHeight="1">
      <c r="A112" s="764"/>
      <c r="B112" s="764"/>
      <c r="C112" s="779"/>
      <c r="D112" s="301"/>
    </row>
    <row r="113" spans="1:4" ht="15" customHeight="1">
      <c r="A113" s="776" t="s">
        <v>3539</v>
      </c>
      <c r="B113" s="756"/>
      <c r="C113" s="779"/>
      <c r="D113" s="301"/>
    </row>
    <row r="114" spans="1:4" ht="15" customHeight="1">
      <c r="A114" s="755" t="s">
        <v>2675</v>
      </c>
      <c r="B114" s="756" t="s">
        <v>5871</v>
      </c>
      <c r="C114" s="779" t="s">
        <v>3449</v>
      </c>
      <c r="D114" s="301"/>
    </row>
    <row r="115" spans="1:4" ht="15" customHeight="1">
      <c r="A115" s="755" t="s">
        <v>2675</v>
      </c>
      <c r="B115" s="756" t="s">
        <v>3540</v>
      </c>
      <c r="C115" s="779" t="s">
        <v>3449</v>
      </c>
      <c r="D115" s="301"/>
    </row>
    <row r="116" spans="1:4" ht="15" customHeight="1">
      <c r="A116" s="755" t="s">
        <v>2675</v>
      </c>
      <c r="B116" s="756" t="s">
        <v>5872</v>
      </c>
      <c r="C116" s="779" t="s">
        <v>3449</v>
      </c>
      <c r="D116" s="301"/>
    </row>
    <row r="117" spans="1:4" ht="15" customHeight="1">
      <c r="A117" s="755" t="s">
        <v>2675</v>
      </c>
      <c r="B117" s="756" t="s">
        <v>3541</v>
      </c>
      <c r="C117" s="779" t="s">
        <v>3449</v>
      </c>
      <c r="D117" s="301"/>
    </row>
    <row r="118" spans="1:4" ht="15" customHeight="1">
      <c r="A118" s="755" t="s">
        <v>2675</v>
      </c>
      <c r="B118" s="756" t="s">
        <v>3542</v>
      </c>
      <c r="C118" s="779" t="s">
        <v>3449</v>
      </c>
      <c r="D118" s="301"/>
    </row>
    <row r="119" spans="1:4" ht="15" customHeight="1">
      <c r="A119" s="755" t="s">
        <v>2675</v>
      </c>
      <c r="B119" s="756" t="s">
        <v>3543</v>
      </c>
      <c r="C119" s="779" t="s">
        <v>3449</v>
      </c>
      <c r="D119" s="301"/>
    </row>
    <row r="120" spans="1:4" ht="15" customHeight="1">
      <c r="A120" s="755" t="s">
        <v>2675</v>
      </c>
      <c r="B120" s="756" t="s">
        <v>3544</v>
      </c>
      <c r="C120" s="779" t="s">
        <v>3449</v>
      </c>
      <c r="D120" s="301"/>
    </row>
    <row r="121" spans="1:4" ht="15" customHeight="1">
      <c r="A121" s="755" t="s">
        <v>2675</v>
      </c>
      <c r="B121" s="756" t="s">
        <v>3545</v>
      </c>
      <c r="C121" s="779" t="s">
        <v>3449</v>
      </c>
      <c r="D121" s="301"/>
    </row>
    <row r="122" spans="1:4" ht="15" customHeight="1">
      <c r="A122" s="755" t="s">
        <v>2675</v>
      </c>
      <c r="B122" s="756" t="s">
        <v>3546</v>
      </c>
      <c r="C122" s="779" t="s">
        <v>3449</v>
      </c>
      <c r="D122" s="301"/>
    </row>
    <row r="123" spans="1:4" ht="15" customHeight="1">
      <c r="A123" s="755" t="s">
        <v>2675</v>
      </c>
      <c r="B123" s="756" t="s">
        <v>3547</v>
      </c>
      <c r="C123" s="779" t="s">
        <v>3449</v>
      </c>
      <c r="D123" s="301"/>
    </row>
    <row r="124" spans="1:4" ht="15" customHeight="1">
      <c r="A124" s="755" t="s">
        <v>2675</v>
      </c>
      <c r="B124" s="756" t="s">
        <v>3548</v>
      </c>
      <c r="C124" s="779" t="s">
        <v>3449</v>
      </c>
      <c r="D124" s="301"/>
    </row>
    <row r="125" spans="1:4" ht="15" customHeight="1">
      <c r="A125" s="755" t="s">
        <v>2675</v>
      </c>
      <c r="B125" s="756" t="s">
        <v>5873</v>
      </c>
      <c r="C125" s="779" t="s">
        <v>3449</v>
      </c>
      <c r="D125" s="301"/>
    </row>
    <row r="126" spans="1:4" ht="15" customHeight="1">
      <c r="A126" s="755" t="s">
        <v>2675</v>
      </c>
      <c r="B126" s="756" t="s">
        <v>2680</v>
      </c>
      <c r="C126" s="779" t="s">
        <v>3449</v>
      </c>
      <c r="D126" s="301"/>
    </row>
    <row r="127" spans="1:4" ht="15" customHeight="1">
      <c r="A127" s="755" t="s">
        <v>2675</v>
      </c>
      <c r="B127" s="756" t="s">
        <v>2680</v>
      </c>
      <c r="C127" s="779" t="s">
        <v>3449</v>
      </c>
      <c r="D127" s="301"/>
    </row>
    <row r="128" spans="1:4" ht="15" customHeight="1">
      <c r="A128" s="755" t="s">
        <v>2675</v>
      </c>
      <c r="B128" s="756" t="s">
        <v>2680</v>
      </c>
      <c r="C128" s="779" t="s">
        <v>3449</v>
      </c>
      <c r="D128" s="301"/>
    </row>
    <row r="129" spans="1:4" ht="15" customHeight="1">
      <c r="A129" s="755" t="s">
        <v>2675</v>
      </c>
      <c r="B129" s="756" t="s">
        <v>2680</v>
      </c>
      <c r="C129" s="779" t="s">
        <v>3449</v>
      </c>
      <c r="D129" s="301"/>
    </row>
    <row r="130" spans="1:4" ht="15" customHeight="1">
      <c r="A130" s="755" t="s">
        <v>2675</v>
      </c>
      <c r="B130" s="756" t="s">
        <v>2680</v>
      </c>
      <c r="C130" s="779" t="s">
        <v>3449</v>
      </c>
      <c r="D130" s="301"/>
    </row>
    <row r="131" spans="1:4" ht="15" customHeight="1">
      <c r="A131" s="755" t="s">
        <v>2675</v>
      </c>
      <c r="B131" s="756" t="s">
        <v>2680</v>
      </c>
      <c r="C131" s="779" t="s">
        <v>3449</v>
      </c>
      <c r="D131" s="301"/>
    </row>
    <row r="132" spans="1:4" ht="15" customHeight="1">
      <c r="A132" s="755" t="s">
        <v>2675</v>
      </c>
      <c r="B132" s="756" t="s">
        <v>5874</v>
      </c>
      <c r="C132" s="779" t="s">
        <v>3449</v>
      </c>
      <c r="D132" s="301"/>
    </row>
    <row r="133" spans="1:4" ht="15" customHeight="1">
      <c r="A133" s="755" t="s">
        <v>2675</v>
      </c>
      <c r="B133" s="756" t="s">
        <v>3549</v>
      </c>
      <c r="C133" s="779" t="s">
        <v>3449</v>
      </c>
      <c r="D133" s="301"/>
    </row>
    <row r="134" spans="1:4" ht="15" customHeight="1">
      <c r="A134" s="757" t="s">
        <v>5723</v>
      </c>
      <c r="B134" s="756" t="s">
        <v>5875</v>
      </c>
      <c r="C134" s="779" t="s">
        <v>3486</v>
      </c>
      <c r="D134" s="301"/>
    </row>
    <row r="135" spans="1:4" ht="15" customHeight="1">
      <c r="A135" s="757" t="s">
        <v>5723</v>
      </c>
      <c r="B135" s="756" t="s">
        <v>5876</v>
      </c>
      <c r="C135" s="779" t="s">
        <v>3486</v>
      </c>
      <c r="D135" s="301"/>
    </row>
    <row r="136" spans="1:4" ht="15" customHeight="1">
      <c r="A136" s="757" t="s">
        <v>5723</v>
      </c>
      <c r="B136" s="756" t="s">
        <v>5877</v>
      </c>
      <c r="C136" s="779" t="s">
        <v>3486</v>
      </c>
      <c r="D136" s="301"/>
    </row>
    <row r="137" spans="1:4" ht="15" customHeight="1">
      <c r="A137" s="757" t="s">
        <v>5723</v>
      </c>
      <c r="B137" s="756" t="s">
        <v>5878</v>
      </c>
      <c r="C137" s="779" t="s">
        <v>3486</v>
      </c>
      <c r="D137" s="301"/>
    </row>
    <row r="138" spans="1:4" ht="15" customHeight="1">
      <c r="A138" s="757" t="s">
        <v>5723</v>
      </c>
      <c r="B138" s="756" t="s">
        <v>5879</v>
      </c>
      <c r="C138" s="779" t="s">
        <v>3486</v>
      </c>
      <c r="D138" s="301"/>
    </row>
    <row r="139" spans="1:4" ht="15" customHeight="1">
      <c r="A139" s="757" t="s">
        <v>5723</v>
      </c>
      <c r="B139" s="756" t="s">
        <v>5880</v>
      </c>
      <c r="C139" s="779" t="s">
        <v>3486</v>
      </c>
      <c r="D139" s="301"/>
    </row>
    <row r="140" spans="1:4" ht="15" customHeight="1">
      <c r="A140" s="757" t="s">
        <v>5723</v>
      </c>
      <c r="B140" s="756" t="s">
        <v>5881</v>
      </c>
      <c r="C140" s="779" t="s">
        <v>3486</v>
      </c>
      <c r="D140" s="301"/>
    </row>
    <row r="141" spans="1:4" ht="15" customHeight="1">
      <c r="A141" s="757" t="s">
        <v>5723</v>
      </c>
      <c r="B141" s="756" t="s">
        <v>5882</v>
      </c>
      <c r="C141" s="779" t="s">
        <v>3486</v>
      </c>
      <c r="D141" s="301"/>
    </row>
    <row r="142" spans="1:4" ht="15" customHeight="1">
      <c r="A142" s="757" t="s">
        <v>5723</v>
      </c>
      <c r="B142" s="756" t="s">
        <v>2680</v>
      </c>
      <c r="C142" s="779" t="s">
        <v>3486</v>
      </c>
      <c r="D142" s="301"/>
    </row>
    <row r="143" spans="1:4" ht="15" customHeight="1">
      <c r="A143" s="757" t="s">
        <v>5723</v>
      </c>
      <c r="B143" s="756" t="s">
        <v>2680</v>
      </c>
      <c r="C143" s="779" t="s">
        <v>3486</v>
      </c>
      <c r="D143" s="301"/>
    </row>
    <row r="144" spans="1:4" ht="15" customHeight="1">
      <c r="A144" s="757" t="s">
        <v>5723</v>
      </c>
      <c r="B144" s="756" t="s">
        <v>2680</v>
      </c>
      <c r="C144" s="779" t="s">
        <v>3486</v>
      </c>
      <c r="D144" s="301"/>
    </row>
    <row r="145" spans="1:4" ht="15" customHeight="1">
      <c r="A145" s="757" t="s">
        <v>5723</v>
      </c>
      <c r="B145" s="756" t="s">
        <v>2680</v>
      </c>
      <c r="C145" s="779" t="s">
        <v>3486</v>
      </c>
      <c r="D145" s="301"/>
    </row>
    <row r="146" spans="1:4" ht="15" customHeight="1">
      <c r="A146" s="757" t="s">
        <v>5723</v>
      </c>
      <c r="B146" s="756" t="s">
        <v>2680</v>
      </c>
      <c r="C146" s="779" t="s">
        <v>3486</v>
      </c>
      <c r="D146" s="301"/>
    </row>
    <row r="147" spans="1:4" ht="15" customHeight="1">
      <c r="A147" s="757" t="s">
        <v>5723</v>
      </c>
      <c r="B147" s="756" t="s">
        <v>2680</v>
      </c>
      <c r="C147" s="779" t="s">
        <v>3486</v>
      </c>
      <c r="D147" s="301"/>
    </row>
    <row r="148" spans="1:4" ht="15" customHeight="1">
      <c r="A148" s="757" t="s">
        <v>5723</v>
      </c>
      <c r="B148" s="756" t="s">
        <v>2680</v>
      </c>
      <c r="C148" s="779" t="s">
        <v>3486</v>
      </c>
      <c r="D148" s="301"/>
    </row>
    <row r="149" spans="1:4" ht="15" customHeight="1">
      <c r="A149" s="757" t="s">
        <v>5723</v>
      </c>
      <c r="B149" s="756" t="s">
        <v>2680</v>
      </c>
      <c r="C149" s="779" t="s">
        <v>3486</v>
      </c>
      <c r="D149" s="301"/>
    </row>
    <row r="150" spans="1:4" ht="15" customHeight="1">
      <c r="A150" s="757" t="s">
        <v>5723</v>
      </c>
      <c r="B150" s="756" t="s">
        <v>2680</v>
      </c>
      <c r="C150" s="779" t="s">
        <v>3486</v>
      </c>
      <c r="D150" s="301"/>
    </row>
    <row r="151" spans="1:4" ht="15" customHeight="1">
      <c r="A151" s="757" t="s">
        <v>5723</v>
      </c>
      <c r="B151" s="756" t="s">
        <v>2680</v>
      </c>
      <c r="C151" s="779" t="s">
        <v>3486</v>
      </c>
      <c r="D151" s="301"/>
    </row>
    <row r="152" spans="1:4" ht="15" customHeight="1">
      <c r="A152" s="757" t="s">
        <v>5723</v>
      </c>
      <c r="B152" s="756" t="s">
        <v>2680</v>
      </c>
      <c r="C152" s="779" t="s">
        <v>3486</v>
      </c>
      <c r="D152" s="301"/>
    </row>
    <row r="153" spans="1:4" ht="15" customHeight="1">
      <c r="A153" s="757" t="s">
        <v>5723</v>
      </c>
      <c r="B153" s="756" t="s">
        <v>2680</v>
      </c>
      <c r="C153" s="779" t="s">
        <v>3486</v>
      </c>
      <c r="D153" s="301"/>
    </row>
    <row r="154" spans="1:4" ht="15" customHeight="1">
      <c r="A154" s="757" t="s">
        <v>5723</v>
      </c>
      <c r="B154" s="756" t="s">
        <v>2680</v>
      </c>
      <c r="C154" s="779" t="s">
        <v>3486</v>
      </c>
      <c r="D154" s="301"/>
    </row>
    <row r="155" spans="1:4" ht="15" customHeight="1">
      <c r="A155" s="757" t="s">
        <v>5723</v>
      </c>
      <c r="B155" s="756" t="s">
        <v>2680</v>
      </c>
      <c r="C155" s="779" t="s">
        <v>3486</v>
      </c>
      <c r="D155" s="301"/>
    </row>
    <row r="156" spans="1:4" ht="15" customHeight="1">
      <c r="A156" s="757" t="s">
        <v>5723</v>
      </c>
      <c r="B156" s="756" t="s">
        <v>2680</v>
      </c>
      <c r="C156" s="779" t="s">
        <v>3486</v>
      </c>
      <c r="D156" s="301"/>
    </row>
    <row r="157" spans="1:4" ht="15" customHeight="1">
      <c r="A157" s="758" t="s">
        <v>3444</v>
      </c>
      <c r="B157" s="756" t="s">
        <v>3553</v>
      </c>
      <c r="C157" s="779" t="s">
        <v>3629</v>
      </c>
      <c r="D157" s="301"/>
    </row>
    <row r="158" spans="1:4" ht="15" customHeight="1">
      <c r="A158" s="758" t="s">
        <v>3444</v>
      </c>
      <c r="B158" s="756" t="s">
        <v>3554</v>
      </c>
      <c r="C158" s="779" t="s">
        <v>3629</v>
      </c>
      <c r="D158" s="301"/>
    </row>
    <row r="159" spans="1:4" ht="15" customHeight="1">
      <c r="A159" s="758" t="s">
        <v>3444</v>
      </c>
      <c r="B159" s="756" t="s">
        <v>3555</v>
      </c>
      <c r="C159" s="779" t="s">
        <v>3629</v>
      </c>
      <c r="D159" s="301"/>
    </row>
    <row r="160" spans="1:4" ht="15" customHeight="1">
      <c r="A160" s="758" t="s">
        <v>3444</v>
      </c>
      <c r="B160" s="756" t="s">
        <v>3556</v>
      </c>
      <c r="C160" s="779" t="s">
        <v>3629</v>
      </c>
      <c r="D160" s="301"/>
    </row>
    <row r="161" spans="1:4" ht="15" customHeight="1">
      <c r="A161" s="758" t="s">
        <v>3444</v>
      </c>
      <c r="B161" s="763" t="s">
        <v>3557</v>
      </c>
      <c r="C161" s="779" t="s">
        <v>3629</v>
      </c>
      <c r="D161" s="301"/>
    </row>
    <row r="162" spans="1:4" ht="15" customHeight="1">
      <c r="A162" s="758" t="s">
        <v>3444</v>
      </c>
      <c r="B162" s="756" t="s">
        <v>3558</v>
      </c>
      <c r="C162" s="779" t="s">
        <v>3629</v>
      </c>
      <c r="D162" s="301"/>
    </row>
    <row r="163" spans="1:4" ht="15" customHeight="1">
      <c r="A163" s="758" t="s">
        <v>3444</v>
      </c>
      <c r="B163" s="773" t="s">
        <v>3559</v>
      </c>
      <c r="C163" s="779" t="s">
        <v>3629</v>
      </c>
      <c r="D163" s="301"/>
    </row>
    <row r="164" spans="1:4" ht="15" customHeight="1">
      <c r="A164" s="758" t="s">
        <v>3444</v>
      </c>
      <c r="B164" s="756" t="s">
        <v>3560</v>
      </c>
      <c r="C164" s="779" t="s">
        <v>3629</v>
      </c>
      <c r="D164" s="301"/>
    </row>
    <row r="165" spans="1:4" ht="15" customHeight="1">
      <c r="A165" s="758" t="s">
        <v>3444</v>
      </c>
      <c r="B165" s="756" t="s">
        <v>3561</v>
      </c>
      <c r="C165" s="779" t="s">
        <v>3629</v>
      </c>
      <c r="D165" s="301"/>
    </row>
    <row r="166" spans="1:4" ht="15" customHeight="1">
      <c r="A166" s="758" t="s">
        <v>3444</v>
      </c>
      <c r="B166" s="756" t="s">
        <v>5883</v>
      </c>
      <c r="C166" s="779" t="s">
        <v>3629</v>
      </c>
      <c r="D166" s="301"/>
    </row>
    <row r="167" spans="1:4" ht="15" customHeight="1">
      <c r="A167" s="758" t="s">
        <v>3444</v>
      </c>
      <c r="B167" s="756" t="s">
        <v>3562</v>
      </c>
      <c r="C167" s="779" t="s">
        <v>3629</v>
      </c>
      <c r="D167" s="301"/>
    </row>
    <row r="168" spans="1:4" ht="15" customHeight="1">
      <c r="A168" s="758" t="s">
        <v>3444</v>
      </c>
      <c r="B168" s="773" t="s">
        <v>3563</v>
      </c>
      <c r="C168" s="779" t="s">
        <v>3629</v>
      </c>
      <c r="D168" s="301"/>
    </row>
    <row r="169" spans="1:4" ht="15" customHeight="1">
      <c r="A169" s="758" t="s">
        <v>3444</v>
      </c>
      <c r="B169" s="756" t="s">
        <v>5884</v>
      </c>
      <c r="C169" s="779" t="s">
        <v>3629</v>
      </c>
      <c r="D169" s="301"/>
    </row>
    <row r="170" spans="1:4" ht="15" customHeight="1">
      <c r="A170" s="758" t="s">
        <v>3444</v>
      </c>
      <c r="B170" s="756" t="s">
        <v>3550</v>
      </c>
      <c r="C170" s="779" t="s">
        <v>3629</v>
      </c>
      <c r="D170" s="301"/>
    </row>
    <row r="171" spans="1:4" ht="15" customHeight="1">
      <c r="A171" s="758" t="s">
        <v>3444</v>
      </c>
      <c r="B171" s="756" t="s">
        <v>3551</v>
      </c>
      <c r="C171" s="779" t="s">
        <v>3629</v>
      </c>
      <c r="D171" s="301"/>
    </row>
    <row r="172" spans="1:4" ht="15" customHeight="1">
      <c r="A172" s="758" t="s">
        <v>3444</v>
      </c>
      <c r="B172" s="756" t="s">
        <v>3552</v>
      </c>
      <c r="C172" s="779" t="s">
        <v>3629</v>
      </c>
      <c r="D172" s="301"/>
    </row>
    <row r="173" spans="1:4" ht="15" customHeight="1">
      <c r="A173" s="758" t="s">
        <v>3444</v>
      </c>
      <c r="B173" s="756" t="s">
        <v>5885</v>
      </c>
      <c r="C173" s="779" t="s">
        <v>3629</v>
      </c>
      <c r="D173" s="301"/>
    </row>
    <row r="174" spans="1:4" ht="15" customHeight="1">
      <c r="A174" s="759" t="s">
        <v>3447</v>
      </c>
      <c r="B174" s="773" t="s">
        <v>3564</v>
      </c>
      <c r="C174" s="779" t="s">
        <v>3452</v>
      </c>
      <c r="D174" s="301"/>
    </row>
    <row r="175" spans="1:4" ht="15" customHeight="1">
      <c r="A175" s="759" t="s">
        <v>3447</v>
      </c>
      <c r="B175" s="773" t="s">
        <v>3565</v>
      </c>
      <c r="C175" s="779" t="s">
        <v>3452</v>
      </c>
      <c r="D175" s="301"/>
    </row>
    <row r="176" spans="1:4" ht="15" customHeight="1">
      <c r="A176" s="759" t="s">
        <v>3447</v>
      </c>
      <c r="B176" s="773" t="s">
        <v>3566</v>
      </c>
      <c r="C176" s="779" t="s">
        <v>3452</v>
      </c>
      <c r="D176" s="301"/>
    </row>
    <row r="177" spans="1:4" ht="15" customHeight="1">
      <c r="A177" s="759" t="s">
        <v>3447</v>
      </c>
      <c r="B177" s="773" t="s">
        <v>3567</v>
      </c>
      <c r="C177" s="779" t="s">
        <v>3452</v>
      </c>
      <c r="D177" s="301"/>
    </row>
    <row r="178" spans="1:4" ht="15" customHeight="1">
      <c r="A178" s="759" t="s">
        <v>3447</v>
      </c>
      <c r="B178" s="773" t="s">
        <v>3568</v>
      </c>
      <c r="C178" s="779" t="s">
        <v>3452</v>
      </c>
      <c r="D178" s="301"/>
    </row>
    <row r="179" spans="1:4" ht="15" customHeight="1">
      <c r="A179" s="759" t="s">
        <v>3447</v>
      </c>
      <c r="B179" s="773" t="s">
        <v>3569</v>
      </c>
      <c r="C179" s="779" t="s">
        <v>3452</v>
      </c>
      <c r="D179" s="301"/>
    </row>
    <row r="180" spans="1:4" ht="15" customHeight="1">
      <c r="A180" s="759" t="s">
        <v>3447</v>
      </c>
      <c r="B180" s="773" t="s">
        <v>3570</v>
      </c>
      <c r="C180" s="779" t="s">
        <v>3452</v>
      </c>
      <c r="D180" s="301"/>
    </row>
    <row r="181" spans="1:4" ht="15" customHeight="1">
      <c r="A181" s="759" t="s">
        <v>3447</v>
      </c>
      <c r="B181" s="773" t="s">
        <v>3571</v>
      </c>
      <c r="C181" s="779" t="s">
        <v>3452</v>
      </c>
      <c r="D181" s="301"/>
    </row>
    <row r="182" spans="1:4" ht="15" customHeight="1">
      <c r="A182" s="759" t="s">
        <v>3447</v>
      </c>
      <c r="B182" s="773" t="s">
        <v>3572</v>
      </c>
      <c r="C182" s="779" t="s">
        <v>3452</v>
      </c>
      <c r="D182" s="301"/>
    </row>
    <row r="183" spans="1:4" ht="15" customHeight="1">
      <c r="A183" s="759" t="s">
        <v>3447</v>
      </c>
      <c r="B183" s="773" t="s">
        <v>3573</v>
      </c>
      <c r="C183" s="779" t="s">
        <v>3452</v>
      </c>
      <c r="D183" s="301"/>
    </row>
    <row r="184" spans="1:4" ht="15" customHeight="1">
      <c r="A184" s="759" t="s">
        <v>3447</v>
      </c>
      <c r="B184" s="773" t="s">
        <v>3574</v>
      </c>
      <c r="C184" s="779" t="s">
        <v>3452</v>
      </c>
      <c r="D184" s="301"/>
    </row>
    <row r="185" spans="1:4" ht="15" customHeight="1">
      <c r="A185" s="759" t="s">
        <v>3447</v>
      </c>
      <c r="B185" s="773" t="s">
        <v>3575</v>
      </c>
      <c r="C185" s="779" t="s">
        <v>3452</v>
      </c>
      <c r="D185" s="301"/>
    </row>
    <row r="186" spans="1:4" ht="15" customHeight="1">
      <c r="A186" s="759" t="s">
        <v>3447</v>
      </c>
      <c r="B186" s="773" t="s">
        <v>3576</v>
      </c>
      <c r="C186" s="779" t="s">
        <v>3452</v>
      </c>
      <c r="D186" s="301"/>
    </row>
    <row r="187" spans="1:4" ht="15" customHeight="1">
      <c r="A187" s="759" t="s">
        <v>3447</v>
      </c>
      <c r="B187" s="773" t="s">
        <v>3577</v>
      </c>
      <c r="C187" s="779" t="s">
        <v>3452</v>
      </c>
      <c r="D187" s="301"/>
    </row>
    <row r="188" spans="1:4" ht="15" customHeight="1">
      <c r="A188" s="759" t="s">
        <v>3447</v>
      </c>
      <c r="B188" s="773" t="s">
        <v>3578</v>
      </c>
      <c r="C188" s="779" t="s">
        <v>3452</v>
      </c>
      <c r="D188" s="301"/>
    </row>
    <row r="189" spans="1:4" ht="15" customHeight="1">
      <c r="A189" s="759" t="s">
        <v>3447</v>
      </c>
      <c r="B189" s="773" t="s">
        <v>3579</v>
      </c>
      <c r="C189" s="779" t="s">
        <v>3452</v>
      </c>
      <c r="D189" s="301"/>
    </row>
    <row r="190" spans="1:4" ht="15" customHeight="1">
      <c r="A190" s="759" t="s">
        <v>3447</v>
      </c>
      <c r="B190" s="773" t="s">
        <v>5886</v>
      </c>
      <c r="C190" s="779" t="s">
        <v>3452</v>
      </c>
      <c r="D190" s="301"/>
    </row>
    <row r="191" spans="1:4" ht="15" customHeight="1">
      <c r="A191" s="759" t="s">
        <v>3447</v>
      </c>
      <c r="B191" s="773" t="s">
        <v>2680</v>
      </c>
      <c r="C191" s="779" t="s">
        <v>3452</v>
      </c>
      <c r="D191" s="301"/>
    </row>
    <row r="192" spans="1:4" ht="15" customHeight="1">
      <c r="A192" s="759" t="s">
        <v>3447</v>
      </c>
      <c r="B192" s="773" t="s">
        <v>2680</v>
      </c>
      <c r="C192" s="779" t="s">
        <v>3452</v>
      </c>
      <c r="D192" s="301"/>
    </row>
    <row r="193" spans="1:4" s="533" customFormat="1" ht="15" customHeight="1">
      <c r="A193" s="759" t="s">
        <v>3447</v>
      </c>
      <c r="B193" s="764" t="s">
        <v>2680</v>
      </c>
      <c r="C193" s="779" t="s">
        <v>3452</v>
      </c>
      <c r="D193" s="510"/>
    </row>
    <row r="194" spans="1:4" s="533" customFormat="1" ht="15" customHeight="1">
      <c r="A194" s="760" t="s">
        <v>3450</v>
      </c>
      <c r="B194" s="756" t="s">
        <v>3580</v>
      </c>
      <c r="C194" s="779" t="s">
        <v>3455</v>
      </c>
      <c r="D194" s="510"/>
    </row>
    <row r="195" spans="1:4" s="533" customFormat="1" ht="15" customHeight="1">
      <c r="A195" s="760" t="s">
        <v>3450</v>
      </c>
      <c r="B195" s="756" t="s">
        <v>3581</v>
      </c>
      <c r="C195" s="779" t="s">
        <v>3455</v>
      </c>
      <c r="D195" s="510"/>
    </row>
    <row r="196" spans="1:4" s="533" customFormat="1" ht="15" customHeight="1">
      <c r="A196" s="760" t="s">
        <v>3450</v>
      </c>
      <c r="B196" s="756" t="s">
        <v>3582</v>
      </c>
      <c r="C196" s="779" t="s">
        <v>3455</v>
      </c>
      <c r="D196" s="510"/>
    </row>
    <row r="197" spans="1:4" ht="15" customHeight="1">
      <c r="A197" s="760" t="s">
        <v>3450</v>
      </c>
      <c r="B197" s="756" t="s">
        <v>3583</v>
      </c>
      <c r="C197" s="779" t="s">
        <v>3455</v>
      </c>
      <c r="D197" s="301"/>
    </row>
    <row r="198" spans="1:4" ht="15" customHeight="1">
      <c r="A198" s="760" t="s">
        <v>3450</v>
      </c>
      <c r="B198" s="756" t="s">
        <v>3584</v>
      </c>
      <c r="C198" s="779" t="s">
        <v>3455</v>
      </c>
      <c r="D198" s="301"/>
    </row>
    <row r="199" spans="1:4" ht="15" customHeight="1">
      <c r="A199" s="760" t="s">
        <v>3450</v>
      </c>
      <c r="B199" s="756" t="s">
        <v>3585</v>
      </c>
      <c r="C199" s="779" t="s">
        <v>3455</v>
      </c>
      <c r="D199" s="301"/>
    </row>
    <row r="200" spans="1:4" ht="15" customHeight="1">
      <c r="A200" s="760" t="s">
        <v>3450</v>
      </c>
      <c r="B200" s="756" t="s">
        <v>3586</v>
      </c>
      <c r="C200" s="779" t="s">
        <v>3455</v>
      </c>
      <c r="D200" s="301"/>
    </row>
    <row r="201" spans="1:4" ht="15" customHeight="1">
      <c r="A201" s="760" t="s">
        <v>3450</v>
      </c>
      <c r="B201" s="756" t="s">
        <v>3587</v>
      </c>
      <c r="C201" s="779" t="s">
        <v>3455</v>
      </c>
      <c r="D201" s="301"/>
    </row>
    <row r="202" spans="1:4" ht="15" customHeight="1">
      <c r="A202" s="760" t="s">
        <v>3450</v>
      </c>
      <c r="B202" s="756" t="s">
        <v>3588</v>
      </c>
      <c r="C202" s="779" t="s">
        <v>3455</v>
      </c>
      <c r="D202" s="301"/>
    </row>
    <row r="203" spans="1:4" ht="15" customHeight="1">
      <c r="A203" s="760" t="s">
        <v>3450</v>
      </c>
      <c r="B203" s="756" t="s">
        <v>3589</v>
      </c>
      <c r="C203" s="779" t="s">
        <v>3455</v>
      </c>
      <c r="D203" s="301"/>
    </row>
    <row r="204" spans="1:4" ht="15" customHeight="1">
      <c r="A204" s="760" t="s">
        <v>3450</v>
      </c>
      <c r="B204" s="756" t="s">
        <v>3590</v>
      </c>
      <c r="C204" s="779" t="s">
        <v>3455</v>
      </c>
      <c r="D204" s="301"/>
    </row>
    <row r="205" spans="1:4" ht="15" customHeight="1">
      <c r="A205" s="760" t="s">
        <v>3450</v>
      </c>
      <c r="B205" s="756" t="s">
        <v>3591</v>
      </c>
      <c r="C205" s="779" t="s">
        <v>3455</v>
      </c>
      <c r="D205" s="301"/>
    </row>
    <row r="206" spans="1:4" ht="15" customHeight="1">
      <c r="A206" s="760" t="s">
        <v>3450</v>
      </c>
      <c r="B206" s="756" t="s">
        <v>3592</v>
      </c>
      <c r="C206" s="779" t="s">
        <v>3455</v>
      </c>
      <c r="D206" s="301"/>
    </row>
    <row r="207" spans="1:4" ht="15" customHeight="1">
      <c r="A207" s="760" t="s">
        <v>3450</v>
      </c>
      <c r="B207" s="756" t="s">
        <v>3593</v>
      </c>
      <c r="C207" s="779" t="s">
        <v>3455</v>
      </c>
      <c r="D207" s="301"/>
    </row>
    <row r="208" spans="1:4" ht="15" customHeight="1">
      <c r="A208" s="760" t="s">
        <v>3450</v>
      </c>
      <c r="B208" s="756" t="s">
        <v>3594</v>
      </c>
      <c r="C208" s="779" t="s">
        <v>3455</v>
      </c>
      <c r="D208" s="301"/>
    </row>
    <row r="209" spans="1:4" ht="15" customHeight="1">
      <c r="A209" s="760" t="s">
        <v>3450</v>
      </c>
      <c r="B209" s="773" t="s">
        <v>3595</v>
      </c>
      <c r="C209" s="779" t="s">
        <v>3455</v>
      </c>
      <c r="D209" s="301"/>
    </row>
    <row r="210" spans="1:4" ht="15" customHeight="1">
      <c r="A210" s="760" t="s">
        <v>3450</v>
      </c>
      <c r="B210" s="765" t="s">
        <v>3596</v>
      </c>
      <c r="C210" s="779" t="s">
        <v>3455</v>
      </c>
      <c r="D210" s="301"/>
    </row>
    <row r="211" spans="1:4" ht="15" customHeight="1">
      <c r="A211" s="760" t="s">
        <v>3450</v>
      </c>
      <c r="B211" s="773" t="s">
        <v>2680</v>
      </c>
      <c r="C211" s="779" t="s">
        <v>3455</v>
      </c>
      <c r="D211" s="301"/>
    </row>
    <row r="212" spans="1:4" ht="15" customHeight="1">
      <c r="A212" s="760" t="s">
        <v>3450</v>
      </c>
      <c r="B212" s="773" t="s">
        <v>2680</v>
      </c>
      <c r="C212" s="779" t="s">
        <v>3455</v>
      </c>
      <c r="D212" s="301"/>
    </row>
    <row r="213" spans="1:4" ht="15" customHeight="1">
      <c r="A213" s="760" t="s">
        <v>3450</v>
      </c>
      <c r="B213" s="756" t="s">
        <v>3597</v>
      </c>
      <c r="C213" s="779" t="s">
        <v>3455</v>
      </c>
      <c r="D213" s="301"/>
    </row>
    <row r="214" spans="1:4" ht="15" customHeight="1">
      <c r="A214" s="761" t="s">
        <v>3453</v>
      </c>
      <c r="B214" s="773" t="s">
        <v>3598</v>
      </c>
      <c r="C214" s="779" t="s">
        <v>3599</v>
      </c>
      <c r="D214" s="301"/>
    </row>
    <row r="215" spans="1:4" ht="15" customHeight="1">
      <c r="A215" s="761" t="s">
        <v>3453</v>
      </c>
      <c r="B215" s="773" t="s">
        <v>3600</v>
      </c>
      <c r="C215" s="779" t="s">
        <v>3599</v>
      </c>
      <c r="D215" s="301"/>
    </row>
    <row r="216" spans="1:4" ht="15" customHeight="1">
      <c r="A216" s="761" t="s">
        <v>3453</v>
      </c>
      <c r="B216" s="773" t="s">
        <v>3601</v>
      </c>
      <c r="C216" s="779" t="s">
        <v>3599</v>
      </c>
      <c r="D216" s="301"/>
    </row>
    <row r="217" spans="1:4" ht="15" customHeight="1">
      <c r="A217" s="761" t="s">
        <v>3453</v>
      </c>
      <c r="B217" s="756" t="s">
        <v>3602</v>
      </c>
      <c r="C217" s="779" t="s">
        <v>3599</v>
      </c>
      <c r="D217" s="301"/>
    </row>
    <row r="218" spans="1:4" ht="15" customHeight="1">
      <c r="A218" s="761" t="s">
        <v>3453</v>
      </c>
      <c r="B218" s="773" t="s">
        <v>2680</v>
      </c>
      <c r="C218" s="779" t="s">
        <v>3599</v>
      </c>
      <c r="D218" s="301"/>
    </row>
    <row r="219" spans="1:4" ht="15" customHeight="1">
      <c r="A219" s="777"/>
      <c r="B219" s="764"/>
      <c r="C219" s="779"/>
      <c r="D219" s="301"/>
    </row>
    <row r="220" spans="1:4" ht="15" customHeight="1">
      <c r="A220" s="777" t="s">
        <v>3603</v>
      </c>
      <c r="B220" s="764"/>
      <c r="C220" s="779"/>
      <c r="D220" s="301"/>
    </row>
    <row r="221" spans="1:4" ht="15" customHeight="1">
      <c r="A221" s="755"/>
      <c r="B221" s="764"/>
      <c r="C221" s="779"/>
      <c r="D221" s="301"/>
    </row>
    <row r="222" spans="1:4" ht="15" customHeight="1">
      <c r="A222" s="755" t="s">
        <v>2675</v>
      </c>
      <c r="B222" s="756" t="s">
        <v>3604</v>
      </c>
      <c r="C222" s="779" t="s">
        <v>3486</v>
      </c>
      <c r="D222" s="301"/>
    </row>
    <row r="223" spans="1:4" ht="15" customHeight="1">
      <c r="A223" s="755" t="s">
        <v>2675</v>
      </c>
      <c r="B223" s="756" t="s">
        <v>3605</v>
      </c>
      <c r="C223" s="779" t="s">
        <v>3486</v>
      </c>
      <c r="D223" s="301"/>
    </row>
    <row r="224" spans="1:4" ht="15" customHeight="1">
      <c r="A224" s="755" t="s">
        <v>2675</v>
      </c>
      <c r="B224" s="756" t="s">
        <v>3606</v>
      </c>
      <c r="C224" s="779" t="s">
        <v>3486</v>
      </c>
      <c r="D224" s="301"/>
    </row>
    <row r="225" spans="1:4" ht="15" customHeight="1">
      <c r="A225" s="755" t="s">
        <v>2675</v>
      </c>
      <c r="B225" s="756" t="s">
        <v>3607</v>
      </c>
      <c r="C225" s="779" t="s">
        <v>3486</v>
      </c>
      <c r="D225" s="301"/>
    </row>
    <row r="226" spans="1:4" ht="15" customHeight="1">
      <c r="A226" s="755" t="s">
        <v>2675</v>
      </c>
      <c r="B226" s="756" t="s">
        <v>3608</v>
      </c>
      <c r="C226" s="779" t="s">
        <v>3486</v>
      </c>
      <c r="D226" s="301"/>
    </row>
    <row r="227" spans="1:4" ht="15" customHeight="1">
      <c r="A227" s="757" t="s">
        <v>5723</v>
      </c>
      <c r="B227" s="756" t="s">
        <v>3609</v>
      </c>
      <c r="C227" s="779" t="s">
        <v>3452</v>
      </c>
      <c r="D227" s="301"/>
    </row>
    <row r="228" spans="1:4" ht="15" customHeight="1">
      <c r="A228" s="757" t="s">
        <v>5723</v>
      </c>
      <c r="B228" s="756" t="s">
        <v>3610</v>
      </c>
      <c r="C228" s="779" t="s">
        <v>3452</v>
      </c>
      <c r="D228" s="301"/>
    </row>
    <row r="229" spans="1:4" ht="15" customHeight="1">
      <c r="A229" s="757" t="s">
        <v>5723</v>
      </c>
      <c r="B229" s="756" t="s">
        <v>3611</v>
      </c>
      <c r="C229" s="779" t="s">
        <v>3452</v>
      </c>
      <c r="D229" s="301"/>
    </row>
    <row r="230" spans="1:4" ht="15" customHeight="1">
      <c r="A230" s="757" t="s">
        <v>5723</v>
      </c>
      <c r="B230" s="756" t="s">
        <v>3612</v>
      </c>
      <c r="C230" s="779" t="s">
        <v>3452</v>
      </c>
      <c r="D230" s="301"/>
    </row>
    <row r="231" spans="1:4" ht="15" customHeight="1">
      <c r="A231" s="757" t="s">
        <v>5723</v>
      </c>
      <c r="B231" s="756" t="s">
        <v>3613</v>
      </c>
      <c r="C231" s="779" t="s">
        <v>3452</v>
      </c>
      <c r="D231" s="301"/>
    </row>
    <row r="232" spans="1:4" ht="15" customHeight="1">
      <c r="A232" s="757" t="s">
        <v>5723</v>
      </c>
      <c r="B232" s="756" t="s">
        <v>3614</v>
      </c>
      <c r="C232" s="779" t="s">
        <v>3452</v>
      </c>
      <c r="D232" s="301"/>
    </row>
    <row r="233" spans="1:4" ht="15" customHeight="1">
      <c r="A233" s="757" t="s">
        <v>5723</v>
      </c>
      <c r="B233" s="756" t="s">
        <v>3615</v>
      </c>
      <c r="C233" s="779" t="s">
        <v>3452</v>
      </c>
      <c r="D233" s="301"/>
    </row>
    <row r="234" spans="1:4" ht="15" customHeight="1">
      <c r="A234" s="757" t="s">
        <v>5723</v>
      </c>
      <c r="B234" s="756" t="s">
        <v>3616</v>
      </c>
      <c r="C234" s="779" t="s">
        <v>3452</v>
      </c>
      <c r="D234" s="301"/>
    </row>
    <row r="235" spans="1:4" ht="15" customHeight="1">
      <c r="A235" s="757" t="s">
        <v>5723</v>
      </c>
      <c r="B235" s="756" t="s">
        <v>5887</v>
      </c>
      <c r="C235" s="779" t="s">
        <v>3452</v>
      </c>
      <c r="D235" s="301"/>
    </row>
    <row r="236" spans="1:4" ht="15" customHeight="1">
      <c r="A236" s="758" t="s">
        <v>3444</v>
      </c>
      <c r="B236" s="756" t="s">
        <v>5888</v>
      </c>
      <c r="C236" s="779" t="s">
        <v>3514</v>
      </c>
      <c r="D236" s="301"/>
    </row>
    <row r="237" spans="1:4" ht="15" customHeight="1">
      <c r="A237" s="758" t="s">
        <v>3444</v>
      </c>
      <c r="B237" s="756" t="s">
        <v>5889</v>
      </c>
      <c r="C237" s="779" t="s">
        <v>3514</v>
      </c>
      <c r="D237" s="301"/>
    </row>
    <row r="238" spans="1:4" ht="15" customHeight="1">
      <c r="A238" s="758" t="s">
        <v>3444</v>
      </c>
      <c r="B238" s="756" t="s">
        <v>5890</v>
      </c>
      <c r="C238" s="779" t="s">
        <v>3514</v>
      </c>
      <c r="D238" s="301"/>
    </row>
    <row r="239" spans="1:4" ht="15" customHeight="1">
      <c r="A239" s="758" t="s">
        <v>3444</v>
      </c>
      <c r="B239" s="756" t="s">
        <v>5891</v>
      </c>
      <c r="C239" s="779" t="s">
        <v>3514</v>
      </c>
      <c r="D239" s="301"/>
    </row>
    <row r="240" spans="1:4" ht="15" customHeight="1">
      <c r="A240" s="758" t="s">
        <v>3444</v>
      </c>
      <c r="B240" s="756" t="s">
        <v>5892</v>
      </c>
      <c r="C240" s="779" t="s">
        <v>3514</v>
      </c>
      <c r="D240" s="301"/>
    </row>
    <row r="241" spans="1:4" ht="15" customHeight="1">
      <c r="A241" s="758" t="s">
        <v>3444</v>
      </c>
      <c r="B241" s="756" t="s">
        <v>5893</v>
      </c>
      <c r="C241" s="779" t="s">
        <v>3514</v>
      </c>
      <c r="D241" s="301"/>
    </row>
    <row r="242" spans="1:4" ht="15" customHeight="1">
      <c r="A242" s="758" t="s">
        <v>3444</v>
      </c>
      <c r="B242" s="756" t="s">
        <v>5894</v>
      </c>
      <c r="C242" s="779" t="s">
        <v>3514</v>
      </c>
      <c r="D242" s="301"/>
    </row>
    <row r="243" spans="1:4" ht="15" customHeight="1">
      <c r="A243" s="758" t="s">
        <v>3444</v>
      </c>
      <c r="B243" s="756" t="s">
        <v>2680</v>
      </c>
      <c r="C243" s="779" t="s">
        <v>3514</v>
      </c>
      <c r="D243" s="301"/>
    </row>
    <row r="244" spans="1:4" ht="15" customHeight="1">
      <c r="A244" s="758" t="s">
        <v>3444</v>
      </c>
      <c r="B244" s="756" t="s">
        <v>2680</v>
      </c>
      <c r="C244" s="779" t="s">
        <v>3514</v>
      </c>
      <c r="D244" s="301"/>
    </row>
    <row r="245" spans="1:4" ht="15" customHeight="1">
      <c r="A245" s="759" t="s">
        <v>3447</v>
      </c>
      <c r="B245" s="756" t="s">
        <v>5895</v>
      </c>
      <c r="C245" s="779" t="s">
        <v>3622</v>
      </c>
      <c r="D245" s="301"/>
    </row>
    <row r="246" spans="1:4" ht="15" customHeight="1">
      <c r="A246" s="759" t="s">
        <v>3447</v>
      </c>
      <c r="B246" s="756" t="s">
        <v>2680</v>
      </c>
      <c r="C246" s="779" t="s">
        <v>3622</v>
      </c>
      <c r="D246" s="301"/>
    </row>
    <row r="247" spans="1:4" ht="15" customHeight="1">
      <c r="A247" s="759" t="s">
        <v>3447</v>
      </c>
      <c r="B247" s="756" t="s">
        <v>5896</v>
      </c>
      <c r="C247" s="779" t="s">
        <v>3622</v>
      </c>
      <c r="D247" s="301"/>
    </row>
    <row r="248" spans="1:4" ht="15" customHeight="1">
      <c r="A248" s="759" t="s">
        <v>3447</v>
      </c>
      <c r="B248" s="756" t="s">
        <v>3617</v>
      </c>
      <c r="C248" s="779" t="s">
        <v>3622</v>
      </c>
      <c r="D248" s="301"/>
    </row>
    <row r="249" spans="1:4" ht="15" customHeight="1">
      <c r="A249" s="759" t="s">
        <v>3447</v>
      </c>
      <c r="B249" s="756" t="s">
        <v>3618</v>
      </c>
      <c r="C249" s="779" t="s">
        <v>3622</v>
      </c>
      <c r="D249" s="301"/>
    </row>
    <row r="250" spans="1:4" ht="15" customHeight="1">
      <c r="A250" s="759" t="s">
        <v>3447</v>
      </c>
      <c r="B250" s="756" t="s">
        <v>3619</v>
      </c>
      <c r="C250" s="779" t="s">
        <v>3622</v>
      </c>
      <c r="D250" s="301"/>
    </row>
    <row r="251" spans="1:4" ht="15" customHeight="1">
      <c r="A251" s="759" t="s">
        <v>3447</v>
      </c>
      <c r="B251" s="756" t="s">
        <v>3620</v>
      </c>
      <c r="C251" s="779" t="s">
        <v>3622</v>
      </c>
      <c r="D251" s="301"/>
    </row>
    <row r="252" spans="1:4" ht="15" customHeight="1">
      <c r="A252" s="759" t="s">
        <v>3447</v>
      </c>
      <c r="B252" s="756" t="s">
        <v>3621</v>
      </c>
      <c r="C252" s="779" t="s">
        <v>3622</v>
      </c>
      <c r="D252" s="301"/>
    </row>
    <row r="253" spans="1:4" ht="15" customHeight="1">
      <c r="A253" s="760" t="s">
        <v>3450</v>
      </c>
      <c r="B253" s="756" t="s">
        <v>5897</v>
      </c>
      <c r="C253" s="779" t="s">
        <v>3455</v>
      </c>
      <c r="D253" s="301"/>
    </row>
    <row r="254" spans="1:4" ht="15" customHeight="1">
      <c r="A254" s="760" t="s">
        <v>3450</v>
      </c>
      <c r="B254" s="756" t="s">
        <v>3623</v>
      </c>
      <c r="C254" s="779" t="s">
        <v>3455</v>
      </c>
      <c r="D254" s="301"/>
    </row>
    <row r="255" spans="1:4" ht="15" customHeight="1">
      <c r="A255" s="760" t="s">
        <v>3450</v>
      </c>
      <c r="B255" s="756" t="s">
        <v>3624</v>
      </c>
      <c r="C255" s="779" t="s">
        <v>3455</v>
      </c>
      <c r="D255" s="301"/>
    </row>
    <row r="256" spans="1:4" ht="15" customHeight="1">
      <c r="A256" s="760" t="s">
        <v>3450</v>
      </c>
      <c r="B256" s="756"/>
      <c r="C256" s="779" t="s">
        <v>3455</v>
      </c>
      <c r="D256" s="301"/>
    </row>
    <row r="257" spans="1:4" ht="15" customHeight="1">
      <c r="A257" s="760" t="s">
        <v>3450</v>
      </c>
      <c r="B257" s="756" t="s">
        <v>2680</v>
      </c>
      <c r="C257" s="779" t="s">
        <v>3455</v>
      </c>
      <c r="D257" s="301"/>
    </row>
    <row r="258" spans="1:4" ht="15" customHeight="1">
      <c r="A258" s="760" t="s">
        <v>3450</v>
      </c>
      <c r="B258" s="756" t="s">
        <v>2680</v>
      </c>
      <c r="C258" s="779" t="s">
        <v>3455</v>
      </c>
      <c r="D258" s="301"/>
    </row>
    <row r="259" spans="1:4" ht="15" customHeight="1">
      <c r="A259" s="760" t="s">
        <v>3450</v>
      </c>
      <c r="B259" s="756" t="s">
        <v>5898</v>
      </c>
      <c r="C259" s="779" t="s">
        <v>3455</v>
      </c>
      <c r="D259" s="301"/>
    </row>
    <row r="260" spans="1:4" ht="15" customHeight="1">
      <c r="A260" s="760" t="s">
        <v>3450</v>
      </c>
      <c r="B260" s="756" t="s">
        <v>3625</v>
      </c>
      <c r="C260" s="779" t="s">
        <v>3455</v>
      </c>
      <c r="D260" s="301"/>
    </row>
    <row r="261" spans="1:4" ht="15" customHeight="1">
      <c r="A261" s="761" t="s">
        <v>3453</v>
      </c>
      <c r="B261" s="756" t="s">
        <v>5899</v>
      </c>
      <c r="C261" s="779" t="s">
        <v>5266</v>
      </c>
      <c r="D261" s="301"/>
    </row>
    <row r="262" spans="1:4" ht="15" customHeight="1">
      <c r="A262" s="764"/>
      <c r="B262" s="764"/>
      <c r="C262" s="779"/>
      <c r="D262" s="531"/>
    </row>
    <row r="263" spans="1:4" ht="15" customHeight="1">
      <c r="A263" s="777" t="s">
        <v>3627</v>
      </c>
      <c r="B263" s="756"/>
      <c r="C263" s="779"/>
      <c r="D263" s="531"/>
    </row>
    <row r="264" spans="1:4" ht="15" customHeight="1">
      <c r="A264" s="756"/>
      <c r="B264" s="756"/>
      <c r="C264" s="779"/>
      <c r="D264" s="301"/>
    </row>
    <row r="265" spans="1:4" ht="15" customHeight="1">
      <c r="A265" s="755" t="s">
        <v>2675</v>
      </c>
      <c r="B265" s="756" t="s">
        <v>3628</v>
      </c>
      <c r="C265" s="779" t="s">
        <v>5900</v>
      </c>
      <c r="D265" s="301"/>
    </row>
    <row r="266" spans="1:4" ht="15" customHeight="1">
      <c r="A266" s="755" t="s">
        <v>2675</v>
      </c>
      <c r="B266" s="756" t="s">
        <v>3630</v>
      </c>
      <c r="C266" s="779" t="s">
        <v>5900</v>
      </c>
      <c r="D266" s="301"/>
    </row>
    <row r="267" spans="1:4" ht="15" customHeight="1">
      <c r="A267" s="757" t="s">
        <v>5723</v>
      </c>
      <c r="B267" s="756" t="s">
        <v>6626</v>
      </c>
      <c r="C267" s="779" t="s">
        <v>5208</v>
      </c>
      <c r="D267" s="301"/>
    </row>
    <row r="268" spans="1:4" ht="15" customHeight="1">
      <c r="A268" s="757" t="s">
        <v>5723</v>
      </c>
      <c r="B268" s="756" t="s">
        <v>6627</v>
      </c>
      <c r="C268" s="779" t="s">
        <v>5208</v>
      </c>
      <c r="D268" s="301"/>
    </row>
    <row r="269" spans="1:4" ht="15" customHeight="1">
      <c r="A269" s="758" t="s">
        <v>3444</v>
      </c>
      <c r="B269" s="756" t="s">
        <v>3631</v>
      </c>
      <c r="C269" s="779" t="s">
        <v>5901</v>
      </c>
      <c r="D269" s="301"/>
    </row>
    <row r="270" spans="1:4" ht="15" customHeight="1">
      <c r="A270" s="758" t="s">
        <v>3444</v>
      </c>
      <c r="B270" s="756" t="s">
        <v>3632</v>
      </c>
      <c r="C270" s="779" t="s">
        <v>5901</v>
      </c>
      <c r="D270" s="301"/>
    </row>
    <row r="271" spans="1:4" ht="15" customHeight="1">
      <c r="A271" s="759" t="s">
        <v>3447</v>
      </c>
      <c r="B271" s="756" t="s">
        <v>3633</v>
      </c>
      <c r="C271" s="779" t="s">
        <v>3455</v>
      </c>
      <c r="D271" s="301"/>
    </row>
    <row r="272" spans="1:4" ht="15" customHeight="1">
      <c r="A272" s="759" t="s">
        <v>3447</v>
      </c>
      <c r="B272" s="756" t="s">
        <v>3634</v>
      </c>
      <c r="C272" s="779" t="s">
        <v>3455</v>
      </c>
      <c r="D272" s="301"/>
    </row>
    <row r="273" spans="1:4" ht="15" customHeight="1">
      <c r="A273" s="760" t="s">
        <v>3450</v>
      </c>
      <c r="B273" s="756" t="s">
        <v>3635</v>
      </c>
      <c r="C273" s="779" t="s">
        <v>5266</v>
      </c>
      <c r="D273" s="301"/>
    </row>
    <row r="274" spans="1:4" ht="15" customHeight="1">
      <c r="A274" s="760" t="s">
        <v>3450</v>
      </c>
      <c r="B274" s="756" t="s">
        <v>3636</v>
      </c>
      <c r="C274" s="779" t="s">
        <v>5266</v>
      </c>
      <c r="D274" s="301"/>
    </row>
    <row r="275" spans="1:4" ht="15" customHeight="1">
      <c r="A275" s="761" t="s">
        <v>3453</v>
      </c>
      <c r="B275" s="756" t="s">
        <v>3637</v>
      </c>
      <c r="C275" s="779" t="s">
        <v>5902</v>
      </c>
      <c r="D275" s="301"/>
    </row>
    <row r="276" spans="1:4" ht="15" customHeight="1">
      <c r="A276" s="761" t="s">
        <v>3453</v>
      </c>
      <c r="B276" s="756" t="s">
        <v>3638</v>
      </c>
      <c r="C276" s="779" t="s">
        <v>5902</v>
      </c>
      <c r="D276" s="301"/>
    </row>
    <row r="277" spans="1:4" ht="15" customHeight="1">
      <c r="A277" s="761"/>
      <c r="B277" s="756"/>
      <c r="C277" s="779"/>
      <c r="D277" s="301"/>
    </row>
    <row r="278" spans="1:4" ht="15" customHeight="1">
      <c r="A278" s="764"/>
      <c r="B278" s="775" t="s">
        <v>3639</v>
      </c>
      <c r="C278" s="779"/>
      <c r="D278" s="301"/>
    </row>
    <row r="279" spans="1:4" ht="15" customHeight="1">
      <c r="A279" s="777" t="s">
        <v>3640</v>
      </c>
      <c r="B279" s="756"/>
      <c r="C279" s="779"/>
      <c r="D279" s="301"/>
    </row>
    <row r="280" spans="1:4" ht="15" customHeight="1">
      <c r="A280" s="755"/>
      <c r="B280" s="756"/>
      <c r="C280" s="779"/>
      <c r="D280" s="301"/>
    </row>
    <row r="281" spans="1:4" ht="15" customHeight="1">
      <c r="A281" s="755" t="s">
        <v>2675</v>
      </c>
      <c r="B281" s="756" t="s">
        <v>3641</v>
      </c>
      <c r="C281" s="779" t="s">
        <v>3486</v>
      </c>
      <c r="D281" s="301"/>
    </row>
    <row r="282" spans="1:4" ht="15" customHeight="1">
      <c r="A282" s="755" t="s">
        <v>2675</v>
      </c>
      <c r="B282" s="766" t="s">
        <v>3642</v>
      </c>
      <c r="C282" s="779" t="s">
        <v>3486</v>
      </c>
      <c r="D282" s="301"/>
    </row>
    <row r="283" spans="1:4" ht="15" customHeight="1">
      <c r="A283" s="755" t="s">
        <v>2675</v>
      </c>
      <c r="B283" s="766" t="s">
        <v>3643</v>
      </c>
      <c r="C283" s="779" t="s">
        <v>3486</v>
      </c>
      <c r="D283" s="301"/>
    </row>
    <row r="284" spans="1:4" ht="15" customHeight="1">
      <c r="A284" s="755" t="s">
        <v>2675</v>
      </c>
      <c r="B284" s="766" t="s">
        <v>3644</v>
      </c>
      <c r="C284" s="779" t="s">
        <v>3486</v>
      </c>
      <c r="D284" s="301"/>
    </row>
    <row r="285" spans="1:4" ht="15" customHeight="1">
      <c r="A285" s="755" t="s">
        <v>2675</v>
      </c>
      <c r="B285" s="766" t="s">
        <v>3645</v>
      </c>
      <c r="C285" s="779" t="s">
        <v>3486</v>
      </c>
      <c r="D285" s="301"/>
    </row>
    <row r="286" spans="1:4" ht="15" customHeight="1">
      <c r="A286" s="755" t="s">
        <v>2675</v>
      </c>
      <c r="B286" s="766" t="s">
        <v>3646</v>
      </c>
      <c r="C286" s="779" t="s">
        <v>3486</v>
      </c>
      <c r="D286" s="301"/>
    </row>
    <row r="287" spans="1:4" ht="15" customHeight="1">
      <c r="A287" s="755" t="s">
        <v>2675</v>
      </c>
      <c r="B287" s="766" t="s">
        <v>3647</v>
      </c>
      <c r="C287" s="779" t="s">
        <v>3486</v>
      </c>
      <c r="D287" s="301"/>
    </row>
    <row r="288" spans="1:4" ht="15" customHeight="1">
      <c r="A288" s="755" t="s">
        <v>2675</v>
      </c>
      <c r="B288" s="766" t="s">
        <v>3648</v>
      </c>
      <c r="C288" s="779" t="s">
        <v>3486</v>
      </c>
      <c r="D288" s="301"/>
    </row>
    <row r="289" spans="1:4" ht="15" customHeight="1">
      <c r="A289" s="755" t="s">
        <v>2675</v>
      </c>
      <c r="B289" s="766" t="s">
        <v>3649</v>
      </c>
      <c r="C289" s="779" t="s">
        <v>3486</v>
      </c>
      <c r="D289" s="301"/>
    </row>
    <row r="290" spans="1:4" ht="15" customHeight="1">
      <c r="A290" s="755" t="s">
        <v>2675</v>
      </c>
      <c r="B290" s="766" t="s">
        <v>3650</v>
      </c>
      <c r="C290" s="779" t="s">
        <v>3486</v>
      </c>
      <c r="D290" s="301"/>
    </row>
    <row r="291" spans="1:4" ht="15" customHeight="1">
      <c r="A291" s="755" t="s">
        <v>2675</v>
      </c>
      <c r="B291" s="766" t="s">
        <v>3651</v>
      </c>
      <c r="C291" s="779" t="s">
        <v>3486</v>
      </c>
      <c r="D291" s="301"/>
    </row>
    <row r="292" spans="1:4" ht="15" customHeight="1">
      <c r="A292" s="755" t="s">
        <v>2675</v>
      </c>
      <c r="B292" s="766" t="s">
        <v>3652</v>
      </c>
      <c r="C292" s="779" t="s">
        <v>3486</v>
      </c>
      <c r="D292" s="301"/>
    </row>
    <row r="293" spans="1:4" ht="15" customHeight="1">
      <c r="A293" s="757" t="s">
        <v>5723</v>
      </c>
      <c r="B293" s="757" t="s">
        <v>3653</v>
      </c>
      <c r="C293" s="779" t="s">
        <v>3452</v>
      </c>
      <c r="D293" s="301"/>
    </row>
    <row r="294" spans="1:4" ht="15" customHeight="1">
      <c r="A294" s="757" t="s">
        <v>5723</v>
      </c>
      <c r="B294" s="757" t="s">
        <v>3654</v>
      </c>
      <c r="C294" s="779" t="s">
        <v>3452</v>
      </c>
      <c r="D294" s="301"/>
    </row>
    <row r="295" spans="1:4" ht="15" customHeight="1">
      <c r="A295" s="757" t="s">
        <v>5723</v>
      </c>
      <c r="B295" s="757" t="s">
        <v>3655</v>
      </c>
      <c r="C295" s="779" t="s">
        <v>3452</v>
      </c>
      <c r="D295" s="301"/>
    </row>
    <row r="296" spans="1:4" ht="15" customHeight="1">
      <c r="A296" s="757" t="s">
        <v>5723</v>
      </c>
      <c r="B296" s="757" t="s">
        <v>3656</v>
      </c>
      <c r="C296" s="779" t="s">
        <v>3452</v>
      </c>
      <c r="D296" s="301"/>
    </row>
    <row r="297" spans="1:4" ht="15" customHeight="1">
      <c r="A297" s="757" t="s">
        <v>5723</v>
      </c>
      <c r="B297" s="757" t="s">
        <v>3657</v>
      </c>
      <c r="C297" s="779" t="s">
        <v>3452</v>
      </c>
      <c r="D297" s="301"/>
    </row>
    <row r="298" spans="1:4" ht="15" customHeight="1">
      <c r="A298" s="757" t="s">
        <v>5723</v>
      </c>
      <c r="B298" s="757" t="s">
        <v>3658</v>
      </c>
      <c r="C298" s="779" t="s">
        <v>3452</v>
      </c>
      <c r="D298" s="301"/>
    </row>
    <row r="299" spans="1:4" ht="15" customHeight="1">
      <c r="A299" s="757" t="s">
        <v>5723</v>
      </c>
      <c r="B299" s="757" t="s">
        <v>3659</v>
      </c>
      <c r="C299" s="779" t="s">
        <v>3452</v>
      </c>
      <c r="D299" s="301"/>
    </row>
    <row r="300" spans="1:4" ht="15" customHeight="1">
      <c r="A300" s="757" t="s">
        <v>5723</v>
      </c>
      <c r="B300" s="757" t="s">
        <v>3660</v>
      </c>
      <c r="C300" s="779" t="s">
        <v>3452</v>
      </c>
      <c r="D300" s="301"/>
    </row>
    <row r="301" spans="1:4" ht="15" customHeight="1">
      <c r="A301" s="757" t="s">
        <v>5723</v>
      </c>
      <c r="B301" s="757" t="s">
        <v>3661</v>
      </c>
      <c r="C301" s="779" t="s">
        <v>3452</v>
      </c>
      <c r="D301" s="301"/>
    </row>
    <row r="302" spans="1:4" ht="15" customHeight="1">
      <c r="A302" s="757" t="s">
        <v>5723</v>
      </c>
      <c r="B302" s="757" t="s">
        <v>3662</v>
      </c>
      <c r="C302" s="779" t="s">
        <v>3452</v>
      </c>
      <c r="D302" s="301"/>
    </row>
    <row r="303" spans="1:4" ht="15" customHeight="1">
      <c r="A303" s="757" t="s">
        <v>5723</v>
      </c>
      <c r="B303" s="757" t="s">
        <v>3663</v>
      </c>
      <c r="C303" s="779" t="s">
        <v>3452</v>
      </c>
      <c r="D303" s="301"/>
    </row>
    <row r="304" spans="1:4" ht="15" customHeight="1">
      <c r="A304" s="757" t="s">
        <v>5723</v>
      </c>
      <c r="B304" s="757" t="s">
        <v>3664</v>
      </c>
      <c r="C304" s="779" t="s">
        <v>3452</v>
      </c>
      <c r="D304" s="301"/>
    </row>
    <row r="305" spans="1:4" ht="15" customHeight="1">
      <c r="A305" s="757" t="s">
        <v>5723</v>
      </c>
      <c r="B305" s="757" t="s">
        <v>3665</v>
      </c>
      <c r="C305" s="779" t="s">
        <v>3452</v>
      </c>
      <c r="D305" s="301"/>
    </row>
    <row r="306" spans="1:4" ht="15" customHeight="1">
      <c r="A306" s="757" t="s">
        <v>5723</v>
      </c>
      <c r="B306" s="757" t="s">
        <v>3666</v>
      </c>
      <c r="C306" s="779" t="s">
        <v>3452</v>
      </c>
      <c r="D306" s="301"/>
    </row>
    <row r="307" spans="1:4" ht="15" customHeight="1">
      <c r="A307" s="757" t="s">
        <v>5723</v>
      </c>
      <c r="B307" s="757" t="s">
        <v>3667</v>
      </c>
      <c r="C307" s="779" t="s">
        <v>3452</v>
      </c>
      <c r="D307" s="301"/>
    </row>
    <row r="308" spans="1:4" ht="15" customHeight="1">
      <c r="A308" s="757" t="s">
        <v>5723</v>
      </c>
      <c r="B308" s="757" t="s">
        <v>3668</v>
      </c>
      <c r="C308" s="779" t="s">
        <v>3452</v>
      </c>
      <c r="D308" s="301"/>
    </row>
    <row r="309" spans="1:4" ht="15" customHeight="1">
      <c r="A309" s="757" t="s">
        <v>5723</v>
      </c>
      <c r="B309" s="757" t="s">
        <v>3669</v>
      </c>
      <c r="C309" s="779" t="s">
        <v>3452</v>
      </c>
      <c r="D309" s="301"/>
    </row>
    <row r="310" spans="1:4" ht="15" customHeight="1">
      <c r="A310" s="757" t="s">
        <v>5723</v>
      </c>
      <c r="B310" s="757" t="s">
        <v>3670</v>
      </c>
      <c r="C310" s="779" t="s">
        <v>3452</v>
      </c>
      <c r="D310" s="301"/>
    </row>
    <row r="311" spans="1:4" ht="15" customHeight="1">
      <c r="A311" s="757" t="s">
        <v>5723</v>
      </c>
      <c r="B311" s="757" t="s">
        <v>3671</v>
      </c>
      <c r="C311" s="779" t="s">
        <v>3452</v>
      </c>
      <c r="D311" s="301"/>
    </row>
    <row r="312" spans="1:4" ht="15" customHeight="1">
      <c r="A312" s="757" t="s">
        <v>5723</v>
      </c>
      <c r="B312" s="757" t="s">
        <v>3672</v>
      </c>
      <c r="C312" s="779" t="s">
        <v>3452</v>
      </c>
      <c r="D312" s="301"/>
    </row>
    <row r="313" spans="1:4" ht="15" customHeight="1">
      <c r="A313" s="757" t="s">
        <v>5723</v>
      </c>
      <c r="B313" s="757" t="s">
        <v>3673</v>
      </c>
      <c r="C313" s="779" t="s">
        <v>3452</v>
      </c>
      <c r="D313" s="301"/>
    </row>
    <row r="314" spans="1:4" ht="15" customHeight="1">
      <c r="A314" s="757" t="s">
        <v>5723</v>
      </c>
      <c r="B314" s="757" t="s">
        <v>3674</v>
      </c>
      <c r="C314" s="779" t="s">
        <v>3452</v>
      </c>
      <c r="D314" s="301"/>
    </row>
    <row r="315" spans="1:4" ht="15" customHeight="1">
      <c r="A315" s="757" t="s">
        <v>5723</v>
      </c>
      <c r="B315" s="757" t="s">
        <v>3675</v>
      </c>
      <c r="C315" s="779" t="s">
        <v>3452</v>
      </c>
      <c r="D315" s="301"/>
    </row>
    <row r="316" spans="1:4" ht="15" customHeight="1">
      <c r="A316" s="757" t="s">
        <v>5723</v>
      </c>
      <c r="B316" s="757" t="s">
        <v>3676</v>
      </c>
      <c r="C316" s="779" t="s">
        <v>3452</v>
      </c>
      <c r="D316" s="301"/>
    </row>
    <row r="317" spans="1:4" ht="15" customHeight="1">
      <c r="A317" s="757" t="s">
        <v>5723</v>
      </c>
      <c r="B317" s="757" t="s">
        <v>3677</v>
      </c>
      <c r="C317" s="779" t="s">
        <v>3452</v>
      </c>
      <c r="D317" s="301"/>
    </row>
    <row r="318" spans="1:4" ht="15" customHeight="1">
      <c r="A318" s="757" t="s">
        <v>5723</v>
      </c>
      <c r="B318" s="757" t="s">
        <v>3678</v>
      </c>
      <c r="C318" s="779" t="s">
        <v>3452</v>
      </c>
      <c r="D318" s="301"/>
    </row>
    <row r="319" spans="1:4" ht="15" customHeight="1">
      <c r="A319" s="757" t="s">
        <v>5723</v>
      </c>
      <c r="B319" s="757" t="s">
        <v>3679</v>
      </c>
      <c r="C319" s="779" t="s">
        <v>3452</v>
      </c>
      <c r="D319" s="301"/>
    </row>
    <row r="320" spans="1:4" ht="15" customHeight="1">
      <c r="A320" s="757" t="s">
        <v>5723</v>
      </c>
      <c r="B320" s="757" t="s">
        <v>3680</v>
      </c>
      <c r="C320" s="779" t="s">
        <v>3452</v>
      </c>
      <c r="D320" s="301"/>
    </row>
    <row r="321" spans="1:4" ht="15" customHeight="1">
      <c r="A321" s="757" t="s">
        <v>5723</v>
      </c>
      <c r="B321" s="757" t="s">
        <v>3681</v>
      </c>
      <c r="C321" s="779" t="s">
        <v>3452</v>
      </c>
      <c r="D321" s="301"/>
    </row>
    <row r="322" spans="1:4" ht="15" customHeight="1">
      <c r="A322" s="757" t="s">
        <v>5723</v>
      </c>
      <c r="B322" s="757" t="s">
        <v>3682</v>
      </c>
      <c r="C322" s="779" t="s">
        <v>3452</v>
      </c>
      <c r="D322" s="301"/>
    </row>
    <row r="323" spans="1:4" ht="15" customHeight="1">
      <c r="A323" s="757" t="s">
        <v>5723</v>
      </c>
      <c r="B323" s="757" t="s">
        <v>3683</v>
      </c>
      <c r="C323" s="779" t="s">
        <v>3452</v>
      </c>
      <c r="D323" s="301"/>
    </row>
    <row r="324" spans="1:4" ht="15" customHeight="1">
      <c r="A324" s="757" t="s">
        <v>5723</v>
      </c>
      <c r="B324" s="757" t="s">
        <v>3684</v>
      </c>
      <c r="C324" s="779" t="s">
        <v>3452</v>
      </c>
      <c r="D324" s="301"/>
    </row>
    <row r="325" spans="1:4" ht="15" customHeight="1">
      <c r="A325" s="757" t="s">
        <v>5723</v>
      </c>
      <c r="B325" s="757" t="s">
        <v>3685</v>
      </c>
      <c r="C325" s="779" t="s">
        <v>3452</v>
      </c>
      <c r="D325" s="301"/>
    </row>
    <row r="326" spans="1:4" ht="15" customHeight="1">
      <c r="A326" s="757" t="s">
        <v>5723</v>
      </c>
      <c r="B326" s="757" t="s">
        <v>3686</v>
      </c>
      <c r="C326" s="779" t="s">
        <v>3452</v>
      </c>
      <c r="D326" s="301"/>
    </row>
    <row r="327" spans="1:4" ht="15" customHeight="1">
      <c r="A327" s="757" t="s">
        <v>5723</v>
      </c>
      <c r="B327" s="757" t="s">
        <v>3687</v>
      </c>
      <c r="C327" s="779" t="s">
        <v>3452</v>
      </c>
      <c r="D327" s="301"/>
    </row>
    <row r="328" spans="1:4" ht="15" customHeight="1">
      <c r="A328" s="757" t="s">
        <v>5723</v>
      </c>
      <c r="B328" s="757" t="s">
        <v>3688</v>
      </c>
      <c r="C328" s="779" t="s">
        <v>3452</v>
      </c>
      <c r="D328" s="301"/>
    </row>
    <row r="329" spans="1:4" ht="15" customHeight="1">
      <c r="A329" s="757" t="s">
        <v>5723</v>
      </c>
      <c r="B329" s="757" t="s">
        <v>3689</v>
      </c>
      <c r="C329" s="779" t="s">
        <v>3452</v>
      </c>
      <c r="D329" s="301"/>
    </row>
    <row r="330" spans="1:4" ht="15" customHeight="1">
      <c r="A330" s="757" t="s">
        <v>5723</v>
      </c>
      <c r="B330" s="757" t="s">
        <v>3690</v>
      </c>
      <c r="C330" s="779" t="s">
        <v>3452</v>
      </c>
      <c r="D330" s="301"/>
    </row>
    <row r="331" spans="1:4" ht="15" customHeight="1">
      <c r="A331" s="757" t="s">
        <v>5723</v>
      </c>
      <c r="B331" s="757" t="s">
        <v>3691</v>
      </c>
      <c r="C331" s="779" t="s">
        <v>3452</v>
      </c>
      <c r="D331" s="301"/>
    </row>
    <row r="332" spans="1:4" ht="15" customHeight="1">
      <c r="A332" s="757" t="s">
        <v>5723</v>
      </c>
      <c r="B332" s="757" t="s">
        <v>3692</v>
      </c>
      <c r="C332" s="779" t="s">
        <v>3452</v>
      </c>
      <c r="D332" s="301"/>
    </row>
    <row r="333" spans="1:4" ht="15" customHeight="1">
      <c r="A333" s="757" t="s">
        <v>5723</v>
      </c>
      <c r="B333" s="757" t="s">
        <v>3693</v>
      </c>
      <c r="C333" s="779" t="s">
        <v>3452</v>
      </c>
      <c r="D333" s="301"/>
    </row>
    <row r="334" spans="1:4" ht="15" customHeight="1">
      <c r="A334" s="757" t="s">
        <v>5723</v>
      </c>
      <c r="B334" s="757" t="s">
        <v>3694</v>
      </c>
      <c r="C334" s="779" t="s">
        <v>3452</v>
      </c>
      <c r="D334" s="301"/>
    </row>
    <row r="335" spans="1:4" ht="15" customHeight="1">
      <c r="A335" s="757" t="s">
        <v>5723</v>
      </c>
      <c r="B335" s="757" t="s">
        <v>3695</v>
      </c>
      <c r="C335" s="779" t="s">
        <v>3452</v>
      </c>
      <c r="D335" s="301"/>
    </row>
    <row r="336" spans="1:4" ht="15" customHeight="1">
      <c r="A336" s="757" t="s">
        <v>5723</v>
      </c>
      <c r="B336" s="757" t="s">
        <v>3696</v>
      </c>
      <c r="C336" s="779" t="s">
        <v>3452</v>
      </c>
      <c r="D336" s="301"/>
    </row>
    <row r="337" spans="1:4" ht="15" customHeight="1">
      <c r="A337" s="757" t="s">
        <v>5723</v>
      </c>
      <c r="B337" s="757" t="s">
        <v>3697</v>
      </c>
      <c r="C337" s="779" t="s">
        <v>3452</v>
      </c>
      <c r="D337" s="301"/>
    </row>
    <row r="338" spans="1:4" ht="15" customHeight="1">
      <c r="A338" s="757" t="s">
        <v>5723</v>
      </c>
      <c r="B338" s="757" t="s">
        <v>3698</v>
      </c>
      <c r="C338" s="779" t="s">
        <v>3452</v>
      </c>
      <c r="D338" s="301"/>
    </row>
    <row r="339" spans="1:4" ht="15" customHeight="1">
      <c r="A339" s="757" t="s">
        <v>5723</v>
      </c>
      <c r="B339" s="757" t="s">
        <v>3699</v>
      </c>
      <c r="C339" s="779" t="s">
        <v>3452</v>
      </c>
      <c r="D339" s="301"/>
    </row>
    <row r="340" spans="1:4" ht="15" customHeight="1">
      <c r="A340" s="757" t="s">
        <v>5723</v>
      </c>
      <c r="B340" s="757" t="s">
        <v>3700</v>
      </c>
      <c r="C340" s="779" t="s">
        <v>3452</v>
      </c>
      <c r="D340" s="301"/>
    </row>
    <row r="341" spans="1:4" ht="15" customHeight="1">
      <c r="A341" s="757" t="s">
        <v>5723</v>
      </c>
      <c r="B341" s="757" t="s">
        <v>3701</v>
      </c>
      <c r="C341" s="779" t="s">
        <v>3452</v>
      </c>
      <c r="D341" s="301"/>
    </row>
    <row r="342" spans="1:4" ht="15" customHeight="1">
      <c r="A342" s="757" t="s">
        <v>5723</v>
      </c>
      <c r="B342" s="757" t="s">
        <v>3702</v>
      </c>
      <c r="C342" s="779" t="s">
        <v>3452</v>
      </c>
      <c r="D342" s="301"/>
    </row>
    <row r="343" spans="1:4" ht="15" customHeight="1">
      <c r="A343" s="757" t="s">
        <v>5723</v>
      </c>
      <c r="B343" s="757" t="s">
        <v>3703</v>
      </c>
      <c r="C343" s="779" t="s">
        <v>3452</v>
      </c>
      <c r="D343" s="301"/>
    </row>
    <row r="344" spans="1:4" ht="15" customHeight="1">
      <c r="A344" s="757" t="s">
        <v>5723</v>
      </c>
      <c r="B344" s="757" t="s">
        <v>3704</v>
      </c>
      <c r="C344" s="779" t="s">
        <v>3452</v>
      </c>
      <c r="D344" s="301"/>
    </row>
    <row r="345" spans="1:4" ht="15" customHeight="1">
      <c r="A345" s="757" t="s">
        <v>5723</v>
      </c>
      <c r="B345" s="757" t="s">
        <v>3705</v>
      </c>
      <c r="C345" s="779" t="s">
        <v>3452</v>
      </c>
      <c r="D345" s="301"/>
    </row>
    <row r="346" spans="1:4" ht="15" customHeight="1">
      <c r="A346" s="757" t="s">
        <v>5723</v>
      </c>
      <c r="B346" s="757" t="s">
        <v>3706</v>
      </c>
      <c r="C346" s="779" t="s">
        <v>3452</v>
      </c>
      <c r="D346" s="301"/>
    </row>
    <row r="347" spans="1:4" ht="15" customHeight="1">
      <c r="A347" s="757" t="s">
        <v>5723</v>
      </c>
      <c r="B347" s="757" t="s">
        <v>3707</v>
      </c>
      <c r="C347" s="779" t="s">
        <v>3452</v>
      </c>
      <c r="D347" s="301"/>
    </row>
    <row r="348" spans="1:4" ht="15" customHeight="1">
      <c r="A348" s="757" t="s">
        <v>5723</v>
      </c>
      <c r="B348" s="757" t="s">
        <v>3708</v>
      </c>
      <c r="C348" s="779" t="s">
        <v>3452</v>
      </c>
      <c r="D348" s="301"/>
    </row>
    <row r="349" spans="1:4" ht="15" customHeight="1">
      <c r="A349" s="757" t="s">
        <v>5723</v>
      </c>
      <c r="B349" s="757" t="s">
        <v>3709</v>
      </c>
      <c r="C349" s="779" t="s">
        <v>3452</v>
      </c>
      <c r="D349" s="301"/>
    </row>
    <row r="350" spans="1:4" ht="15" customHeight="1">
      <c r="A350" s="757" t="s">
        <v>5723</v>
      </c>
      <c r="B350" s="757" t="s">
        <v>3710</v>
      </c>
      <c r="C350" s="779" t="s">
        <v>3452</v>
      </c>
      <c r="D350" s="301"/>
    </row>
    <row r="351" spans="1:4" ht="15" customHeight="1">
      <c r="A351" s="757" t="s">
        <v>5723</v>
      </c>
      <c r="B351" s="757" t="s">
        <v>3711</v>
      </c>
      <c r="C351" s="779" t="s">
        <v>3452</v>
      </c>
      <c r="D351" s="301"/>
    </row>
    <row r="352" spans="1:4" ht="15" customHeight="1">
      <c r="A352" s="757" t="s">
        <v>5723</v>
      </c>
      <c r="B352" s="757" t="s">
        <v>3712</v>
      </c>
      <c r="C352" s="779" t="s">
        <v>3452</v>
      </c>
      <c r="D352" s="301"/>
    </row>
    <row r="353" spans="1:4" ht="15" customHeight="1">
      <c r="A353" s="757" t="s">
        <v>5723</v>
      </c>
      <c r="B353" s="757" t="s">
        <v>3713</v>
      </c>
      <c r="C353" s="779" t="s">
        <v>3452</v>
      </c>
      <c r="D353" s="301"/>
    </row>
    <row r="354" spans="1:4" ht="15" customHeight="1">
      <c r="A354" s="757" t="s">
        <v>5723</v>
      </c>
      <c r="B354" s="757" t="s">
        <v>3714</v>
      </c>
      <c r="C354" s="779" t="s">
        <v>3452</v>
      </c>
      <c r="D354" s="301"/>
    </row>
    <row r="355" spans="1:4" ht="15" customHeight="1">
      <c r="A355" s="757" t="s">
        <v>5723</v>
      </c>
      <c r="B355" s="757" t="s">
        <v>3715</v>
      </c>
      <c r="C355" s="779" t="s">
        <v>3452</v>
      </c>
      <c r="D355" s="301"/>
    </row>
    <row r="356" spans="1:4" ht="15" customHeight="1">
      <c r="A356" s="757" t="s">
        <v>5723</v>
      </c>
      <c r="B356" s="757" t="s">
        <v>3716</v>
      </c>
      <c r="C356" s="779" t="s">
        <v>3452</v>
      </c>
      <c r="D356" s="301"/>
    </row>
    <row r="357" spans="1:4" ht="15" customHeight="1">
      <c r="A357" s="757" t="s">
        <v>5723</v>
      </c>
      <c r="B357" s="757" t="s">
        <v>3717</v>
      </c>
      <c r="C357" s="779" t="s">
        <v>3452</v>
      </c>
      <c r="D357" s="301"/>
    </row>
    <row r="358" spans="1:4" ht="15" customHeight="1">
      <c r="A358" s="757" t="s">
        <v>5723</v>
      </c>
      <c r="B358" s="757" t="s">
        <v>3718</v>
      </c>
      <c r="C358" s="779" t="s">
        <v>3452</v>
      </c>
      <c r="D358" s="301"/>
    </row>
    <row r="359" spans="1:4" ht="15" customHeight="1">
      <c r="A359" s="757" t="s">
        <v>5723</v>
      </c>
      <c r="B359" s="757" t="s">
        <v>3719</v>
      </c>
      <c r="C359" s="779" t="s">
        <v>3452</v>
      </c>
      <c r="D359" s="301"/>
    </row>
    <row r="360" spans="1:4" ht="15" customHeight="1">
      <c r="A360" s="757" t="s">
        <v>5723</v>
      </c>
      <c r="B360" s="757" t="s">
        <v>3720</v>
      </c>
      <c r="C360" s="779" t="s">
        <v>3452</v>
      </c>
      <c r="D360" s="301"/>
    </row>
    <row r="361" spans="1:4" ht="15" customHeight="1">
      <c r="A361" s="757" t="s">
        <v>5723</v>
      </c>
      <c r="B361" s="757" t="s">
        <v>3721</v>
      </c>
      <c r="C361" s="779" t="s">
        <v>3452</v>
      </c>
      <c r="D361" s="301"/>
    </row>
    <row r="362" spans="1:4" ht="15" customHeight="1">
      <c r="A362" s="757" t="s">
        <v>5723</v>
      </c>
      <c r="B362" s="757" t="s">
        <v>3722</v>
      </c>
      <c r="C362" s="779" t="s">
        <v>3452</v>
      </c>
      <c r="D362" s="301"/>
    </row>
    <row r="363" spans="1:4" ht="15" customHeight="1">
      <c r="A363" s="757" t="s">
        <v>5723</v>
      </c>
      <c r="B363" s="757" t="s">
        <v>3723</v>
      </c>
      <c r="C363" s="779" t="s">
        <v>3452</v>
      </c>
      <c r="D363" s="301"/>
    </row>
    <row r="364" spans="1:4" ht="15" customHeight="1">
      <c r="A364" s="757" t="s">
        <v>5723</v>
      </c>
      <c r="B364" s="757" t="s">
        <v>3724</v>
      </c>
      <c r="C364" s="779" t="s">
        <v>3452</v>
      </c>
      <c r="D364" s="301"/>
    </row>
    <row r="365" spans="1:4" ht="15" customHeight="1">
      <c r="A365" s="757" t="s">
        <v>5723</v>
      </c>
      <c r="B365" s="757" t="s">
        <v>3725</v>
      </c>
      <c r="C365" s="779" t="s">
        <v>3452</v>
      </c>
      <c r="D365" s="301"/>
    </row>
    <row r="366" spans="1:4" ht="15" customHeight="1">
      <c r="A366" s="757" t="s">
        <v>5723</v>
      </c>
      <c r="B366" s="757" t="s">
        <v>3726</v>
      </c>
      <c r="C366" s="779" t="s">
        <v>3452</v>
      </c>
      <c r="D366" s="301"/>
    </row>
    <row r="367" spans="1:4" ht="15" customHeight="1">
      <c r="A367" s="757" t="s">
        <v>5723</v>
      </c>
      <c r="B367" s="757" t="s">
        <v>3727</v>
      </c>
      <c r="C367" s="779" t="s">
        <v>3452</v>
      </c>
      <c r="D367" s="301"/>
    </row>
    <row r="368" spans="1:4" ht="15" customHeight="1">
      <c r="A368" s="757" t="s">
        <v>5723</v>
      </c>
      <c r="B368" s="757" t="s">
        <v>3728</v>
      </c>
      <c r="C368" s="779" t="s">
        <v>3452</v>
      </c>
      <c r="D368" s="301"/>
    </row>
    <row r="369" spans="1:4" ht="15" customHeight="1">
      <c r="A369" s="757" t="s">
        <v>5723</v>
      </c>
      <c r="B369" s="757" t="s">
        <v>3729</v>
      </c>
      <c r="C369" s="779" t="s">
        <v>3452</v>
      </c>
      <c r="D369" s="301"/>
    </row>
    <row r="370" spans="1:4" ht="15" customHeight="1">
      <c r="A370" s="757" t="s">
        <v>5723</v>
      </c>
      <c r="B370" s="757" t="s">
        <v>3730</v>
      </c>
      <c r="C370" s="779" t="s">
        <v>3452</v>
      </c>
      <c r="D370" s="301"/>
    </row>
    <row r="371" spans="1:4" ht="15" customHeight="1">
      <c r="A371" s="757" t="s">
        <v>5723</v>
      </c>
      <c r="B371" s="757" t="s">
        <v>3731</v>
      </c>
      <c r="C371" s="779" t="s">
        <v>3452</v>
      </c>
      <c r="D371" s="301"/>
    </row>
    <row r="372" spans="1:4" ht="15" customHeight="1">
      <c r="A372" s="757" t="s">
        <v>5723</v>
      </c>
      <c r="B372" s="757" t="s">
        <v>3732</v>
      </c>
      <c r="C372" s="779" t="s">
        <v>3452</v>
      </c>
      <c r="D372" s="301"/>
    </row>
    <row r="373" spans="1:4" ht="15" customHeight="1">
      <c r="A373" s="757" t="s">
        <v>5723</v>
      </c>
      <c r="B373" s="757" t="s">
        <v>3733</v>
      </c>
      <c r="C373" s="779" t="s">
        <v>3452</v>
      </c>
      <c r="D373" s="301"/>
    </row>
    <row r="374" spans="1:4" ht="15" customHeight="1">
      <c r="A374" s="757" t="s">
        <v>5723</v>
      </c>
      <c r="B374" s="757" t="s">
        <v>3734</v>
      </c>
      <c r="C374" s="779" t="s">
        <v>3452</v>
      </c>
      <c r="D374" s="301"/>
    </row>
    <row r="375" spans="1:4" ht="15" customHeight="1">
      <c r="A375" s="757" t="s">
        <v>5723</v>
      </c>
      <c r="B375" s="757" t="s">
        <v>3735</v>
      </c>
      <c r="C375" s="779" t="s">
        <v>3452</v>
      </c>
      <c r="D375" s="301"/>
    </row>
    <row r="376" spans="1:4" ht="15" customHeight="1">
      <c r="A376" s="757" t="s">
        <v>5723</v>
      </c>
      <c r="B376" s="757" t="s">
        <v>3736</v>
      </c>
      <c r="C376" s="779" t="s">
        <v>3452</v>
      </c>
      <c r="D376" s="301"/>
    </row>
    <row r="377" spans="1:4" ht="15" customHeight="1">
      <c r="A377" s="757" t="s">
        <v>5723</v>
      </c>
      <c r="B377" s="757" t="s">
        <v>3737</v>
      </c>
      <c r="C377" s="779" t="s">
        <v>3452</v>
      </c>
      <c r="D377" s="301"/>
    </row>
    <row r="378" spans="1:4" ht="15" customHeight="1">
      <c r="A378" s="757" t="s">
        <v>5723</v>
      </c>
      <c r="B378" s="757" t="s">
        <v>3738</v>
      </c>
      <c r="C378" s="779" t="s">
        <v>3452</v>
      </c>
      <c r="D378" s="301"/>
    </row>
    <row r="379" spans="1:4" ht="15" customHeight="1">
      <c r="A379" s="757" t="s">
        <v>5723</v>
      </c>
      <c r="B379" s="757" t="s">
        <v>3739</v>
      </c>
      <c r="C379" s="779" t="s">
        <v>3452</v>
      </c>
      <c r="D379" s="301"/>
    </row>
    <row r="380" spans="1:4" ht="15" customHeight="1">
      <c r="A380" s="757" t="s">
        <v>5723</v>
      </c>
      <c r="B380" s="757" t="s">
        <v>3740</v>
      </c>
      <c r="C380" s="779" t="s">
        <v>3452</v>
      </c>
      <c r="D380" s="301"/>
    </row>
    <row r="381" spans="1:4" ht="15" customHeight="1">
      <c r="A381" s="758" t="s">
        <v>3444</v>
      </c>
      <c r="B381" s="758" t="s">
        <v>3741</v>
      </c>
      <c r="C381" s="779" t="s">
        <v>3514</v>
      </c>
      <c r="D381" s="301"/>
    </row>
    <row r="382" spans="1:4" ht="15" customHeight="1">
      <c r="A382" s="758" t="s">
        <v>3444</v>
      </c>
      <c r="B382" s="758" t="s">
        <v>3742</v>
      </c>
      <c r="C382" s="779" t="s">
        <v>3514</v>
      </c>
      <c r="D382" s="301"/>
    </row>
    <row r="383" spans="1:4" ht="15" customHeight="1">
      <c r="A383" s="758" t="s">
        <v>3444</v>
      </c>
      <c r="B383" s="758" t="s">
        <v>3743</v>
      </c>
      <c r="C383" s="779" t="s">
        <v>3514</v>
      </c>
      <c r="D383" s="301"/>
    </row>
    <row r="384" spans="1:4" ht="15" customHeight="1">
      <c r="A384" s="758" t="s">
        <v>3444</v>
      </c>
      <c r="B384" s="758" t="s">
        <v>3744</v>
      </c>
      <c r="C384" s="779" t="s">
        <v>3514</v>
      </c>
      <c r="D384" s="301"/>
    </row>
    <row r="385" spans="1:4" ht="15" customHeight="1">
      <c r="A385" s="758" t="s">
        <v>3444</v>
      </c>
      <c r="B385" s="758" t="s">
        <v>3745</v>
      </c>
      <c r="C385" s="779" t="s">
        <v>3514</v>
      </c>
      <c r="D385" s="301"/>
    </row>
    <row r="386" spans="1:4" ht="15" customHeight="1">
      <c r="A386" s="758" t="s">
        <v>3444</v>
      </c>
      <c r="B386" s="758" t="s">
        <v>3746</v>
      </c>
      <c r="C386" s="779" t="s">
        <v>3514</v>
      </c>
      <c r="D386" s="301"/>
    </row>
    <row r="387" spans="1:4" ht="15" customHeight="1">
      <c r="A387" s="758" t="s">
        <v>3444</v>
      </c>
      <c r="B387" s="758" t="s">
        <v>3747</v>
      </c>
      <c r="C387" s="779" t="s">
        <v>3514</v>
      </c>
      <c r="D387" s="301"/>
    </row>
    <row r="388" spans="1:4" ht="15" customHeight="1">
      <c r="A388" s="758" t="s">
        <v>3444</v>
      </c>
      <c r="B388" s="758" t="s">
        <v>3748</v>
      </c>
      <c r="C388" s="779" t="s">
        <v>3514</v>
      </c>
      <c r="D388" s="301"/>
    </row>
    <row r="389" spans="1:4" ht="15" customHeight="1">
      <c r="A389" s="758" t="s">
        <v>3444</v>
      </c>
      <c r="B389" s="758" t="s">
        <v>3749</v>
      </c>
      <c r="C389" s="779" t="s">
        <v>3514</v>
      </c>
      <c r="D389" s="301"/>
    </row>
    <row r="390" spans="1:4" ht="15" customHeight="1">
      <c r="A390" s="758" t="s">
        <v>3444</v>
      </c>
      <c r="B390" s="758" t="s">
        <v>3750</v>
      </c>
      <c r="C390" s="779" t="s">
        <v>3514</v>
      </c>
      <c r="D390" s="301"/>
    </row>
    <row r="391" spans="1:4" ht="15" customHeight="1">
      <c r="A391" s="758" t="s">
        <v>3444</v>
      </c>
      <c r="B391" s="758" t="s">
        <v>3751</v>
      </c>
      <c r="C391" s="779" t="s">
        <v>3514</v>
      </c>
      <c r="D391" s="301"/>
    </row>
    <row r="392" spans="1:4" ht="15" customHeight="1">
      <c r="A392" s="758" t="s">
        <v>3444</v>
      </c>
      <c r="B392" s="758" t="s">
        <v>3752</v>
      </c>
      <c r="C392" s="779" t="s">
        <v>3514</v>
      </c>
      <c r="D392" s="301"/>
    </row>
    <row r="393" spans="1:4" ht="15" customHeight="1">
      <c r="A393" s="758" t="s">
        <v>3444</v>
      </c>
      <c r="B393" s="758" t="s">
        <v>3753</v>
      </c>
      <c r="C393" s="779" t="s">
        <v>3514</v>
      </c>
      <c r="D393" s="301"/>
    </row>
    <row r="394" spans="1:4" ht="15" customHeight="1">
      <c r="A394" s="758" t="s">
        <v>3444</v>
      </c>
      <c r="B394" s="758" t="s">
        <v>3754</v>
      </c>
      <c r="C394" s="779" t="s">
        <v>3514</v>
      </c>
      <c r="D394" s="301"/>
    </row>
    <row r="395" spans="1:4" ht="15" customHeight="1">
      <c r="A395" s="758" t="s">
        <v>3444</v>
      </c>
      <c r="B395" s="758" t="s">
        <v>3755</v>
      </c>
      <c r="C395" s="779" t="s">
        <v>3514</v>
      </c>
      <c r="D395" s="301"/>
    </row>
    <row r="396" spans="1:4" ht="15" customHeight="1">
      <c r="A396" s="758" t="s">
        <v>3444</v>
      </c>
      <c r="B396" s="758" t="s">
        <v>3756</v>
      </c>
      <c r="C396" s="779" t="s">
        <v>3514</v>
      </c>
      <c r="D396" s="301"/>
    </row>
    <row r="397" spans="1:4" ht="15" customHeight="1">
      <c r="A397" s="758" t="s">
        <v>3444</v>
      </c>
      <c r="B397" s="758" t="s">
        <v>3757</v>
      </c>
      <c r="C397" s="779" t="s">
        <v>3514</v>
      </c>
      <c r="D397" s="301"/>
    </row>
    <row r="398" spans="1:4" ht="15" customHeight="1">
      <c r="A398" s="758" t="s">
        <v>3444</v>
      </c>
      <c r="B398" s="758" t="s">
        <v>3758</v>
      </c>
      <c r="C398" s="779" t="s">
        <v>3514</v>
      </c>
      <c r="D398" s="301"/>
    </row>
    <row r="399" spans="1:4" ht="15" customHeight="1">
      <c r="A399" s="758" t="s">
        <v>3444</v>
      </c>
      <c r="B399" s="758" t="s">
        <v>3759</v>
      </c>
      <c r="C399" s="779" t="s">
        <v>3514</v>
      </c>
      <c r="D399" s="301"/>
    </row>
    <row r="400" spans="1:4" ht="15" customHeight="1">
      <c r="A400" s="758" t="s">
        <v>3444</v>
      </c>
      <c r="B400" s="758" t="s">
        <v>3760</v>
      </c>
      <c r="C400" s="779" t="s">
        <v>3514</v>
      </c>
      <c r="D400" s="301"/>
    </row>
    <row r="401" spans="1:4" ht="15" customHeight="1">
      <c r="A401" s="758" t="s">
        <v>3444</v>
      </c>
      <c r="B401" s="758" t="s">
        <v>3761</v>
      </c>
      <c r="C401" s="779" t="s">
        <v>3514</v>
      </c>
      <c r="D401" s="301"/>
    </row>
    <row r="402" spans="1:4" ht="15" customHeight="1">
      <c r="A402" s="758" t="s">
        <v>3444</v>
      </c>
      <c r="B402" s="758" t="s">
        <v>3762</v>
      </c>
      <c r="C402" s="779" t="s">
        <v>3514</v>
      </c>
      <c r="D402" s="301"/>
    </row>
    <row r="403" spans="1:4" ht="15" customHeight="1">
      <c r="A403" s="758" t="s">
        <v>3444</v>
      </c>
      <c r="B403" s="758" t="s">
        <v>3763</v>
      </c>
      <c r="C403" s="779" t="s">
        <v>3514</v>
      </c>
      <c r="D403" s="301"/>
    </row>
    <row r="404" spans="1:4" ht="15" customHeight="1">
      <c r="A404" s="758" t="s">
        <v>3444</v>
      </c>
      <c r="B404" s="758" t="s">
        <v>3764</v>
      </c>
      <c r="C404" s="779" t="s">
        <v>3514</v>
      </c>
      <c r="D404" s="301"/>
    </row>
    <row r="405" spans="1:4" ht="15" customHeight="1">
      <c r="A405" s="758" t="s">
        <v>3444</v>
      </c>
      <c r="B405" s="758" t="s">
        <v>3765</v>
      </c>
      <c r="C405" s="779" t="s">
        <v>3514</v>
      </c>
      <c r="D405" s="301"/>
    </row>
    <row r="406" spans="1:4" ht="15" customHeight="1">
      <c r="A406" s="758" t="s">
        <v>3444</v>
      </c>
      <c r="B406" s="758" t="s">
        <v>3766</v>
      </c>
      <c r="C406" s="779" t="s">
        <v>3514</v>
      </c>
      <c r="D406" s="301"/>
    </row>
    <row r="407" spans="1:4" ht="15" customHeight="1">
      <c r="A407" s="758" t="s">
        <v>3444</v>
      </c>
      <c r="B407" s="758" t="s">
        <v>3767</v>
      </c>
      <c r="C407" s="779" t="s">
        <v>3514</v>
      </c>
      <c r="D407" s="301"/>
    </row>
    <row r="408" spans="1:4" ht="15" customHeight="1">
      <c r="A408" s="758" t="s">
        <v>3444</v>
      </c>
      <c r="B408" s="758" t="s">
        <v>3768</v>
      </c>
      <c r="C408" s="779" t="s">
        <v>3514</v>
      </c>
      <c r="D408" s="301"/>
    </row>
    <row r="409" spans="1:4" ht="15" customHeight="1">
      <c r="A409" s="758" t="s">
        <v>3444</v>
      </c>
      <c r="B409" s="758" t="s">
        <v>3769</v>
      </c>
      <c r="C409" s="779" t="s">
        <v>3514</v>
      </c>
      <c r="D409" s="301"/>
    </row>
    <row r="410" spans="1:4" ht="15" customHeight="1">
      <c r="A410" s="758" t="s">
        <v>3444</v>
      </c>
      <c r="B410" s="758" t="s">
        <v>3770</v>
      </c>
      <c r="C410" s="779" t="s">
        <v>3514</v>
      </c>
      <c r="D410" s="301"/>
    </row>
    <row r="411" spans="1:4" ht="15" customHeight="1">
      <c r="A411" s="758" t="s">
        <v>3444</v>
      </c>
      <c r="B411" s="758" t="s">
        <v>3771</v>
      </c>
      <c r="C411" s="779" t="s">
        <v>3514</v>
      </c>
      <c r="D411" s="301"/>
    </row>
    <row r="412" spans="1:4" ht="15" customHeight="1">
      <c r="A412" s="758" t="s">
        <v>3444</v>
      </c>
      <c r="B412" s="758" t="s">
        <v>3772</v>
      </c>
      <c r="C412" s="779" t="s">
        <v>3514</v>
      </c>
      <c r="D412" s="301"/>
    </row>
    <row r="413" spans="1:4" ht="15" customHeight="1">
      <c r="A413" s="758" t="s">
        <v>3444</v>
      </c>
      <c r="B413" s="758" t="s">
        <v>3773</v>
      </c>
      <c r="C413" s="779" t="s">
        <v>3514</v>
      </c>
      <c r="D413" s="301"/>
    </row>
    <row r="414" spans="1:4" ht="15" customHeight="1">
      <c r="A414" s="758" t="s">
        <v>3444</v>
      </c>
      <c r="B414" s="758" t="s">
        <v>3774</v>
      </c>
      <c r="C414" s="779" t="s">
        <v>3514</v>
      </c>
      <c r="D414" s="301"/>
    </row>
    <row r="415" spans="1:4" ht="15" customHeight="1">
      <c r="A415" s="758" t="s">
        <v>3444</v>
      </c>
      <c r="B415" s="758" t="s">
        <v>3775</v>
      </c>
      <c r="C415" s="779" t="s">
        <v>3514</v>
      </c>
      <c r="D415" s="301"/>
    </row>
    <row r="416" spans="1:4" ht="15" customHeight="1">
      <c r="A416" s="758" t="s">
        <v>3444</v>
      </c>
      <c r="B416" s="758" t="s">
        <v>3776</v>
      </c>
      <c r="C416" s="779" t="s">
        <v>3514</v>
      </c>
      <c r="D416" s="301"/>
    </row>
    <row r="417" spans="1:4" ht="15" customHeight="1">
      <c r="A417" s="758" t="s">
        <v>3444</v>
      </c>
      <c r="B417" s="758" t="s">
        <v>3777</v>
      </c>
      <c r="C417" s="779" t="s">
        <v>3514</v>
      </c>
      <c r="D417" s="301"/>
    </row>
    <row r="418" spans="1:4" ht="15" customHeight="1">
      <c r="A418" s="758" t="s">
        <v>3444</v>
      </c>
      <c r="B418" s="758" t="s">
        <v>3778</v>
      </c>
      <c r="C418" s="779" t="s">
        <v>3514</v>
      </c>
      <c r="D418" s="301"/>
    </row>
    <row r="419" spans="1:4" ht="15" customHeight="1">
      <c r="A419" s="758" t="s">
        <v>3444</v>
      </c>
      <c r="B419" s="758" t="s">
        <v>3779</v>
      </c>
      <c r="C419" s="779" t="s">
        <v>3514</v>
      </c>
      <c r="D419" s="301"/>
    </row>
    <row r="420" spans="1:4" ht="15" customHeight="1">
      <c r="A420" s="758" t="s">
        <v>3444</v>
      </c>
      <c r="B420" s="758" t="s">
        <v>3780</v>
      </c>
      <c r="C420" s="779" t="s">
        <v>3514</v>
      </c>
      <c r="D420" s="301"/>
    </row>
    <row r="421" spans="1:4" ht="15" customHeight="1">
      <c r="A421" s="758" t="s">
        <v>3444</v>
      </c>
      <c r="B421" s="758" t="s">
        <v>3781</v>
      </c>
      <c r="C421" s="779" t="s">
        <v>3514</v>
      </c>
      <c r="D421" s="301"/>
    </row>
    <row r="422" spans="1:4" ht="15" customHeight="1">
      <c r="A422" s="758" t="s">
        <v>3444</v>
      </c>
      <c r="B422" s="758" t="s">
        <v>3782</v>
      </c>
      <c r="C422" s="779" t="s">
        <v>3514</v>
      </c>
      <c r="D422" s="301"/>
    </row>
    <row r="423" spans="1:4" ht="15" customHeight="1">
      <c r="A423" s="758" t="s">
        <v>3444</v>
      </c>
      <c r="B423" s="758" t="s">
        <v>3783</v>
      </c>
      <c r="C423" s="779" t="s">
        <v>3514</v>
      </c>
      <c r="D423" s="301"/>
    </row>
    <row r="424" spans="1:4" ht="15" customHeight="1">
      <c r="A424" s="758" t="s">
        <v>3444</v>
      </c>
      <c r="B424" s="758" t="s">
        <v>3784</v>
      </c>
      <c r="C424" s="779" t="s">
        <v>3514</v>
      </c>
      <c r="D424" s="301"/>
    </row>
    <row r="425" spans="1:4" ht="15" customHeight="1">
      <c r="A425" s="758" t="s">
        <v>3444</v>
      </c>
      <c r="B425" s="758" t="s">
        <v>3785</v>
      </c>
      <c r="C425" s="779" t="s">
        <v>3514</v>
      </c>
      <c r="D425" s="301"/>
    </row>
    <row r="426" spans="1:4" ht="15" customHeight="1">
      <c r="A426" s="758" t="s">
        <v>3444</v>
      </c>
      <c r="B426" s="758" t="s">
        <v>3786</v>
      </c>
      <c r="C426" s="779" t="s">
        <v>3514</v>
      </c>
      <c r="D426" s="301"/>
    </row>
    <row r="427" spans="1:4" ht="15" customHeight="1">
      <c r="A427" s="758" t="s">
        <v>3444</v>
      </c>
      <c r="B427" s="758" t="s">
        <v>3787</v>
      </c>
      <c r="C427" s="779" t="s">
        <v>3514</v>
      </c>
      <c r="D427" s="301"/>
    </row>
    <row r="428" spans="1:4" ht="15" customHeight="1">
      <c r="A428" s="758" t="s">
        <v>3444</v>
      </c>
      <c r="B428" s="758" t="s">
        <v>3788</v>
      </c>
      <c r="C428" s="779" t="s">
        <v>3514</v>
      </c>
      <c r="D428" s="301"/>
    </row>
    <row r="429" spans="1:4" ht="15" customHeight="1">
      <c r="A429" s="758" t="s">
        <v>3444</v>
      </c>
      <c r="B429" s="758" t="s">
        <v>3789</v>
      </c>
      <c r="C429" s="779" t="s">
        <v>3514</v>
      </c>
      <c r="D429" s="301"/>
    </row>
    <row r="430" spans="1:4" ht="15" customHeight="1">
      <c r="A430" s="758" t="s">
        <v>3444</v>
      </c>
      <c r="B430" s="758" t="s">
        <v>3790</v>
      </c>
      <c r="C430" s="779" t="s">
        <v>3514</v>
      </c>
      <c r="D430" s="301"/>
    </row>
    <row r="431" spans="1:4" ht="15" customHeight="1">
      <c r="A431" s="758" t="s">
        <v>3444</v>
      </c>
      <c r="B431" s="758" t="s">
        <v>3791</v>
      </c>
      <c r="C431" s="779" t="s">
        <v>3514</v>
      </c>
      <c r="D431" s="301"/>
    </row>
    <row r="432" spans="1:4" ht="15" customHeight="1">
      <c r="A432" s="758" t="s">
        <v>3444</v>
      </c>
      <c r="B432" s="758" t="s">
        <v>3792</v>
      </c>
      <c r="C432" s="779" t="s">
        <v>3514</v>
      </c>
      <c r="D432" s="301"/>
    </row>
    <row r="433" spans="1:4" ht="15" customHeight="1">
      <c r="A433" s="758" t="s">
        <v>3444</v>
      </c>
      <c r="B433" s="758" t="s">
        <v>3793</v>
      </c>
      <c r="C433" s="779" t="s">
        <v>3514</v>
      </c>
      <c r="D433" s="301"/>
    </row>
    <row r="434" spans="1:4" ht="15" customHeight="1">
      <c r="A434" s="758" t="s">
        <v>3444</v>
      </c>
      <c r="B434" s="758" t="s">
        <v>3794</v>
      </c>
      <c r="C434" s="779" t="s">
        <v>3514</v>
      </c>
      <c r="D434" s="301"/>
    </row>
    <row r="435" spans="1:4" ht="15" customHeight="1">
      <c r="A435" s="758" t="s">
        <v>3444</v>
      </c>
      <c r="B435" s="758" t="s">
        <v>3795</v>
      </c>
      <c r="C435" s="779" t="s">
        <v>3514</v>
      </c>
      <c r="D435" s="301"/>
    </row>
    <row r="436" spans="1:4" ht="15" customHeight="1">
      <c r="A436" s="758" t="s">
        <v>3444</v>
      </c>
      <c r="B436" s="758" t="s">
        <v>3796</v>
      </c>
      <c r="C436" s="779" t="s">
        <v>3514</v>
      </c>
      <c r="D436" s="301"/>
    </row>
    <row r="437" spans="1:4" ht="15" customHeight="1">
      <c r="A437" s="758" t="s">
        <v>3444</v>
      </c>
      <c r="B437" s="758" t="s">
        <v>3797</v>
      </c>
      <c r="C437" s="779" t="s">
        <v>3514</v>
      </c>
      <c r="D437" s="301"/>
    </row>
    <row r="438" spans="1:4" ht="15" customHeight="1">
      <c r="A438" s="758" t="s">
        <v>3444</v>
      </c>
      <c r="B438" s="758" t="s">
        <v>3798</v>
      </c>
      <c r="C438" s="779" t="s">
        <v>3514</v>
      </c>
      <c r="D438" s="301"/>
    </row>
    <row r="439" spans="1:4" ht="15" customHeight="1">
      <c r="A439" s="758" t="s">
        <v>3444</v>
      </c>
      <c r="B439" s="758" t="s">
        <v>3799</v>
      </c>
      <c r="C439" s="779" t="s">
        <v>3514</v>
      </c>
      <c r="D439" s="301"/>
    </row>
    <row r="440" spans="1:4" ht="15" customHeight="1">
      <c r="A440" s="758" t="s">
        <v>3444</v>
      </c>
      <c r="B440" s="758" t="s">
        <v>3800</v>
      </c>
      <c r="C440" s="779" t="s">
        <v>3514</v>
      </c>
      <c r="D440" s="301"/>
    </row>
    <row r="441" spans="1:4" ht="15" customHeight="1">
      <c r="A441" s="758" t="s">
        <v>3444</v>
      </c>
      <c r="B441" s="758" t="s">
        <v>3801</v>
      </c>
      <c r="C441" s="779" t="s">
        <v>3514</v>
      </c>
      <c r="D441" s="301"/>
    </row>
    <row r="442" spans="1:4" ht="15" customHeight="1">
      <c r="A442" s="758" t="s">
        <v>3444</v>
      </c>
      <c r="B442" s="758" t="s">
        <v>3802</v>
      </c>
      <c r="C442" s="779" t="s">
        <v>3514</v>
      </c>
      <c r="D442" s="301"/>
    </row>
    <row r="443" spans="1:4" ht="15" customHeight="1">
      <c r="A443" s="758" t="s">
        <v>3444</v>
      </c>
      <c r="B443" s="758" t="s">
        <v>3803</v>
      </c>
      <c r="C443" s="779" t="s">
        <v>3514</v>
      </c>
      <c r="D443" s="301"/>
    </row>
    <row r="444" spans="1:4" ht="15" customHeight="1">
      <c r="A444" s="758" t="s">
        <v>3444</v>
      </c>
      <c r="B444" s="758" t="s">
        <v>3804</v>
      </c>
      <c r="C444" s="779" t="s">
        <v>3514</v>
      </c>
      <c r="D444" s="301"/>
    </row>
    <row r="445" spans="1:4" ht="15" customHeight="1">
      <c r="A445" s="758" t="s">
        <v>3444</v>
      </c>
      <c r="B445" s="758" t="s">
        <v>3805</v>
      </c>
      <c r="C445" s="779" t="s">
        <v>3514</v>
      </c>
      <c r="D445" s="301"/>
    </row>
    <row r="446" spans="1:4" ht="15" customHeight="1">
      <c r="A446" s="758" t="s">
        <v>3444</v>
      </c>
      <c r="B446" s="758" t="s">
        <v>3806</v>
      </c>
      <c r="C446" s="779" t="s">
        <v>3514</v>
      </c>
      <c r="D446" s="301"/>
    </row>
    <row r="447" spans="1:4" ht="15" customHeight="1">
      <c r="A447" s="758" t="s">
        <v>3444</v>
      </c>
      <c r="B447" s="758" t="s">
        <v>3807</v>
      </c>
      <c r="C447" s="779" t="s">
        <v>3514</v>
      </c>
      <c r="D447" s="301"/>
    </row>
    <row r="448" spans="1:4" ht="15" customHeight="1">
      <c r="A448" s="758" t="s">
        <v>3444</v>
      </c>
      <c r="B448" s="758" t="s">
        <v>3808</v>
      </c>
      <c r="C448" s="779" t="s">
        <v>3514</v>
      </c>
      <c r="D448" s="301"/>
    </row>
    <row r="449" spans="1:4" ht="15" customHeight="1">
      <c r="A449" s="758" t="s">
        <v>3444</v>
      </c>
      <c r="B449" s="758" t="s">
        <v>3809</v>
      </c>
      <c r="C449" s="779" t="s">
        <v>3514</v>
      </c>
      <c r="D449" s="301"/>
    </row>
    <row r="450" spans="1:4" ht="15" customHeight="1">
      <c r="A450" s="758" t="s">
        <v>3444</v>
      </c>
      <c r="B450" s="758" t="s">
        <v>3810</v>
      </c>
      <c r="C450" s="779" t="s">
        <v>3514</v>
      </c>
      <c r="D450" s="301"/>
    </row>
    <row r="451" spans="1:4" ht="15" customHeight="1">
      <c r="A451" s="758" t="s">
        <v>3444</v>
      </c>
      <c r="B451" s="758" t="s">
        <v>3811</v>
      </c>
      <c r="C451" s="779" t="s">
        <v>3514</v>
      </c>
      <c r="D451" s="301"/>
    </row>
    <row r="452" spans="1:4" ht="15" customHeight="1">
      <c r="A452" s="758" t="s">
        <v>3444</v>
      </c>
      <c r="B452" s="758" t="s">
        <v>3812</v>
      </c>
      <c r="C452" s="779" t="s">
        <v>3514</v>
      </c>
      <c r="D452" s="301"/>
    </row>
    <row r="453" spans="1:4" ht="15" customHeight="1">
      <c r="A453" s="758" t="s">
        <v>3444</v>
      </c>
      <c r="B453" s="758" t="s">
        <v>3813</v>
      </c>
      <c r="C453" s="779" t="s">
        <v>3514</v>
      </c>
      <c r="D453" s="301"/>
    </row>
    <row r="454" spans="1:4" ht="15" customHeight="1">
      <c r="A454" s="758" t="s">
        <v>3444</v>
      </c>
      <c r="B454" s="758" t="s">
        <v>3814</v>
      </c>
      <c r="C454" s="779" t="s">
        <v>3514</v>
      </c>
      <c r="D454" s="301"/>
    </row>
    <row r="455" spans="1:4" ht="15" customHeight="1">
      <c r="A455" s="758" t="s">
        <v>3444</v>
      </c>
      <c r="B455" s="758" t="s">
        <v>3815</v>
      </c>
      <c r="C455" s="779" t="s">
        <v>3514</v>
      </c>
      <c r="D455" s="301"/>
    </row>
    <row r="456" spans="1:4" ht="15" customHeight="1">
      <c r="A456" s="758" t="s">
        <v>3444</v>
      </c>
      <c r="B456" s="758" t="s">
        <v>3816</v>
      </c>
      <c r="C456" s="779" t="s">
        <v>3514</v>
      </c>
      <c r="D456" s="301"/>
    </row>
    <row r="457" spans="1:4" ht="15" customHeight="1">
      <c r="A457" s="758" t="s">
        <v>3444</v>
      </c>
      <c r="B457" s="758" t="s">
        <v>3817</v>
      </c>
      <c r="C457" s="779" t="s">
        <v>3514</v>
      </c>
      <c r="D457" s="301"/>
    </row>
    <row r="458" spans="1:4" ht="15" customHeight="1">
      <c r="A458" s="758" t="s">
        <v>3444</v>
      </c>
      <c r="B458" s="758" t="s">
        <v>3818</v>
      </c>
      <c r="C458" s="779" t="s">
        <v>3514</v>
      </c>
      <c r="D458" s="301"/>
    </row>
    <row r="459" spans="1:4" ht="15" customHeight="1">
      <c r="A459" s="758" t="s">
        <v>3444</v>
      </c>
      <c r="B459" s="758" t="s">
        <v>3819</v>
      </c>
      <c r="C459" s="779" t="s">
        <v>3514</v>
      </c>
      <c r="D459" s="301"/>
    </row>
    <row r="460" spans="1:4" ht="15" customHeight="1">
      <c r="A460" s="758" t="s">
        <v>3444</v>
      </c>
      <c r="B460" s="758" t="s">
        <v>3820</v>
      </c>
      <c r="C460" s="779" t="s">
        <v>3514</v>
      </c>
      <c r="D460" s="301"/>
    </row>
    <row r="461" spans="1:4" ht="15" customHeight="1">
      <c r="A461" s="758" t="s">
        <v>3444</v>
      </c>
      <c r="B461" s="758" t="s">
        <v>3821</v>
      </c>
      <c r="C461" s="779" t="s">
        <v>3514</v>
      </c>
      <c r="D461" s="301"/>
    </row>
    <row r="462" spans="1:4" ht="15" customHeight="1">
      <c r="A462" s="758" t="s">
        <v>3444</v>
      </c>
      <c r="B462" s="758" t="s">
        <v>3822</v>
      </c>
      <c r="C462" s="779" t="s">
        <v>3514</v>
      </c>
      <c r="D462" s="301"/>
    </row>
    <row r="463" spans="1:4" ht="15" customHeight="1">
      <c r="A463" s="758" t="s">
        <v>3444</v>
      </c>
      <c r="B463" s="758" t="s">
        <v>3823</v>
      </c>
      <c r="C463" s="779" t="s">
        <v>3514</v>
      </c>
      <c r="D463" s="301"/>
    </row>
    <row r="464" spans="1:4" ht="15" customHeight="1">
      <c r="A464" s="758" t="s">
        <v>3444</v>
      </c>
      <c r="B464" s="758" t="s">
        <v>3824</v>
      </c>
      <c r="C464" s="779" t="s">
        <v>3514</v>
      </c>
      <c r="D464" s="301"/>
    </row>
    <row r="465" spans="1:4" ht="15" customHeight="1">
      <c r="A465" s="758" t="s">
        <v>3444</v>
      </c>
      <c r="B465" s="758" t="s">
        <v>3825</v>
      </c>
      <c r="C465" s="779" t="s">
        <v>3514</v>
      </c>
      <c r="D465" s="301"/>
    </row>
    <row r="466" spans="1:4" ht="15" customHeight="1">
      <c r="A466" s="758" t="s">
        <v>3444</v>
      </c>
      <c r="B466" s="758" t="s">
        <v>3826</v>
      </c>
      <c r="C466" s="779" t="s">
        <v>3514</v>
      </c>
      <c r="D466" s="301"/>
    </row>
    <row r="467" spans="1:4" ht="15" customHeight="1">
      <c r="A467" s="758" t="s">
        <v>3444</v>
      </c>
      <c r="B467" s="758" t="s">
        <v>3827</v>
      </c>
      <c r="C467" s="779" t="s">
        <v>3514</v>
      </c>
      <c r="D467" s="301"/>
    </row>
    <row r="468" spans="1:4" ht="15" customHeight="1">
      <c r="A468" s="758" t="s">
        <v>3444</v>
      </c>
      <c r="B468" s="758" t="s">
        <v>3828</v>
      </c>
      <c r="C468" s="779" t="s">
        <v>3514</v>
      </c>
      <c r="D468" s="301"/>
    </row>
    <row r="469" spans="1:4" ht="15" customHeight="1">
      <c r="A469" s="758" t="s">
        <v>3444</v>
      </c>
      <c r="B469" s="758" t="s">
        <v>3829</v>
      </c>
      <c r="C469" s="779" t="s">
        <v>3514</v>
      </c>
      <c r="D469" s="301"/>
    </row>
    <row r="470" spans="1:4" ht="15" customHeight="1">
      <c r="A470" s="758" t="s">
        <v>3444</v>
      </c>
      <c r="B470" s="758" t="s">
        <v>3830</v>
      </c>
      <c r="C470" s="779" t="s">
        <v>3514</v>
      </c>
      <c r="D470" s="301"/>
    </row>
    <row r="471" spans="1:4" ht="15" customHeight="1">
      <c r="A471" s="758" t="s">
        <v>3444</v>
      </c>
      <c r="B471" s="758" t="s">
        <v>3831</v>
      </c>
      <c r="C471" s="779" t="s">
        <v>3514</v>
      </c>
      <c r="D471" s="301"/>
    </row>
    <row r="472" spans="1:4" ht="15" customHeight="1">
      <c r="A472" s="758" t="s">
        <v>3444</v>
      </c>
      <c r="B472" s="758" t="s">
        <v>3832</v>
      </c>
      <c r="C472" s="779" t="s">
        <v>3514</v>
      </c>
      <c r="D472" s="301"/>
    </row>
    <row r="473" spans="1:4" ht="15" customHeight="1">
      <c r="A473" s="758" t="s">
        <v>3444</v>
      </c>
      <c r="B473" s="758" t="s">
        <v>3833</v>
      </c>
      <c r="C473" s="779" t="s">
        <v>3514</v>
      </c>
      <c r="D473" s="301"/>
    </row>
    <row r="474" spans="1:4" ht="15" customHeight="1">
      <c r="A474" s="758" t="s">
        <v>3444</v>
      </c>
      <c r="B474" s="758" t="s">
        <v>3834</v>
      </c>
      <c r="C474" s="779" t="s">
        <v>3514</v>
      </c>
      <c r="D474" s="301"/>
    </row>
    <row r="475" spans="1:4" ht="15" customHeight="1">
      <c r="A475" s="758" t="s">
        <v>3444</v>
      </c>
      <c r="B475" s="758" t="s">
        <v>3835</v>
      </c>
      <c r="C475" s="779" t="s">
        <v>3514</v>
      </c>
      <c r="D475" s="301"/>
    </row>
    <row r="476" spans="1:4" ht="15" customHeight="1">
      <c r="A476" s="758" t="s">
        <v>3444</v>
      </c>
      <c r="B476" s="758" t="s">
        <v>3836</v>
      </c>
      <c r="C476" s="779" t="s">
        <v>3514</v>
      </c>
      <c r="D476" s="301"/>
    </row>
    <row r="477" spans="1:4" ht="15" customHeight="1">
      <c r="A477" s="758" t="s">
        <v>3444</v>
      </c>
      <c r="B477" s="758" t="s">
        <v>3837</v>
      </c>
      <c r="C477" s="779" t="s">
        <v>3514</v>
      </c>
      <c r="D477" s="301"/>
    </row>
    <row r="478" spans="1:4" ht="15" customHeight="1">
      <c r="A478" s="758" t="s">
        <v>3444</v>
      </c>
      <c r="B478" s="758" t="s">
        <v>3838</v>
      </c>
      <c r="C478" s="779" t="s">
        <v>3514</v>
      </c>
      <c r="D478" s="301"/>
    </row>
    <row r="479" spans="1:4" ht="15" customHeight="1">
      <c r="A479" s="758" t="s">
        <v>3444</v>
      </c>
      <c r="B479" s="758" t="s">
        <v>3839</v>
      </c>
      <c r="C479" s="779" t="s">
        <v>3514</v>
      </c>
      <c r="D479" s="301"/>
    </row>
    <row r="480" spans="1:4" ht="15" customHeight="1">
      <c r="A480" s="758" t="s">
        <v>3444</v>
      </c>
      <c r="B480" s="758" t="s">
        <v>3840</v>
      </c>
      <c r="C480" s="779" t="s">
        <v>3514</v>
      </c>
      <c r="D480" s="301"/>
    </row>
    <row r="481" spans="1:4" ht="15" customHeight="1">
      <c r="A481" s="758" t="s">
        <v>3444</v>
      </c>
      <c r="B481" s="758" t="s">
        <v>3841</v>
      </c>
      <c r="C481" s="779" t="s">
        <v>3514</v>
      </c>
      <c r="D481" s="301"/>
    </row>
    <row r="482" spans="1:4" ht="15" customHeight="1">
      <c r="A482" s="758" t="s">
        <v>3444</v>
      </c>
      <c r="B482" s="758" t="s">
        <v>3842</v>
      </c>
      <c r="C482" s="779" t="s">
        <v>3514</v>
      </c>
      <c r="D482" s="301"/>
    </row>
    <row r="483" spans="1:4" ht="15" customHeight="1">
      <c r="A483" s="758" t="s">
        <v>3444</v>
      </c>
      <c r="B483" s="758" t="s">
        <v>3843</v>
      </c>
      <c r="C483" s="779" t="s">
        <v>3514</v>
      </c>
      <c r="D483" s="301"/>
    </row>
    <row r="484" spans="1:4" ht="15" customHeight="1">
      <c r="A484" s="758" t="s">
        <v>3444</v>
      </c>
      <c r="B484" s="758" t="s">
        <v>3844</v>
      </c>
      <c r="C484" s="779" t="s">
        <v>3514</v>
      </c>
      <c r="D484" s="301"/>
    </row>
    <row r="485" spans="1:4" ht="15" customHeight="1">
      <c r="A485" s="758" t="s">
        <v>3444</v>
      </c>
      <c r="B485" s="758" t="s">
        <v>3845</v>
      </c>
      <c r="C485" s="779" t="s">
        <v>3514</v>
      </c>
      <c r="D485" s="301"/>
    </row>
    <row r="486" spans="1:4" ht="15" customHeight="1">
      <c r="A486" s="758" t="s">
        <v>3444</v>
      </c>
      <c r="B486" s="758" t="s">
        <v>3846</v>
      </c>
      <c r="C486" s="779" t="s">
        <v>3514</v>
      </c>
      <c r="D486" s="301"/>
    </row>
    <row r="487" spans="1:4" ht="15" customHeight="1">
      <c r="A487" s="758" t="s">
        <v>3444</v>
      </c>
      <c r="B487" s="758" t="s">
        <v>3847</v>
      </c>
      <c r="C487" s="779" t="s">
        <v>3514</v>
      </c>
      <c r="D487" s="301"/>
    </row>
    <row r="488" spans="1:4" ht="15" customHeight="1">
      <c r="A488" s="758" t="s">
        <v>3444</v>
      </c>
      <c r="B488" s="758" t="s">
        <v>3848</v>
      </c>
      <c r="C488" s="779" t="s">
        <v>3514</v>
      </c>
      <c r="D488" s="301"/>
    </row>
    <row r="489" spans="1:4" ht="15" customHeight="1">
      <c r="A489" s="758" t="s">
        <v>3444</v>
      </c>
      <c r="B489" s="758" t="s">
        <v>3849</v>
      </c>
      <c r="C489" s="779" t="s">
        <v>3514</v>
      </c>
      <c r="D489" s="301"/>
    </row>
    <row r="490" spans="1:4" ht="15" customHeight="1">
      <c r="A490" s="758" t="s">
        <v>3444</v>
      </c>
      <c r="B490" s="758" t="s">
        <v>3850</v>
      </c>
      <c r="C490" s="779" t="s">
        <v>3514</v>
      </c>
      <c r="D490" s="301"/>
    </row>
    <row r="491" spans="1:4" ht="15" customHeight="1">
      <c r="A491" s="758" t="s">
        <v>3444</v>
      </c>
      <c r="B491" s="758" t="s">
        <v>3851</v>
      </c>
      <c r="C491" s="779" t="s">
        <v>3514</v>
      </c>
      <c r="D491" s="301"/>
    </row>
    <row r="492" spans="1:4" ht="15" customHeight="1">
      <c r="A492" s="758" t="s">
        <v>3444</v>
      </c>
      <c r="B492" s="758" t="s">
        <v>3852</v>
      </c>
      <c r="C492" s="779" t="s">
        <v>3514</v>
      </c>
      <c r="D492" s="301"/>
    </row>
    <row r="493" spans="1:4" ht="15" customHeight="1">
      <c r="A493" s="758" t="s">
        <v>3444</v>
      </c>
      <c r="B493" s="758" t="s">
        <v>3853</v>
      </c>
      <c r="C493" s="779" t="s">
        <v>3514</v>
      </c>
      <c r="D493" s="301"/>
    </row>
    <row r="494" spans="1:4" ht="15" customHeight="1">
      <c r="A494" s="758" t="s">
        <v>3444</v>
      </c>
      <c r="B494" s="758" t="s">
        <v>3854</v>
      </c>
      <c r="C494" s="779" t="s">
        <v>3514</v>
      </c>
      <c r="D494" s="301"/>
    </row>
    <row r="495" spans="1:4" ht="15" customHeight="1">
      <c r="A495" s="758" t="s">
        <v>3444</v>
      </c>
      <c r="B495" s="758" t="s">
        <v>3855</v>
      </c>
      <c r="C495" s="779" t="s">
        <v>3514</v>
      </c>
      <c r="D495" s="301"/>
    </row>
    <row r="496" spans="1:4" ht="15" customHeight="1">
      <c r="A496" s="758" t="s">
        <v>3444</v>
      </c>
      <c r="B496" s="758" t="s">
        <v>3856</v>
      </c>
      <c r="C496" s="779" t="s">
        <v>3514</v>
      </c>
      <c r="D496" s="301"/>
    </row>
    <row r="497" spans="1:4" ht="15" customHeight="1">
      <c r="A497" s="758" t="s">
        <v>3444</v>
      </c>
      <c r="B497" s="758" t="s">
        <v>3857</v>
      </c>
      <c r="C497" s="779" t="s">
        <v>3514</v>
      </c>
      <c r="D497" s="301"/>
    </row>
    <row r="498" spans="1:4" ht="15" customHeight="1">
      <c r="A498" s="758" t="s">
        <v>3444</v>
      </c>
      <c r="B498" s="758" t="s">
        <v>3858</v>
      </c>
      <c r="C498" s="779" t="s">
        <v>3514</v>
      </c>
      <c r="D498" s="301"/>
    </row>
    <row r="499" spans="1:4" ht="15" customHeight="1">
      <c r="A499" s="758" t="s">
        <v>3444</v>
      </c>
      <c r="B499" s="758" t="s">
        <v>3859</v>
      </c>
      <c r="C499" s="779" t="s">
        <v>3514</v>
      </c>
      <c r="D499" s="301"/>
    </row>
    <row r="500" spans="1:4" ht="15" customHeight="1">
      <c r="A500" s="758" t="s">
        <v>3444</v>
      </c>
      <c r="B500" s="758" t="s">
        <v>3860</v>
      </c>
      <c r="C500" s="779" t="s">
        <v>3514</v>
      </c>
      <c r="D500" s="301"/>
    </row>
    <row r="501" spans="1:4" ht="15" customHeight="1">
      <c r="A501" s="758" t="s">
        <v>3444</v>
      </c>
      <c r="B501" s="758" t="s">
        <v>3861</v>
      </c>
      <c r="C501" s="779" t="s">
        <v>3514</v>
      </c>
      <c r="D501" s="301"/>
    </row>
    <row r="502" spans="1:4" ht="15" customHeight="1">
      <c r="A502" s="758" t="s">
        <v>3444</v>
      </c>
      <c r="B502" s="758" t="s">
        <v>3862</v>
      </c>
      <c r="C502" s="779" t="s">
        <v>3514</v>
      </c>
      <c r="D502" s="301"/>
    </row>
    <row r="503" spans="1:4" ht="15" customHeight="1">
      <c r="A503" s="758" t="s">
        <v>3444</v>
      </c>
      <c r="B503" s="758" t="s">
        <v>3863</v>
      </c>
      <c r="C503" s="779" t="s">
        <v>3514</v>
      </c>
      <c r="D503" s="301"/>
    </row>
    <row r="504" spans="1:4" ht="15" customHeight="1">
      <c r="A504" s="758" t="s">
        <v>3444</v>
      </c>
      <c r="B504" s="758" t="s">
        <v>3864</v>
      </c>
      <c r="C504" s="779" t="s">
        <v>3514</v>
      </c>
      <c r="D504" s="301"/>
    </row>
    <row r="505" spans="1:4" ht="15" customHeight="1">
      <c r="A505" s="758" t="s">
        <v>3444</v>
      </c>
      <c r="B505" s="758" t="s">
        <v>3865</v>
      </c>
      <c r="C505" s="779" t="s">
        <v>3514</v>
      </c>
      <c r="D505" s="301"/>
    </row>
    <row r="506" spans="1:4" ht="15" customHeight="1">
      <c r="A506" s="758" t="s">
        <v>3444</v>
      </c>
      <c r="B506" s="758" t="s">
        <v>3866</v>
      </c>
      <c r="C506" s="779" t="s">
        <v>3514</v>
      </c>
      <c r="D506" s="301"/>
    </row>
    <row r="507" spans="1:4" ht="15" customHeight="1">
      <c r="A507" s="758" t="s">
        <v>3444</v>
      </c>
      <c r="B507" s="758" t="s">
        <v>3867</v>
      </c>
      <c r="C507" s="779" t="s">
        <v>3514</v>
      </c>
      <c r="D507" s="301"/>
    </row>
    <row r="508" spans="1:4" ht="15" customHeight="1">
      <c r="A508" s="758" t="s">
        <v>3444</v>
      </c>
      <c r="B508" s="758" t="s">
        <v>3868</v>
      </c>
      <c r="C508" s="779" t="s">
        <v>3514</v>
      </c>
      <c r="D508" s="301"/>
    </row>
    <row r="509" spans="1:4" ht="15" customHeight="1">
      <c r="A509" s="758" t="s">
        <v>3444</v>
      </c>
      <c r="B509" s="758" t="s">
        <v>3869</v>
      </c>
      <c r="C509" s="779" t="s">
        <v>3514</v>
      </c>
      <c r="D509" s="301"/>
    </row>
    <row r="510" spans="1:4" ht="15" customHeight="1">
      <c r="A510" s="758" t="s">
        <v>3444</v>
      </c>
      <c r="B510" s="758" t="s">
        <v>3870</v>
      </c>
      <c r="C510" s="779" t="s">
        <v>3514</v>
      </c>
      <c r="D510" s="301"/>
    </row>
    <row r="511" spans="1:4" ht="15" customHeight="1">
      <c r="A511" s="758" t="s">
        <v>3444</v>
      </c>
      <c r="B511" s="758" t="s">
        <v>3871</v>
      </c>
      <c r="C511" s="779" t="s">
        <v>3514</v>
      </c>
      <c r="D511" s="301"/>
    </row>
    <row r="512" spans="1:4" ht="15" customHeight="1">
      <c r="A512" s="758" t="s">
        <v>3444</v>
      </c>
      <c r="B512" s="758" t="s">
        <v>3872</v>
      </c>
      <c r="C512" s="779" t="s">
        <v>3514</v>
      </c>
      <c r="D512" s="301"/>
    </row>
    <row r="513" spans="1:4" ht="15" customHeight="1">
      <c r="A513" s="758" t="s">
        <v>3444</v>
      </c>
      <c r="B513" s="758" t="s">
        <v>3873</v>
      </c>
      <c r="C513" s="779" t="s">
        <v>3514</v>
      </c>
      <c r="D513" s="301"/>
    </row>
    <row r="514" spans="1:4" ht="15" customHeight="1">
      <c r="A514" s="758" t="s">
        <v>3444</v>
      </c>
      <c r="B514" s="758" t="s">
        <v>3874</v>
      </c>
      <c r="C514" s="779" t="s">
        <v>3514</v>
      </c>
      <c r="D514" s="301"/>
    </row>
    <row r="515" spans="1:4" ht="15" customHeight="1">
      <c r="A515" s="758" t="s">
        <v>3444</v>
      </c>
      <c r="B515" s="758" t="s">
        <v>3875</v>
      </c>
      <c r="C515" s="779" t="s">
        <v>3514</v>
      </c>
      <c r="D515" s="301"/>
    </row>
    <row r="516" spans="1:4" ht="15" customHeight="1">
      <c r="A516" s="758" t="s">
        <v>3444</v>
      </c>
      <c r="B516" s="758" t="s">
        <v>3876</v>
      </c>
      <c r="C516" s="779" t="s">
        <v>3514</v>
      </c>
      <c r="D516" s="301"/>
    </row>
    <row r="517" spans="1:4" ht="15" customHeight="1">
      <c r="A517" s="758" t="s">
        <v>3444</v>
      </c>
      <c r="B517" s="758" t="s">
        <v>3877</v>
      </c>
      <c r="C517" s="779" t="s">
        <v>3514</v>
      </c>
      <c r="D517" s="301"/>
    </row>
    <row r="518" spans="1:4" ht="15" customHeight="1">
      <c r="A518" s="758" t="s">
        <v>3444</v>
      </c>
      <c r="B518" s="758" t="s">
        <v>3878</v>
      </c>
      <c r="C518" s="779" t="s">
        <v>3514</v>
      </c>
      <c r="D518" s="301"/>
    </row>
    <row r="519" spans="1:4" ht="15" customHeight="1">
      <c r="A519" s="758" t="s">
        <v>3444</v>
      </c>
      <c r="B519" s="758" t="s">
        <v>3879</v>
      </c>
      <c r="C519" s="779" t="s">
        <v>3514</v>
      </c>
      <c r="D519" s="301"/>
    </row>
    <row r="520" spans="1:4" ht="15" customHeight="1">
      <c r="A520" s="758" t="s">
        <v>3444</v>
      </c>
      <c r="B520" s="758" t="s">
        <v>3880</v>
      </c>
      <c r="C520" s="779" t="s">
        <v>3514</v>
      </c>
      <c r="D520" s="301"/>
    </row>
    <row r="521" spans="1:4" ht="15" customHeight="1">
      <c r="A521" s="758" t="s">
        <v>3444</v>
      </c>
      <c r="B521" s="758" t="s">
        <v>3881</v>
      </c>
      <c r="C521" s="779" t="s">
        <v>3514</v>
      </c>
      <c r="D521" s="301"/>
    </row>
    <row r="522" spans="1:4" ht="15" customHeight="1">
      <c r="A522" s="758" t="s">
        <v>3444</v>
      </c>
      <c r="B522" s="758" t="s">
        <v>3882</v>
      </c>
      <c r="C522" s="779" t="s">
        <v>3514</v>
      </c>
      <c r="D522" s="301"/>
    </row>
    <row r="523" spans="1:4" ht="15" customHeight="1">
      <c r="A523" s="758" t="s">
        <v>3444</v>
      </c>
      <c r="B523" s="758" t="s">
        <v>3883</v>
      </c>
      <c r="C523" s="779" t="s">
        <v>3514</v>
      </c>
      <c r="D523" s="301"/>
    </row>
    <row r="524" spans="1:4" ht="15" customHeight="1">
      <c r="A524" s="758" t="s">
        <v>3444</v>
      </c>
      <c r="B524" s="758" t="s">
        <v>3884</v>
      </c>
      <c r="C524" s="779" t="s">
        <v>3514</v>
      </c>
      <c r="D524" s="301"/>
    </row>
    <row r="525" spans="1:4" ht="15" customHeight="1">
      <c r="A525" s="758" t="s">
        <v>3444</v>
      </c>
      <c r="B525" s="758" t="s">
        <v>3885</v>
      </c>
      <c r="C525" s="779" t="s">
        <v>3514</v>
      </c>
      <c r="D525" s="301"/>
    </row>
    <row r="526" spans="1:4" ht="15" customHeight="1">
      <c r="A526" s="758" t="s">
        <v>3444</v>
      </c>
      <c r="B526" s="758" t="s">
        <v>3886</v>
      </c>
      <c r="C526" s="779" t="s">
        <v>3514</v>
      </c>
      <c r="D526" s="301"/>
    </row>
    <row r="527" spans="1:4" ht="15" customHeight="1">
      <c r="A527" s="758" t="s">
        <v>3444</v>
      </c>
      <c r="B527" s="758" t="s">
        <v>3887</v>
      </c>
      <c r="C527" s="779" t="s">
        <v>3514</v>
      </c>
      <c r="D527" s="301"/>
    </row>
    <row r="528" spans="1:4" ht="15" customHeight="1">
      <c r="A528" s="758" t="s">
        <v>3444</v>
      </c>
      <c r="B528" s="758" t="s">
        <v>3888</v>
      </c>
      <c r="C528" s="779" t="s">
        <v>3514</v>
      </c>
      <c r="D528" s="301"/>
    </row>
    <row r="529" spans="1:4" ht="15" customHeight="1">
      <c r="A529" s="758" t="s">
        <v>3444</v>
      </c>
      <c r="B529" s="758" t="s">
        <v>3889</v>
      </c>
      <c r="C529" s="779" t="s">
        <v>3514</v>
      </c>
      <c r="D529" s="301"/>
    </row>
    <row r="530" spans="1:4" ht="15" customHeight="1">
      <c r="A530" s="758" t="s">
        <v>3444</v>
      </c>
      <c r="B530" s="758" t="s">
        <v>3890</v>
      </c>
      <c r="C530" s="779" t="s">
        <v>3514</v>
      </c>
      <c r="D530" s="301"/>
    </row>
    <row r="531" spans="1:4" ht="15" customHeight="1">
      <c r="A531" s="758" t="s">
        <v>3444</v>
      </c>
      <c r="B531" s="758" t="s">
        <v>3891</v>
      </c>
      <c r="C531" s="779" t="s">
        <v>3514</v>
      </c>
      <c r="D531" s="301"/>
    </row>
    <row r="532" spans="1:4" ht="15" customHeight="1">
      <c r="A532" s="758" t="s">
        <v>3444</v>
      </c>
      <c r="B532" s="758" t="s">
        <v>3892</v>
      </c>
      <c r="C532" s="779" t="s">
        <v>3514</v>
      </c>
      <c r="D532" s="301"/>
    </row>
    <row r="533" spans="1:4" ht="15" customHeight="1">
      <c r="A533" s="758" t="s">
        <v>3444</v>
      </c>
      <c r="B533" s="758" t="s">
        <v>3761</v>
      </c>
      <c r="C533" s="779" t="s">
        <v>3514</v>
      </c>
      <c r="D533" s="301"/>
    </row>
    <row r="534" spans="1:4" ht="15" customHeight="1">
      <c r="A534" s="758" t="s">
        <v>3444</v>
      </c>
      <c r="B534" s="758" t="s">
        <v>3893</v>
      </c>
      <c r="C534" s="779" t="s">
        <v>3514</v>
      </c>
      <c r="D534" s="301"/>
    </row>
    <row r="535" spans="1:4" ht="15" customHeight="1">
      <c r="A535" s="758" t="s">
        <v>3444</v>
      </c>
      <c r="B535" s="758" t="s">
        <v>3894</v>
      </c>
      <c r="C535" s="779" t="s">
        <v>3514</v>
      </c>
      <c r="D535" s="301"/>
    </row>
    <row r="536" spans="1:4" ht="15" customHeight="1">
      <c r="A536" s="758" t="s">
        <v>3444</v>
      </c>
      <c r="B536" s="758" t="s">
        <v>3895</v>
      </c>
      <c r="C536" s="779" t="s">
        <v>3514</v>
      </c>
      <c r="D536" s="301"/>
    </row>
    <row r="537" spans="1:4" ht="15" customHeight="1">
      <c r="A537" s="758" t="s">
        <v>3444</v>
      </c>
      <c r="B537" s="758" t="s">
        <v>3896</v>
      </c>
      <c r="C537" s="779" t="s">
        <v>3514</v>
      </c>
      <c r="D537" s="301"/>
    </row>
    <row r="538" spans="1:4" ht="15" customHeight="1">
      <c r="A538" s="758" t="s">
        <v>3444</v>
      </c>
      <c r="B538" s="758" t="s">
        <v>3897</v>
      </c>
      <c r="C538" s="779" t="s">
        <v>3514</v>
      </c>
      <c r="D538" s="301"/>
    </row>
    <row r="539" spans="1:4" ht="15" customHeight="1">
      <c r="A539" s="758" t="s">
        <v>3444</v>
      </c>
      <c r="B539" s="758" t="s">
        <v>3898</v>
      </c>
      <c r="C539" s="779" t="s">
        <v>3514</v>
      </c>
      <c r="D539" s="301"/>
    </row>
    <row r="540" spans="1:4" ht="15" customHeight="1">
      <c r="A540" s="758" t="s">
        <v>3444</v>
      </c>
      <c r="B540" s="758" t="s">
        <v>3899</v>
      </c>
      <c r="C540" s="779" t="s">
        <v>3514</v>
      </c>
      <c r="D540" s="301"/>
    </row>
    <row r="541" spans="1:4" ht="15" customHeight="1">
      <c r="A541" s="758" t="s">
        <v>3444</v>
      </c>
      <c r="B541" s="758" t="s">
        <v>3900</v>
      </c>
      <c r="C541" s="779" t="s">
        <v>3514</v>
      </c>
      <c r="D541" s="301"/>
    </row>
    <row r="542" spans="1:4" ht="15" customHeight="1">
      <c r="A542" s="758" t="s">
        <v>3444</v>
      </c>
      <c r="B542" s="758" t="s">
        <v>3901</v>
      </c>
      <c r="C542" s="779" t="s">
        <v>3514</v>
      </c>
      <c r="D542" s="301"/>
    </row>
    <row r="543" spans="1:4" ht="15" customHeight="1">
      <c r="A543" s="758" t="s">
        <v>3444</v>
      </c>
      <c r="B543" s="758" t="s">
        <v>3902</v>
      </c>
      <c r="C543" s="779" t="s">
        <v>3514</v>
      </c>
      <c r="D543" s="301"/>
    </row>
    <row r="544" spans="1:4" ht="15" customHeight="1">
      <c r="A544" s="758" t="s">
        <v>3444</v>
      </c>
      <c r="B544" s="758" t="s">
        <v>3903</v>
      </c>
      <c r="C544" s="779" t="s">
        <v>3514</v>
      </c>
      <c r="D544" s="301"/>
    </row>
    <row r="545" spans="1:4" ht="15" customHeight="1">
      <c r="A545" s="758" t="s">
        <v>3444</v>
      </c>
      <c r="B545" s="758" t="s">
        <v>3904</v>
      </c>
      <c r="C545" s="779" t="s">
        <v>3514</v>
      </c>
      <c r="D545" s="301"/>
    </row>
    <row r="546" spans="1:4" ht="15" customHeight="1">
      <c r="A546" s="758" t="s">
        <v>3444</v>
      </c>
      <c r="B546" s="758" t="s">
        <v>3905</v>
      </c>
      <c r="C546" s="779" t="s">
        <v>3514</v>
      </c>
      <c r="D546" s="301"/>
    </row>
    <row r="547" spans="1:4" ht="15" customHeight="1">
      <c r="A547" s="758" t="s">
        <v>3444</v>
      </c>
      <c r="B547" s="758" t="s">
        <v>3906</v>
      </c>
      <c r="C547" s="779" t="s">
        <v>3514</v>
      </c>
      <c r="D547" s="301"/>
    </row>
    <row r="548" spans="1:4" ht="15" customHeight="1">
      <c r="A548" s="758" t="s">
        <v>3444</v>
      </c>
      <c r="B548" s="758" t="s">
        <v>3907</v>
      </c>
      <c r="C548" s="779" t="s">
        <v>3514</v>
      </c>
      <c r="D548" s="301"/>
    </row>
    <row r="549" spans="1:4" ht="15" customHeight="1">
      <c r="A549" s="758" t="s">
        <v>3444</v>
      </c>
      <c r="B549" s="758" t="s">
        <v>3908</v>
      </c>
      <c r="C549" s="779" t="s">
        <v>3514</v>
      </c>
      <c r="D549" s="301"/>
    </row>
    <row r="550" spans="1:4" ht="15" customHeight="1">
      <c r="A550" s="758" t="s">
        <v>3444</v>
      </c>
      <c r="B550" s="758" t="s">
        <v>3909</v>
      </c>
      <c r="C550" s="779" t="s">
        <v>3514</v>
      </c>
      <c r="D550" s="301"/>
    </row>
    <row r="551" spans="1:4" ht="15" customHeight="1">
      <c r="A551" s="758" t="s">
        <v>3444</v>
      </c>
      <c r="B551" s="758" t="s">
        <v>3910</v>
      </c>
      <c r="C551" s="779" t="s">
        <v>3514</v>
      </c>
      <c r="D551" s="301"/>
    </row>
    <row r="552" spans="1:4" ht="15" customHeight="1">
      <c r="A552" s="758" t="s">
        <v>3444</v>
      </c>
      <c r="B552" s="758" t="s">
        <v>3911</v>
      </c>
      <c r="C552" s="779" t="s">
        <v>3514</v>
      </c>
      <c r="D552" s="301"/>
    </row>
    <row r="553" spans="1:4" ht="15" customHeight="1">
      <c r="A553" s="758" t="s">
        <v>3444</v>
      </c>
      <c r="B553" s="758" t="s">
        <v>3912</v>
      </c>
      <c r="C553" s="779" t="s">
        <v>3514</v>
      </c>
      <c r="D553" s="301"/>
    </row>
    <row r="554" spans="1:4" ht="15" customHeight="1">
      <c r="A554" s="758" t="s">
        <v>3444</v>
      </c>
      <c r="B554" s="758" t="s">
        <v>3913</v>
      </c>
      <c r="C554" s="779" t="s">
        <v>3514</v>
      </c>
      <c r="D554" s="301"/>
    </row>
    <row r="555" spans="1:4" ht="15" customHeight="1">
      <c r="A555" s="759" t="s">
        <v>3447</v>
      </c>
      <c r="B555" s="759" t="s">
        <v>3914</v>
      </c>
      <c r="C555" s="779" t="s">
        <v>3622</v>
      </c>
      <c r="D555" s="301"/>
    </row>
    <row r="556" spans="1:4" ht="15" customHeight="1">
      <c r="A556" s="759" t="s">
        <v>3447</v>
      </c>
      <c r="B556" s="759" t="s">
        <v>3915</v>
      </c>
      <c r="C556" s="779" t="s">
        <v>3622</v>
      </c>
      <c r="D556" s="301"/>
    </row>
    <row r="557" spans="1:4" ht="15" customHeight="1">
      <c r="A557" s="759" t="s">
        <v>3447</v>
      </c>
      <c r="B557" s="759" t="s">
        <v>3916</v>
      </c>
      <c r="C557" s="779" t="s">
        <v>3622</v>
      </c>
      <c r="D557" s="301"/>
    </row>
    <row r="558" spans="1:4" ht="15" customHeight="1">
      <c r="A558" s="759" t="s">
        <v>3447</v>
      </c>
      <c r="B558" s="759" t="s">
        <v>3917</v>
      </c>
      <c r="C558" s="779" t="s">
        <v>3622</v>
      </c>
      <c r="D558" s="301"/>
    </row>
    <row r="559" spans="1:4" ht="15" customHeight="1">
      <c r="A559" s="759" t="s">
        <v>3447</v>
      </c>
      <c r="B559" s="759" t="s">
        <v>3918</v>
      </c>
      <c r="C559" s="779" t="s">
        <v>3622</v>
      </c>
      <c r="D559" s="301"/>
    </row>
    <row r="560" spans="1:4" ht="15" customHeight="1">
      <c r="A560" s="759" t="s">
        <v>3447</v>
      </c>
      <c r="B560" s="759" t="s">
        <v>3919</v>
      </c>
      <c r="C560" s="779" t="s">
        <v>3622</v>
      </c>
      <c r="D560" s="301"/>
    </row>
    <row r="561" spans="1:4" ht="15" customHeight="1">
      <c r="A561" s="759" t="s">
        <v>3447</v>
      </c>
      <c r="B561" s="759" t="s">
        <v>3920</v>
      </c>
      <c r="C561" s="779" t="s">
        <v>3622</v>
      </c>
      <c r="D561" s="301"/>
    </row>
    <row r="562" spans="1:4" ht="15" customHeight="1">
      <c r="A562" s="759" t="s">
        <v>3447</v>
      </c>
      <c r="B562" s="759" t="s">
        <v>3921</v>
      </c>
      <c r="C562" s="779" t="s">
        <v>3622</v>
      </c>
      <c r="D562" s="301"/>
    </row>
    <row r="563" spans="1:4" ht="15" customHeight="1">
      <c r="A563" s="759" t="s">
        <v>3447</v>
      </c>
      <c r="B563" s="759" t="s">
        <v>3922</v>
      </c>
      <c r="C563" s="779" t="s">
        <v>3622</v>
      </c>
      <c r="D563" s="301"/>
    </row>
    <row r="564" spans="1:4" ht="15" customHeight="1">
      <c r="A564" s="759" t="s">
        <v>3447</v>
      </c>
      <c r="B564" s="759" t="s">
        <v>3923</v>
      </c>
      <c r="C564" s="779" t="s">
        <v>3622</v>
      </c>
      <c r="D564" s="301"/>
    </row>
    <row r="565" spans="1:4" ht="15" customHeight="1">
      <c r="A565" s="759" t="s">
        <v>3447</v>
      </c>
      <c r="B565" s="759" t="s">
        <v>3924</v>
      </c>
      <c r="C565" s="779" t="s">
        <v>3622</v>
      </c>
      <c r="D565" s="301"/>
    </row>
    <row r="566" spans="1:4" ht="15" customHeight="1">
      <c r="A566" s="759" t="s">
        <v>3447</v>
      </c>
      <c r="B566" s="759" t="s">
        <v>3925</v>
      </c>
      <c r="C566" s="779" t="s">
        <v>3622</v>
      </c>
      <c r="D566" s="301"/>
    </row>
    <row r="567" spans="1:4" ht="15" customHeight="1">
      <c r="A567" s="759" t="s">
        <v>3447</v>
      </c>
      <c r="B567" s="759" t="s">
        <v>3926</v>
      </c>
      <c r="C567" s="779" t="s">
        <v>3622</v>
      </c>
      <c r="D567" s="301"/>
    </row>
    <row r="568" spans="1:4" ht="15" customHeight="1">
      <c r="A568" s="759" t="s">
        <v>3447</v>
      </c>
      <c r="B568" s="759" t="s">
        <v>3927</v>
      </c>
      <c r="C568" s="779" t="s">
        <v>3622</v>
      </c>
      <c r="D568" s="301"/>
    </row>
    <row r="569" spans="1:4" ht="15" customHeight="1">
      <c r="A569" s="759" t="s">
        <v>3447</v>
      </c>
      <c r="B569" s="759" t="s">
        <v>3928</v>
      </c>
      <c r="C569" s="779" t="s">
        <v>3622</v>
      </c>
      <c r="D569" s="301"/>
    </row>
    <row r="570" spans="1:4" ht="15" customHeight="1">
      <c r="A570" s="759" t="s">
        <v>3447</v>
      </c>
      <c r="B570" s="759" t="s">
        <v>3929</v>
      </c>
      <c r="C570" s="779" t="s">
        <v>3622</v>
      </c>
      <c r="D570" s="301"/>
    </row>
    <row r="571" spans="1:4" ht="15" customHeight="1">
      <c r="A571" s="759" t="s">
        <v>3447</v>
      </c>
      <c r="B571" s="759" t="s">
        <v>3930</v>
      </c>
      <c r="C571" s="779" t="s">
        <v>3622</v>
      </c>
      <c r="D571" s="301"/>
    </row>
    <row r="572" spans="1:4" ht="15" customHeight="1">
      <c r="A572" s="759" t="s">
        <v>3447</v>
      </c>
      <c r="B572" s="759" t="s">
        <v>3931</v>
      </c>
      <c r="C572" s="779" t="s">
        <v>3622</v>
      </c>
      <c r="D572" s="301"/>
    </row>
    <row r="573" spans="1:4" ht="15" customHeight="1">
      <c r="A573" s="759" t="s">
        <v>3447</v>
      </c>
      <c r="B573" s="759" t="s">
        <v>3932</v>
      </c>
      <c r="C573" s="779" t="s">
        <v>3622</v>
      </c>
      <c r="D573" s="301"/>
    </row>
    <row r="574" spans="1:4" ht="15" customHeight="1">
      <c r="A574" s="759" t="s">
        <v>3447</v>
      </c>
      <c r="B574" s="759" t="s">
        <v>3933</v>
      </c>
      <c r="C574" s="779" t="s">
        <v>3622</v>
      </c>
      <c r="D574" s="301"/>
    </row>
    <row r="575" spans="1:4" ht="15" customHeight="1">
      <c r="A575" s="759" t="s">
        <v>3447</v>
      </c>
      <c r="B575" s="759" t="s">
        <v>3934</v>
      </c>
      <c r="C575" s="779" t="s">
        <v>3622</v>
      </c>
      <c r="D575" s="301"/>
    </row>
    <row r="576" spans="1:4" ht="15" customHeight="1">
      <c r="A576" s="759" t="s">
        <v>3447</v>
      </c>
      <c r="B576" s="759" t="s">
        <v>3935</v>
      </c>
      <c r="C576" s="779" t="s">
        <v>3622</v>
      </c>
      <c r="D576" s="301"/>
    </row>
    <row r="577" spans="1:4" ht="15" customHeight="1">
      <c r="A577" s="759" t="s">
        <v>3447</v>
      </c>
      <c r="B577" s="759" t="s">
        <v>3936</v>
      </c>
      <c r="C577" s="779" t="s">
        <v>3622</v>
      </c>
      <c r="D577" s="301"/>
    </row>
    <row r="578" spans="1:4" ht="15" customHeight="1">
      <c r="A578" s="759" t="s">
        <v>3447</v>
      </c>
      <c r="B578" s="759" t="s">
        <v>3937</v>
      </c>
      <c r="C578" s="779" t="s">
        <v>3622</v>
      </c>
      <c r="D578" s="301"/>
    </row>
    <row r="579" spans="1:4" ht="15" customHeight="1">
      <c r="A579" s="759" t="s">
        <v>3447</v>
      </c>
      <c r="B579" s="759" t="s">
        <v>3938</v>
      </c>
      <c r="C579" s="779" t="s">
        <v>3622</v>
      </c>
      <c r="D579" s="301"/>
    </row>
    <row r="580" spans="1:4" ht="15" customHeight="1">
      <c r="A580" s="759" t="s">
        <v>3447</v>
      </c>
      <c r="B580" s="759" t="s">
        <v>3939</v>
      </c>
      <c r="C580" s="779" t="s">
        <v>3622</v>
      </c>
      <c r="D580" s="301"/>
    </row>
    <row r="581" spans="1:4" ht="15" customHeight="1">
      <c r="A581" s="759" t="s">
        <v>3447</v>
      </c>
      <c r="B581" s="759" t="s">
        <v>3940</v>
      </c>
      <c r="C581" s="779" t="s">
        <v>3622</v>
      </c>
      <c r="D581" s="301"/>
    </row>
    <row r="582" spans="1:4" ht="15" customHeight="1">
      <c r="A582" s="759" t="s">
        <v>3447</v>
      </c>
      <c r="B582" s="759" t="s">
        <v>3941</v>
      </c>
      <c r="C582" s="779" t="s">
        <v>3622</v>
      </c>
      <c r="D582" s="301"/>
    </row>
    <row r="583" spans="1:4" ht="15" customHeight="1">
      <c r="A583" s="759" t="s">
        <v>3447</v>
      </c>
      <c r="B583" s="759" t="s">
        <v>3942</v>
      </c>
      <c r="C583" s="779" t="s">
        <v>3622</v>
      </c>
      <c r="D583" s="301"/>
    </row>
    <row r="584" spans="1:4" ht="15" customHeight="1">
      <c r="A584" s="759" t="s">
        <v>3447</v>
      </c>
      <c r="B584" s="759" t="s">
        <v>3943</v>
      </c>
      <c r="C584" s="779" t="s">
        <v>3622</v>
      </c>
      <c r="D584" s="301"/>
    </row>
    <row r="585" spans="1:4" ht="15" customHeight="1">
      <c r="A585" s="759" t="s">
        <v>3447</v>
      </c>
      <c r="B585" s="759" t="s">
        <v>3944</v>
      </c>
      <c r="C585" s="779" t="s">
        <v>3622</v>
      </c>
      <c r="D585" s="301"/>
    </row>
    <row r="586" spans="1:4" ht="15" customHeight="1">
      <c r="A586" s="759" t="s">
        <v>3447</v>
      </c>
      <c r="B586" s="759" t="s">
        <v>3945</v>
      </c>
      <c r="C586" s="779" t="s">
        <v>3622</v>
      </c>
      <c r="D586" s="301"/>
    </row>
    <row r="587" spans="1:4" ht="15" customHeight="1">
      <c r="A587" s="759" t="s">
        <v>3447</v>
      </c>
      <c r="B587" s="759" t="s">
        <v>3946</v>
      </c>
      <c r="C587" s="779" t="s">
        <v>3622</v>
      </c>
      <c r="D587" s="301"/>
    </row>
    <row r="588" spans="1:4" ht="15" customHeight="1">
      <c r="A588" s="759" t="s">
        <v>3447</v>
      </c>
      <c r="B588" s="759" t="s">
        <v>3947</v>
      </c>
      <c r="C588" s="779" t="s">
        <v>3622</v>
      </c>
      <c r="D588" s="301"/>
    </row>
    <row r="589" spans="1:4" ht="15" customHeight="1">
      <c r="A589" s="759" t="s">
        <v>3447</v>
      </c>
      <c r="B589" s="759" t="s">
        <v>3948</v>
      </c>
      <c r="C589" s="779" t="s">
        <v>3622</v>
      </c>
      <c r="D589" s="301"/>
    </row>
    <row r="590" spans="1:4" ht="15" customHeight="1">
      <c r="A590" s="759" t="s">
        <v>3447</v>
      </c>
      <c r="B590" s="759" t="s">
        <v>3949</v>
      </c>
      <c r="C590" s="779" t="s">
        <v>3622</v>
      </c>
      <c r="D590" s="301"/>
    </row>
    <row r="591" spans="1:4" ht="15" customHeight="1">
      <c r="A591" s="759" t="s">
        <v>3447</v>
      </c>
      <c r="B591" s="759" t="s">
        <v>3950</v>
      </c>
      <c r="C591" s="779" t="s">
        <v>3622</v>
      </c>
      <c r="D591" s="301"/>
    </row>
    <row r="592" spans="1:4" ht="15" customHeight="1">
      <c r="A592" s="759" t="s">
        <v>3447</v>
      </c>
      <c r="B592" s="759" t="s">
        <v>3951</v>
      </c>
      <c r="C592" s="779" t="s">
        <v>3622</v>
      </c>
      <c r="D592" s="301"/>
    </row>
    <row r="593" spans="1:4" ht="15" customHeight="1">
      <c r="A593" s="759" t="s">
        <v>3447</v>
      </c>
      <c r="B593" s="759" t="s">
        <v>3952</v>
      </c>
      <c r="C593" s="779" t="s">
        <v>3622</v>
      </c>
      <c r="D593" s="301"/>
    </row>
    <row r="594" spans="1:4" ht="15" customHeight="1">
      <c r="A594" s="759" t="s">
        <v>3447</v>
      </c>
      <c r="B594" s="759" t="s">
        <v>3953</v>
      </c>
      <c r="C594" s="779" t="s">
        <v>3622</v>
      </c>
      <c r="D594" s="301"/>
    </row>
    <row r="595" spans="1:4" ht="15" customHeight="1">
      <c r="A595" s="759" t="s">
        <v>3447</v>
      </c>
      <c r="B595" s="759" t="s">
        <v>3954</v>
      </c>
      <c r="C595" s="779" t="s">
        <v>3622</v>
      </c>
      <c r="D595" s="301"/>
    </row>
    <row r="596" spans="1:4" ht="15" customHeight="1">
      <c r="A596" s="759" t="s">
        <v>3447</v>
      </c>
      <c r="B596" s="759" t="s">
        <v>3955</v>
      </c>
      <c r="C596" s="779" t="s">
        <v>3622</v>
      </c>
      <c r="D596" s="301"/>
    </row>
    <row r="597" spans="1:4" ht="15" customHeight="1">
      <c r="A597" s="759" t="s">
        <v>3447</v>
      </c>
      <c r="B597" s="759" t="s">
        <v>3956</v>
      </c>
      <c r="C597" s="779" t="s">
        <v>3622</v>
      </c>
      <c r="D597" s="301"/>
    </row>
    <row r="598" spans="1:4" ht="15" customHeight="1">
      <c r="A598" s="759" t="s">
        <v>3447</v>
      </c>
      <c r="B598" s="759" t="s">
        <v>3957</v>
      </c>
      <c r="C598" s="779" t="s">
        <v>3622</v>
      </c>
      <c r="D598" s="301"/>
    </row>
    <row r="599" spans="1:4" ht="15" customHeight="1">
      <c r="A599" s="759" t="s">
        <v>3447</v>
      </c>
      <c r="B599" s="759" t="s">
        <v>3958</v>
      </c>
      <c r="C599" s="779" t="s">
        <v>3622</v>
      </c>
      <c r="D599" s="301"/>
    </row>
    <row r="600" spans="1:4" ht="15" customHeight="1">
      <c r="A600" s="759" t="s">
        <v>3447</v>
      </c>
      <c r="B600" s="759" t="s">
        <v>3959</v>
      </c>
      <c r="C600" s="779" t="s">
        <v>3622</v>
      </c>
      <c r="D600" s="301"/>
    </row>
    <row r="601" spans="1:4" ht="15" customHeight="1">
      <c r="A601" s="759" t="s">
        <v>3447</v>
      </c>
      <c r="B601" s="759" t="s">
        <v>3960</v>
      </c>
      <c r="C601" s="779" t="s">
        <v>3622</v>
      </c>
      <c r="D601" s="301"/>
    </row>
    <row r="602" spans="1:4" ht="15" customHeight="1">
      <c r="A602" s="759" t="s">
        <v>3447</v>
      </c>
      <c r="B602" s="759" t="s">
        <v>3961</v>
      </c>
      <c r="C602" s="779" t="s">
        <v>3622</v>
      </c>
      <c r="D602" s="301"/>
    </row>
    <row r="603" spans="1:4" ht="15" customHeight="1">
      <c r="A603" s="759" t="s">
        <v>3447</v>
      </c>
      <c r="B603" s="759" t="s">
        <v>3962</v>
      </c>
      <c r="C603" s="779" t="s">
        <v>3622</v>
      </c>
      <c r="D603" s="301"/>
    </row>
    <row r="604" spans="1:4" ht="15" customHeight="1">
      <c r="A604" s="759" t="s">
        <v>3447</v>
      </c>
      <c r="B604" s="759" t="s">
        <v>3963</v>
      </c>
      <c r="C604" s="779" t="s">
        <v>3622</v>
      </c>
      <c r="D604" s="301"/>
    </row>
    <row r="605" spans="1:4" ht="15" customHeight="1">
      <c r="A605" s="759" t="s">
        <v>3447</v>
      </c>
      <c r="B605" s="759" t="s">
        <v>3964</v>
      </c>
      <c r="C605" s="779" t="s">
        <v>3622</v>
      </c>
      <c r="D605" s="301"/>
    </row>
    <row r="606" spans="1:4" ht="15" customHeight="1">
      <c r="A606" s="759" t="s">
        <v>3447</v>
      </c>
      <c r="B606" s="759" t="s">
        <v>5903</v>
      </c>
      <c r="C606" s="779" t="s">
        <v>3622</v>
      </c>
      <c r="D606" s="301"/>
    </row>
    <row r="607" spans="1:4" ht="15" customHeight="1">
      <c r="A607" s="759" t="s">
        <v>3447</v>
      </c>
      <c r="B607" s="759" t="s">
        <v>3965</v>
      </c>
      <c r="C607" s="779" t="s">
        <v>3622</v>
      </c>
      <c r="D607" s="301"/>
    </row>
    <row r="608" spans="1:4" ht="15" customHeight="1">
      <c r="A608" s="759" t="s">
        <v>3447</v>
      </c>
      <c r="B608" s="759" t="s">
        <v>3966</v>
      </c>
      <c r="C608" s="779" t="s">
        <v>3622</v>
      </c>
      <c r="D608" s="301"/>
    </row>
    <row r="609" spans="1:4" ht="15" customHeight="1">
      <c r="A609" s="759" t="s">
        <v>3447</v>
      </c>
      <c r="B609" s="759" t="s">
        <v>3967</v>
      </c>
      <c r="C609" s="779" t="s">
        <v>3622</v>
      </c>
      <c r="D609" s="301"/>
    </row>
    <row r="610" spans="1:4" ht="15" customHeight="1">
      <c r="A610" s="759" t="s">
        <v>3447</v>
      </c>
      <c r="B610" s="759" t="s">
        <v>3968</v>
      </c>
      <c r="C610" s="779" t="s">
        <v>3622</v>
      </c>
      <c r="D610" s="301"/>
    </row>
    <row r="611" spans="1:4" ht="15" customHeight="1">
      <c r="A611" s="759" t="s">
        <v>3447</v>
      </c>
      <c r="B611" s="759" t="s">
        <v>3969</v>
      </c>
      <c r="C611" s="779" t="s">
        <v>3622</v>
      </c>
      <c r="D611" s="301"/>
    </row>
    <row r="612" spans="1:4" ht="15" customHeight="1">
      <c r="A612" s="759" t="s">
        <v>3447</v>
      </c>
      <c r="B612" s="759" t="s">
        <v>3970</v>
      </c>
      <c r="C612" s="779" t="s">
        <v>3622</v>
      </c>
      <c r="D612" s="301"/>
    </row>
    <row r="613" spans="1:4" ht="15" customHeight="1">
      <c r="A613" s="759" t="s">
        <v>3447</v>
      </c>
      <c r="B613" s="759" t="s">
        <v>3971</v>
      </c>
      <c r="C613" s="779" t="s">
        <v>3622</v>
      </c>
      <c r="D613" s="301"/>
    </row>
    <row r="614" spans="1:4" ht="15" customHeight="1">
      <c r="A614" s="759" t="s">
        <v>3447</v>
      </c>
      <c r="B614" s="759" t="s">
        <v>3972</v>
      </c>
      <c r="C614" s="779" t="s">
        <v>3622</v>
      </c>
      <c r="D614" s="301"/>
    </row>
    <row r="615" spans="1:4" ht="15" customHeight="1">
      <c r="A615" s="759" t="s">
        <v>3447</v>
      </c>
      <c r="B615" s="759" t="s">
        <v>3973</v>
      </c>
      <c r="C615" s="779" t="s">
        <v>3622</v>
      </c>
      <c r="D615" s="301"/>
    </row>
    <row r="616" spans="1:4" ht="15" customHeight="1">
      <c r="A616" s="759" t="s">
        <v>3447</v>
      </c>
      <c r="B616" s="759" t="s">
        <v>3974</v>
      </c>
      <c r="C616" s="779" t="s">
        <v>3622</v>
      </c>
      <c r="D616" s="301"/>
    </row>
    <row r="617" spans="1:4" ht="15" customHeight="1">
      <c r="A617" s="759" t="s">
        <v>3447</v>
      </c>
      <c r="B617" s="759" t="s">
        <v>3975</v>
      </c>
      <c r="C617" s="779" t="s">
        <v>3622</v>
      </c>
      <c r="D617" s="301"/>
    </row>
    <row r="618" spans="1:4" ht="15" customHeight="1">
      <c r="A618" s="759" t="s">
        <v>3447</v>
      </c>
      <c r="B618" s="759" t="s">
        <v>3976</v>
      </c>
      <c r="C618" s="779" t="s">
        <v>3622</v>
      </c>
      <c r="D618" s="301"/>
    </row>
    <row r="619" spans="1:4" ht="15" customHeight="1">
      <c r="A619" s="759" t="s">
        <v>3447</v>
      </c>
      <c r="B619" s="759" t="s">
        <v>3977</v>
      </c>
      <c r="C619" s="779" t="s">
        <v>3622</v>
      </c>
      <c r="D619" s="301"/>
    </row>
    <row r="620" spans="1:4" ht="15" customHeight="1">
      <c r="A620" s="759" t="s">
        <v>3447</v>
      </c>
      <c r="B620" s="759" t="s">
        <v>3978</v>
      </c>
      <c r="C620" s="779" t="s">
        <v>3622</v>
      </c>
      <c r="D620" s="301"/>
    </row>
    <row r="621" spans="1:4" ht="15" customHeight="1">
      <c r="A621" s="759" t="s">
        <v>3447</v>
      </c>
      <c r="B621" s="759" t="s">
        <v>3979</v>
      </c>
      <c r="C621" s="779" t="s">
        <v>3622</v>
      </c>
      <c r="D621" s="301"/>
    </row>
    <row r="622" spans="1:4" ht="15" customHeight="1">
      <c r="A622" s="759" t="s">
        <v>3447</v>
      </c>
      <c r="B622" s="759" t="s">
        <v>3980</v>
      </c>
      <c r="C622" s="779" t="s">
        <v>3622</v>
      </c>
      <c r="D622" s="301"/>
    </row>
    <row r="623" spans="1:4" ht="15" customHeight="1">
      <c r="A623" s="759" t="s">
        <v>3447</v>
      </c>
      <c r="B623" s="759" t="s">
        <v>3981</v>
      </c>
      <c r="C623" s="779" t="s">
        <v>3622</v>
      </c>
      <c r="D623" s="301"/>
    </row>
    <row r="624" spans="1:4" ht="15" customHeight="1">
      <c r="A624" s="759" t="s">
        <v>3447</v>
      </c>
      <c r="B624" s="759" t="s">
        <v>3982</v>
      </c>
      <c r="C624" s="779" t="s">
        <v>3622</v>
      </c>
      <c r="D624" s="301"/>
    </row>
    <row r="625" spans="1:4" ht="15" customHeight="1">
      <c r="A625" s="759" t="s">
        <v>3447</v>
      </c>
      <c r="B625" s="759" t="s">
        <v>3983</v>
      </c>
      <c r="C625" s="779" t="s">
        <v>3622</v>
      </c>
      <c r="D625" s="301"/>
    </row>
    <row r="626" spans="1:4" ht="15" customHeight="1">
      <c r="A626" s="759" t="s">
        <v>3447</v>
      </c>
      <c r="B626" s="759" t="s">
        <v>3984</v>
      </c>
      <c r="C626" s="779" t="s">
        <v>3622</v>
      </c>
      <c r="D626" s="301"/>
    </row>
    <row r="627" spans="1:4" ht="15" customHeight="1">
      <c r="A627" s="759" t="s">
        <v>3447</v>
      </c>
      <c r="B627" s="759" t="s">
        <v>3985</v>
      </c>
      <c r="C627" s="779" t="s">
        <v>3622</v>
      </c>
      <c r="D627" s="301"/>
    </row>
    <row r="628" spans="1:4" ht="15" customHeight="1">
      <c r="A628" s="759" t="s">
        <v>3447</v>
      </c>
      <c r="B628" s="759" t="s">
        <v>3986</v>
      </c>
      <c r="C628" s="779" t="s">
        <v>3622</v>
      </c>
      <c r="D628" s="301"/>
    </row>
    <row r="629" spans="1:4" ht="15" customHeight="1">
      <c r="A629" s="759" t="s">
        <v>3447</v>
      </c>
      <c r="B629" s="759" t="s">
        <v>3987</v>
      </c>
      <c r="C629" s="779" t="s">
        <v>3622</v>
      </c>
      <c r="D629" s="301"/>
    </row>
    <row r="630" spans="1:4" ht="15" customHeight="1">
      <c r="A630" s="759" t="s">
        <v>3447</v>
      </c>
      <c r="B630" s="759" t="s">
        <v>3988</v>
      </c>
      <c r="C630" s="779" t="s">
        <v>3622</v>
      </c>
      <c r="D630" s="301"/>
    </row>
    <row r="631" spans="1:4" ht="15" customHeight="1">
      <c r="A631" s="759" t="s">
        <v>3447</v>
      </c>
      <c r="B631" s="759" t="s">
        <v>3989</v>
      </c>
      <c r="C631" s="779" t="s">
        <v>3622</v>
      </c>
      <c r="D631" s="301"/>
    </row>
    <row r="632" spans="1:4" ht="15" customHeight="1">
      <c r="A632" s="759" t="s">
        <v>3447</v>
      </c>
      <c r="B632" s="759" t="s">
        <v>3990</v>
      </c>
      <c r="C632" s="779" t="s">
        <v>3622</v>
      </c>
      <c r="D632" s="301"/>
    </row>
    <row r="633" spans="1:4" ht="15" customHeight="1">
      <c r="A633" s="759" t="s">
        <v>3447</v>
      </c>
      <c r="B633" s="759" t="s">
        <v>3991</v>
      </c>
      <c r="C633" s="779" t="s">
        <v>3622</v>
      </c>
      <c r="D633" s="301"/>
    </row>
    <row r="634" spans="1:4" ht="15" customHeight="1">
      <c r="A634" s="759" t="s">
        <v>3447</v>
      </c>
      <c r="B634" s="759" t="s">
        <v>3992</v>
      </c>
      <c r="C634" s="779" t="s">
        <v>3622</v>
      </c>
      <c r="D634" s="301"/>
    </row>
    <row r="635" spans="1:4" ht="15" customHeight="1">
      <c r="A635" s="759" t="s">
        <v>3447</v>
      </c>
      <c r="B635" s="759" t="s">
        <v>3993</v>
      </c>
      <c r="C635" s="779" t="s">
        <v>3622</v>
      </c>
      <c r="D635" s="301"/>
    </row>
    <row r="636" spans="1:4" ht="15" customHeight="1">
      <c r="A636" s="759" t="s">
        <v>3447</v>
      </c>
      <c r="B636" s="759" t="s">
        <v>3994</v>
      </c>
      <c r="C636" s="779" t="s">
        <v>3622</v>
      </c>
      <c r="D636" s="301"/>
    </row>
    <row r="637" spans="1:4" ht="15" customHeight="1">
      <c r="A637" s="759" t="s">
        <v>3447</v>
      </c>
      <c r="B637" s="759" t="s">
        <v>3995</v>
      </c>
      <c r="C637" s="779" t="s">
        <v>3622</v>
      </c>
      <c r="D637" s="301"/>
    </row>
    <row r="638" spans="1:4" ht="15" customHeight="1">
      <c r="A638" s="759" t="s">
        <v>3447</v>
      </c>
      <c r="B638" s="759" t="s">
        <v>3996</v>
      </c>
      <c r="C638" s="779" t="s">
        <v>3622</v>
      </c>
      <c r="D638" s="301"/>
    </row>
    <row r="639" spans="1:4" ht="15" customHeight="1">
      <c r="A639" s="759" t="s">
        <v>3447</v>
      </c>
      <c r="B639" s="759" t="s">
        <v>3997</v>
      </c>
      <c r="C639" s="779" t="s">
        <v>3622</v>
      </c>
      <c r="D639" s="301"/>
    </row>
    <row r="640" spans="1:4" ht="15" customHeight="1">
      <c r="A640" s="759" t="s">
        <v>3447</v>
      </c>
      <c r="B640" s="759" t="s">
        <v>3998</v>
      </c>
      <c r="C640" s="779" t="s">
        <v>3622</v>
      </c>
      <c r="D640" s="301"/>
    </row>
    <row r="641" spans="1:4" ht="15" customHeight="1">
      <c r="A641" s="759" t="s">
        <v>3447</v>
      </c>
      <c r="B641" s="759" t="s">
        <v>3999</v>
      </c>
      <c r="C641" s="779" t="s">
        <v>3622</v>
      </c>
      <c r="D641" s="301"/>
    </row>
    <row r="642" spans="1:4" ht="15" customHeight="1">
      <c r="A642" s="759" t="s">
        <v>3447</v>
      </c>
      <c r="B642" s="759" t="s">
        <v>4000</v>
      </c>
      <c r="C642" s="779" t="s">
        <v>3622</v>
      </c>
      <c r="D642" s="301"/>
    </row>
    <row r="643" spans="1:4" ht="15" customHeight="1">
      <c r="A643" s="759" t="s">
        <v>3447</v>
      </c>
      <c r="B643" s="759" t="s">
        <v>4001</v>
      </c>
      <c r="C643" s="779" t="s">
        <v>3622</v>
      </c>
      <c r="D643" s="301"/>
    </row>
    <row r="644" spans="1:4" ht="15" customHeight="1">
      <c r="A644" s="759" t="s">
        <v>3447</v>
      </c>
      <c r="B644" s="759" t="s">
        <v>4002</v>
      </c>
      <c r="C644" s="779" t="s">
        <v>3622</v>
      </c>
      <c r="D644" s="301"/>
    </row>
    <row r="645" spans="1:4" ht="15" customHeight="1">
      <c r="A645" s="759" t="s">
        <v>3447</v>
      </c>
      <c r="B645" s="759" t="s">
        <v>4003</v>
      </c>
      <c r="C645" s="779" t="s">
        <v>3622</v>
      </c>
      <c r="D645" s="301"/>
    </row>
    <row r="646" spans="1:4" ht="15" customHeight="1">
      <c r="A646" s="759" t="s">
        <v>3447</v>
      </c>
      <c r="B646" s="759" t="s">
        <v>4004</v>
      </c>
      <c r="C646" s="779" t="s">
        <v>3622</v>
      </c>
      <c r="D646" s="301"/>
    </row>
    <row r="647" spans="1:4" ht="15" customHeight="1">
      <c r="A647" s="759" t="s">
        <v>3447</v>
      </c>
      <c r="B647" s="759" t="s">
        <v>4005</v>
      </c>
      <c r="C647" s="779" t="s">
        <v>3622</v>
      </c>
      <c r="D647" s="301"/>
    </row>
    <row r="648" spans="1:4" ht="15" customHeight="1">
      <c r="A648" s="759" t="s">
        <v>3447</v>
      </c>
      <c r="B648" s="759" t="s">
        <v>4006</v>
      </c>
      <c r="C648" s="779" t="s">
        <v>3622</v>
      </c>
      <c r="D648" s="301"/>
    </row>
    <row r="649" spans="1:4" ht="15" customHeight="1">
      <c r="A649" s="759" t="s">
        <v>3447</v>
      </c>
      <c r="B649" s="759" t="s">
        <v>4007</v>
      </c>
      <c r="C649" s="779" t="s">
        <v>3622</v>
      </c>
      <c r="D649" s="301"/>
    </row>
    <row r="650" spans="1:4" ht="15" customHeight="1">
      <c r="A650" s="759" t="s">
        <v>3447</v>
      </c>
      <c r="B650" s="759" t="s">
        <v>4008</v>
      </c>
      <c r="C650" s="779" t="s">
        <v>3622</v>
      </c>
      <c r="D650" s="301"/>
    </row>
    <row r="651" spans="1:4" ht="15" customHeight="1">
      <c r="A651" s="759" t="s">
        <v>3447</v>
      </c>
      <c r="B651" s="759" t="s">
        <v>4009</v>
      </c>
      <c r="C651" s="779" t="s">
        <v>3622</v>
      </c>
      <c r="D651" s="301"/>
    </row>
    <row r="652" spans="1:4" ht="15" customHeight="1">
      <c r="A652" s="759" t="s">
        <v>3447</v>
      </c>
      <c r="B652" s="759" t="s">
        <v>4010</v>
      </c>
      <c r="C652" s="779" t="s">
        <v>3622</v>
      </c>
      <c r="D652" s="301"/>
    </row>
    <row r="653" spans="1:4" ht="15" customHeight="1">
      <c r="A653" s="759" t="s">
        <v>3447</v>
      </c>
      <c r="B653" s="759" t="s">
        <v>4011</v>
      </c>
      <c r="C653" s="779" t="s">
        <v>3622</v>
      </c>
      <c r="D653" s="301"/>
    </row>
    <row r="654" spans="1:4" ht="15" customHeight="1">
      <c r="A654" s="759" t="s">
        <v>3447</v>
      </c>
      <c r="B654" s="759" t="s">
        <v>4012</v>
      </c>
      <c r="C654" s="779" t="s">
        <v>3622</v>
      </c>
      <c r="D654" s="301"/>
    </row>
    <row r="655" spans="1:4" ht="15" customHeight="1">
      <c r="A655" s="759" t="s">
        <v>3447</v>
      </c>
      <c r="B655" s="759" t="s">
        <v>4013</v>
      </c>
      <c r="C655" s="779" t="s">
        <v>3622</v>
      </c>
      <c r="D655" s="301"/>
    </row>
    <row r="656" spans="1:4" ht="15" customHeight="1">
      <c r="A656" s="759" t="s">
        <v>3447</v>
      </c>
      <c r="B656" s="759" t="s">
        <v>4014</v>
      </c>
      <c r="C656" s="779" t="s">
        <v>3622</v>
      </c>
      <c r="D656" s="301"/>
    </row>
    <row r="657" spans="1:4" ht="15" customHeight="1">
      <c r="A657" s="759" t="s">
        <v>3447</v>
      </c>
      <c r="B657" s="759" t="s">
        <v>4015</v>
      </c>
      <c r="C657" s="779" t="s">
        <v>3622</v>
      </c>
      <c r="D657" s="301"/>
    </row>
    <row r="658" spans="1:4" ht="15" customHeight="1">
      <c r="A658" s="759" t="s">
        <v>3447</v>
      </c>
      <c r="B658" s="759" t="s">
        <v>4016</v>
      </c>
      <c r="C658" s="779" t="s">
        <v>3622</v>
      </c>
      <c r="D658" s="301"/>
    </row>
    <row r="659" spans="1:4" ht="15" customHeight="1">
      <c r="A659" s="759" t="s">
        <v>3447</v>
      </c>
      <c r="B659" s="759" t="s">
        <v>4017</v>
      </c>
      <c r="C659" s="779" t="s">
        <v>3622</v>
      </c>
      <c r="D659" s="301"/>
    </row>
    <row r="660" spans="1:4" ht="15" customHeight="1">
      <c r="A660" s="759" t="s">
        <v>3447</v>
      </c>
      <c r="B660" s="759" t="s">
        <v>4018</v>
      </c>
      <c r="C660" s="779" t="s">
        <v>3622</v>
      </c>
      <c r="D660" s="301"/>
    </row>
    <row r="661" spans="1:4" ht="15" customHeight="1">
      <c r="A661" s="759" t="s">
        <v>3447</v>
      </c>
      <c r="B661" s="759" t="s">
        <v>4019</v>
      </c>
      <c r="C661" s="779" t="s">
        <v>3622</v>
      </c>
      <c r="D661" s="301"/>
    </row>
    <row r="662" spans="1:4" ht="15" customHeight="1">
      <c r="A662" s="759" t="s">
        <v>3447</v>
      </c>
      <c r="B662" s="759" t="s">
        <v>4020</v>
      </c>
      <c r="C662" s="779" t="s">
        <v>3622</v>
      </c>
      <c r="D662" s="301"/>
    </row>
    <row r="663" spans="1:4" ht="15" customHeight="1">
      <c r="A663" s="759" t="s">
        <v>3447</v>
      </c>
      <c r="B663" s="759" t="s">
        <v>4021</v>
      </c>
      <c r="C663" s="779" t="s">
        <v>3622</v>
      </c>
      <c r="D663" s="301"/>
    </row>
    <row r="664" spans="1:4" ht="15" customHeight="1">
      <c r="A664" s="759" t="s">
        <v>3447</v>
      </c>
      <c r="B664" s="759" t="s">
        <v>4022</v>
      </c>
      <c r="C664" s="779" t="s">
        <v>3622</v>
      </c>
      <c r="D664" s="301"/>
    </row>
    <row r="665" spans="1:4" ht="15" customHeight="1">
      <c r="A665" s="759" t="s">
        <v>3447</v>
      </c>
      <c r="B665" s="759" t="s">
        <v>4023</v>
      </c>
      <c r="C665" s="779" t="s">
        <v>3622</v>
      </c>
      <c r="D665" s="301"/>
    </row>
    <row r="666" spans="1:4" ht="15" customHeight="1">
      <c r="A666" s="759" t="s">
        <v>3447</v>
      </c>
      <c r="B666" s="759" t="s">
        <v>4024</v>
      </c>
      <c r="C666" s="779" t="s">
        <v>3622</v>
      </c>
      <c r="D666" s="301"/>
    </row>
    <row r="667" spans="1:4" ht="15" customHeight="1">
      <c r="A667" s="759" t="s">
        <v>3447</v>
      </c>
      <c r="B667" s="759" t="s">
        <v>4025</v>
      </c>
      <c r="C667" s="779" t="s">
        <v>3622</v>
      </c>
      <c r="D667" s="301"/>
    </row>
    <row r="668" spans="1:4" ht="15" customHeight="1">
      <c r="A668" s="759" t="s">
        <v>3447</v>
      </c>
      <c r="B668" s="759" t="s">
        <v>4026</v>
      </c>
      <c r="C668" s="779" t="s">
        <v>3622</v>
      </c>
      <c r="D668" s="301"/>
    </row>
    <row r="669" spans="1:4" ht="15" customHeight="1">
      <c r="A669" s="759" t="s">
        <v>3447</v>
      </c>
      <c r="B669" s="759" t="s">
        <v>4027</v>
      </c>
      <c r="C669" s="779" t="s">
        <v>3622</v>
      </c>
      <c r="D669" s="301"/>
    </row>
    <row r="670" spans="1:4" ht="15" customHeight="1">
      <c r="A670" s="759" t="s">
        <v>3447</v>
      </c>
      <c r="B670" s="759" t="s">
        <v>4028</v>
      </c>
      <c r="C670" s="779" t="s">
        <v>3622</v>
      </c>
      <c r="D670" s="301"/>
    </row>
    <row r="671" spans="1:4" ht="15" customHeight="1">
      <c r="A671" s="759" t="s">
        <v>3447</v>
      </c>
      <c r="B671" s="759" t="s">
        <v>4029</v>
      </c>
      <c r="C671" s="779" t="s">
        <v>3622</v>
      </c>
      <c r="D671" s="301"/>
    </row>
    <row r="672" spans="1:4" ht="15" customHeight="1">
      <c r="A672" s="759" t="s">
        <v>3447</v>
      </c>
      <c r="B672" s="759" t="s">
        <v>4030</v>
      </c>
      <c r="C672" s="779" t="s">
        <v>3622</v>
      </c>
      <c r="D672" s="301"/>
    </row>
    <row r="673" spans="1:4" ht="15" customHeight="1">
      <c r="A673" s="759" t="s">
        <v>3447</v>
      </c>
      <c r="B673" s="759" t="s">
        <v>4031</v>
      </c>
      <c r="C673" s="779" t="s">
        <v>3622</v>
      </c>
      <c r="D673" s="301"/>
    </row>
    <row r="674" spans="1:4" ht="15" customHeight="1">
      <c r="A674" s="759" t="s">
        <v>3447</v>
      </c>
      <c r="B674" s="759" t="s">
        <v>4032</v>
      </c>
      <c r="C674" s="779" t="s">
        <v>3622</v>
      </c>
      <c r="D674" s="301"/>
    </row>
    <row r="675" spans="1:4" ht="15" customHeight="1">
      <c r="A675" s="759" t="s">
        <v>3447</v>
      </c>
      <c r="B675" s="759" t="s">
        <v>4033</v>
      </c>
      <c r="C675" s="779" t="s">
        <v>3622</v>
      </c>
      <c r="D675" s="301"/>
    </row>
    <row r="676" spans="1:4" ht="15" customHeight="1">
      <c r="A676" s="759" t="s">
        <v>3447</v>
      </c>
      <c r="B676" s="759" t="s">
        <v>4034</v>
      </c>
      <c r="C676" s="779" t="s">
        <v>3622</v>
      </c>
      <c r="D676" s="301"/>
    </row>
    <row r="677" spans="1:4" ht="15" customHeight="1">
      <c r="A677" s="759" t="s">
        <v>3447</v>
      </c>
      <c r="B677" s="759" t="s">
        <v>4035</v>
      </c>
      <c r="C677" s="779" t="s">
        <v>3622</v>
      </c>
      <c r="D677" s="301"/>
    </row>
    <row r="678" spans="1:4" ht="15" customHeight="1">
      <c r="A678" s="759" t="s">
        <v>3447</v>
      </c>
      <c r="B678" s="759" t="s">
        <v>4036</v>
      </c>
      <c r="C678" s="779" t="s">
        <v>3622</v>
      </c>
      <c r="D678" s="301"/>
    </row>
    <row r="679" spans="1:4" ht="15" customHeight="1">
      <c r="A679" s="759" t="s">
        <v>3447</v>
      </c>
      <c r="B679" s="759" t="s">
        <v>4037</v>
      </c>
      <c r="C679" s="779" t="s">
        <v>3622</v>
      </c>
      <c r="D679" s="301"/>
    </row>
    <row r="680" spans="1:4" ht="15" customHeight="1">
      <c r="A680" s="759" t="s">
        <v>3447</v>
      </c>
      <c r="B680" s="759" t="s">
        <v>4038</v>
      </c>
      <c r="C680" s="779" t="s">
        <v>3622</v>
      </c>
      <c r="D680" s="301"/>
    </row>
    <row r="681" spans="1:4" ht="15" customHeight="1">
      <c r="A681" s="759" t="s">
        <v>3447</v>
      </c>
      <c r="B681" s="759" t="s">
        <v>4039</v>
      </c>
      <c r="C681" s="779" t="s">
        <v>3622</v>
      </c>
      <c r="D681" s="301"/>
    </row>
    <row r="682" spans="1:4" ht="15" customHeight="1">
      <c r="A682" s="759" t="s">
        <v>3447</v>
      </c>
      <c r="B682" s="759" t="s">
        <v>4040</v>
      </c>
      <c r="C682" s="779" t="s">
        <v>3622</v>
      </c>
      <c r="D682" s="301"/>
    </row>
    <row r="683" spans="1:4" ht="15" customHeight="1">
      <c r="A683" s="759" t="s">
        <v>3447</v>
      </c>
      <c r="B683" s="759" t="s">
        <v>4041</v>
      </c>
      <c r="C683" s="779" t="s">
        <v>3622</v>
      </c>
      <c r="D683" s="301"/>
    </row>
    <row r="684" spans="1:4" ht="15" customHeight="1">
      <c r="A684" s="759" t="s">
        <v>3447</v>
      </c>
      <c r="B684" s="759" t="s">
        <v>4042</v>
      </c>
      <c r="C684" s="779" t="s">
        <v>3622</v>
      </c>
      <c r="D684" s="301"/>
    </row>
    <row r="685" spans="1:4" ht="15" customHeight="1">
      <c r="A685" s="759" t="s">
        <v>3447</v>
      </c>
      <c r="B685" s="759" t="s">
        <v>4043</v>
      </c>
      <c r="C685" s="779" t="s">
        <v>3622</v>
      </c>
      <c r="D685" s="301"/>
    </row>
    <row r="686" spans="1:4" ht="15" customHeight="1">
      <c r="A686" s="759" t="s">
        <v>3447</v>
      </c>
      <c r="B686" s="759" t="s">
        <v>4044</v>
      </c>
      <c r="C686" s="779" t="s">
        <v>3622</v>
      </c>
      <c r="D686" s="301"/>
    </row>
    <row r="687" spans="1:4" ht="15" customHeight="1">
      <c r="A687" s="759" t="s">
        <v>3447</v>
      </c>
      <c r="B687" s="759" t="s">
        <v>4045</v>
      </c>
      <c r="C687" s="779" t="s">
        <v>3622</v>
      </c>
      <c r="D687" s="301"/>
    </row>
    <row r="688" spans="1:4" ht="15" customHeight="1">
      <c r="A688" s="759" t="s">
        <v>3447</v>
      </c>
      <c r="B688" s="759" t="s">
        <v>4046</v>
      </c>
      <c r="C688" s="779" t="s">
        <v>3622</v>
      </c>
      <c r="D688" s="301"/>
    </row>
    <row r="689" spans="1:4" ht="15" customHeight="1">
      <c r="A689" s="759" t="s">
        <v>3447</v>
      </c>
      <c r="B689" s="759" t="s">
        <v>4047</v>
      </c>
      <c r="C689" s="779" t="s">
        <v>3622</v>
      </c>
      <c r="D689" s="301"/>
    </row>
    <row r="690" spans="1:4" ht="15" customHeight="1">
      <c r="A690" s="759" t="s">
        <v>3447</v>
      </c>
      <c r="B690" s="759" t="s">
        <v>4048</v>
      </c>
      <c r="C690" s="779" t="s">
        <v>3622</v>
      </c>
      <c r="D690" s="301"/>
    </row>
    <row r="691" spans="1:4" ht="15" customHeight="1">
      <c r="A691" s="759" t="s">
        <v>3447</v>
      </c>
      <c r="B691" s="759" t="s">
        <v>4049</v>
      </c>
      <c r="C691" s="779" t="s">
        <v>3622</v>
      </c>
      <c r="D691" s="301"/>
    </row>
    <row r="692" spans="1:4" ht="15" customHeight="1">
      <c r="A692" s="759" t="s">
        <v>3447</v>
      </c>
      <c r="B692" s="759" t="s">
        <v>4050</v>
      </c>
      <c r="C692" s="779" t="s">
        <v>3622</v>
      </c>
      <c r="D692" s="301"/>
    </row>
    <row r="693" spans="1:4" ht="15" customHeight="1">
      <c r="A693" s="759" t="s">
        <v>3447</v>
      </c>
      <c r="B693" s="759" t="s">
        <v>4051</v>
      </c>
      <c r="C693" s="779" t="s">
        <v>3622</v>
      </c>
      <c r="D693" s="301"/>
    </row>
    <row r="694" spans="1:4" ht="15" customHeight="1">
      <c r="A694" s="759" t="s">
        <v>3447</v>
      </c>
      <c r="B694" s="759" t="s">
        <v>4052</v>
      </c>
      <c r="C694" s="779" t="s">
        <v>3622</v>
      </c>
      <c r="D694" s="301"/>
    </row>
    <row r="695" spans="1:4" ht="15" customHeight="1">
      <c r="A695" s="759" t="s">
        <v>3447</v>
      </c>
      <c r="B695" s="759" t="s">
        <v>4053</v>
      </c>
      <c r="C695" s="779" t="s">
        <v>3622</v>
      </c>
      <c r="D695" s="301"/>
    </row>
    <row r="696" spans="1:4" ht="15" customHeight="1">
      <c r="A696" s="759" t="s">
        <v>3447</v>
      </c>
      <c r="B696" s="759" t="s">
        <v>4054</v>
      </c>
      <c r="C696" s="779" t="s">
        <v>3622</v>
      </c>
      <c r="D696" s="301"/>
    </row>
    <row r="697" spans="1:4" ht="15" customHeight="1">
      <c r="A697" s="759" t="s">
        <v>3447</v>
      </c>
      <c r="B697" s="759" t="s">
        <v>4055</v>
      </c>
      <c r="C697" s="779" t="s">
        <v>3622</v>
      </c>
      <c r="D697" s="301"/>
    </row>
    <row r="698" spans="1:4" ht="15" customHeight="1">
      <c r="A698" s="759" t="s">
        <v>3447</v>
      </c>
      <c r="B698" s="759" t="s">
        <v>4056</v>
      </c>
      <c r="C698" s="779" t="s">
        <v>3622</v>
      </c>
      <c r="D698" s="301"/>
    </row>
    <row r="699" spans="1:4" ht="15" customHeight="1">
      <c r="A699" s="759" t="s">
        <v>3447</v>
      </c>
      <c r="B699" s="759" t="s">
        <v>4057</v>
      </c>
      <c r="C699" s="779" t="s">
        <v>3622</v>
      </c>
      <c r="D699" s="301"/>
    </row>
    <row r="700" spans="1:4" ht="15" customHeight="1">
      <c r="A700" s="759" t="s">
        <v>3447</v>
      </c>
      <c r="B700" s="759" t="s">
        <v>4058</v>
      </c>
      <c r="C700" s="779" t="s">
        <v>3622</v>
      </c>
      <c r="D700" s="301"/>
    </row>
    <row r="701" spans="1:4" ht="15" customHeight="1">
      <c r="A701" s="759" t="s">
        <v>3447</v>
      </c>
      <c r="B701" s="759" t="s">
        <v>4059</v>
      </c>
      <c r="C701" s="779" t="s">
        <v>3622</v>
      </c>
      <c r="D701" s="301"/>
    </row>
    <row r="702" spans="1:4" ht="15" customHeight="1">
      <c r="A702" s="759" t="s">
        <v>3447</v>
      </c>
      <c r="B702" s="759" t="s">
        <v>4060</v>
      </c>
      <c r="C702" s="779" t="s">
        <v>3622</v>
      </c>
      <c r="D702" s="301"/>
    </row>
    <row r="703" spans="1:4" ht="15" customHeight="1">
      <c r="A703" s="759" t="s">
        <v>3447</v>
      </c>
      <c r="B703" s="759" t="s">
        <v>4061</v>
      </c>
      <c r="C703" s="779" t="s">
        <v>3622</v>
      </c>
      <c r="D703" s="301"/>
    </row>
    <row r="704" spans="1:4" ht="15" customHeight="1">
      <c r="A704" s="759" t="s">
        <v>3447</v>
      </c>
      <c r="B704" s="759" t="s">
        <v>4062</v>
      </c>
      <c r="C704" s="779" t="s">
        <v>3622</v>
      </c>
      <c r="D704" s="301"/>
    </row>
    <row r="705" spans="1:4" ht="15" customHeight="1">
      <c r="A705" s="759" t="s">
        <v>3447</v>
      </c>
      <c r="B705" s="759" t="s">
        <v>4063</v>
      </c>
      <c r="C705" s="779" t="s">
        <v>3622</v>
      </c>
      <c r="D705" s="301"/>
    </row>
    <row r="706" spans="1:4" ht="15" customHeight="1">
      <c r="A706" s="759" t="s">
        <v>3447</v>
      </c>
      <c r="B706" s="759" t="s">
        <v>4064</v>
      </c>
      <c r="C706" s="779" t="s">
        <v>3622</v>
      </c>
      <c r="D706" s="301"/>
    </row>
    <row r="707" spans="1:4" ht="15" customHeight="1">
      <c r="A707" s="759" t="s">
        <v>3447</v>
      </c>
      <c r="B707" s="759" t="s">
        <v>4065</v>
      </c>
      <c r="C707" s="779" t="s">
        <v>3622</v>
      </c>
      <c r="D707" s="301"/>
    </row>
    <row r="708" spans="1:4" ht="15" customHeight="1">
      <c r="A708" s="759" t="s">
        <v>3447</v>
      </c>
      <c r="B708" s="759" t="s">
        <v>4066</v>
      </c>
      <c r="C708" s="779" t="s">
        <v>3622</v>
      </c>
      <c r="D708" s="301"/>
    </row>
    <row r="709" spans="1:4" ht="15" customHeight="1">
      <c r="A709" s="759" t="s">
        <v>3447</v>
      </c>
      <c r="B709" s="759" t="s">
        <v>4067</v>
      </c>
      <c r="C709" s="779" t="s">
        <v>3622</v>
      </c>
      <c r="D709" s="301"/>
    </row>
    <row r="710" spans="1:4" ht="15" customHeight="1">
      <c r="A710" s="759" t="s">
        <v>3447</v>
      </c>
      <c r="B710" s="759" t="s">
        <v>4068</v>
      </c>
      <c r="C710" s="779" t="s">
        <v>3622</v>
      </c>
      <c r="D710" s="301"/>
    </row>
    <row r="711" spans="1:4" ht="15" customHeight="1">
      <c r="A711" s="759" t="s">
        <v>3447</v>
      </c>
      <c r="B711" s="759" t="s">
        <v>4069</v>
      </c>
      <c r="C711" s="779" t="s">
        <v>3622</v>
      </c>
      <c r="D711" s="301"/>
    </row>
    <row r="712" spans="1:4" ht="15" customHeight="1">
      <c r="A712" s="759" t="s">
        <v>3447</v>
      </c>
      <c r="B712" s="759" t="s">
        <v>4070</v>
      </c>
      <c r="C712" s="779" t="s">
        <v>3622</v>
      </c>
      <c r="D712" s="301"/>
    </row>
    <row r="713" spans="1:4" ht="15" customHeight="1">
      <c r="A713" s="759" t="s">
        <v>3447</v>
      </c>
      <c r="B713" s="759" t="s">
        <v>4071</v>
      </c>
      <c r="C713" s="779" t="s">
        <v>3622</v>
      </c>
      <c r="D713" s="301"/>
    </row>
    <row r="714" spans="1:4" ht="15" customHeight="1">
      <c r="A714" s="759" t="s">
        <v>3447</v>
      </c>
      <c r="B714" s="759" t="s">
        <v>4072</v>
      </c>
      <c r="C714" s="779" t="s">
        <v>3622</v>
      </c>
      <c r="D714" s="301"/>
    </row>
    <row r="715" spans="1:4" ht="15" customHeight="1">
      <c r="A715" s="759" t="s">
        <v>3447</v>
      </c>
      <c r="B715" s="759" t="s">
        <v>4073</v>
      </c>
      <c r="C715" s="779" t="s">
        <v>3622</v>
      </c>
      <c r="D715" s="301"/>
    </row>
    <row r="716" spans="1:4" ht="15" customHeight="1">
      <c r="A716" s="759" t="s">
        <v>3447</v>
      </c>
      <c r="B716" s="759" t="s">
        <v>4074</v>
      </c>
      <c r="C716" s="779" t="s">
        <v>3622</v>
      </c>
      <c r="D716" s="301"/>
    </row>
    <row r="717" spans="1:4" ht="15" customHeight="1">
      <c r="A717" s="759" t="s">
        <v>3447</v>
      </c>
      <c r="B717" s="759" t="s">
        <v>4075</v>
      </c>
      <c r="C717" s="779" t="s">
        <v>3622</v>
      </c>
      <c r="D717" s="301"/>
    </row>
    <row r="718" spans="1:4" ht="15" customHeight="1">
      <c r="A718" s="759" t="s">
        <v>3447</v>
      </c>
      <c r="B718" s="759" t="s">
        <v>4076</v>
      </c>
      <c r="C718" s="779" t="s">
        <v>3622</v>
      </c>
      <c r="D718" s="301"/>
    </row>
    <row r="719" spans="1:4" ht="15" customHeight="1">
      <c r="A719" s="759" t="s">
        <v>3447</v>
      </c>
      <c r="B719" s="759" t="s">
        <v>4077</v>
      </c>
      <c r="C719" s="779" t="s">
        <v>3622</v>
      </c>
      <c r="D719" s="301"/>
    </row>
    <row r="720" spans="1:4" ht="15" customHeight="1">
      <c r="A720" s="759" t="s">
        <v>3447</v>
      </c>
      <c r="B720" s="759" t="s">
        <v>4078</v>
      </c>
      <c r="C720" s="779" t="s">
        <v>3622</v>
      </c>
      <c r="D720" s="301"/>
    </row>
    <row r="721" spans="1:4" ht="15" customHeight="1">
      <c r="A721" s="759" t="s">
        <v>3447</v>
      </c>
      <c r="B721" s="759" t="s">
        <v>4079</v>
      </c>
      <c r="C721" s="779" t="s">
        <v>3622</v>
      </c>
      <c r="D721" s="301"/>
    </row>
    <row r="722" spans="1:4" ht="15" customHeight="1">
      <c r="A722" s="759" t="s">
        <v>3447</v>
      </c>
      <c r="B722" s="759" t="s">
        <v>4080</v>
      </c>
      <c r="C722" s="779" t="s">
        <v>3622</v>
      </c>
      <c r="D722" s="301"/>
    </row>
    <row r="723" spans="1:4" ht="15" customHeight="1">
      <c r="A723" s="759" t="s">
        <v>3447</v>
      </c>
      <c r="B723" s="759" t="s">
        <v>4081</v>
      </c>
      <c r="C723" s="779" t="s">
        <v>3622</v>
      </c>
      <c r="D723" s="301"/>
    </row>
    <row r="724" spans="1:4" ht="15" customHeight="1">
      <c r="A724" s="759" t="s">
        <v>3447</v>
      </c>
      <c r="B724" s="759" t="s">
        <v>4082</v>
      </c>
      <c r="C724" s="779" t="s">
        <v>3622</v>
      </c>
      <c r="D724" s="301"/>
    </row>
    <row r="725" spans="1:4" ht="15" customHeight="1">
      <c r="A725" s="759" t="s">
        <v>3447</v>
      </c>
      <c r="B725" s="759" t="s">
        <v>4083</v>
      </c>
      <c r="C725" s="779" t="s">
        <v>3622</v>
      </c>
      <c r="D725" s="301"/>
    </row>
    <row r="726" spans="1:4" ht="15" customHeight="1">
      <c r="A726" s="759" t="s">
        <v>3447</v>
      </c>
      <c r="B726" s="759" t="s">
        <v>4084</v>
      </c>
      <c r="C726" s="779" t="s">
        <v>3622</v>
      </c>
      <c r="D726" s="301"/>
    </row>
    <row r="727" spans="1:4" ht="15" customHeight="1">
      <c r="A727" s="759" t="s">
        <v>3447</v>
      </c>
      <c r="B727" s="759" t="s">
        <v>4085</v>
      </c>
      <c r="C727" s="779" t="s">
        <v>3622</v>
      </c>
      <c r="D727" s="301"/>
    </row>
    <row r="728" spans="1:4" ht="15" customHeight="1">
      <c r="A728" s="759" t="s">
        <v>3447</v>
      </c>
      <c r="B728" s="759" t="s">
        <v>4086</v>
      </c>
      <c r="C728" s="779" t="s">
        <v>3622</v>
      </c>
      <c r="D728" s="301"/>
    </row>
    <row r="729" spans="1:4" ht="15" customHeight="1">
      <c r="A729" s="759" t="s">
        <v>3447</v>
      </c>
      <c r="B729" s="759" t="s">
        <v>4087</v>
      </c>
      <c r="C729" s="779" t="s">
        <v>3622</v>
      </c>
      <c r="D729" s="301"/>
    </row>
    <row r="730" spans="1:4" ht="15" customHeight="1">
      <c r="A730" s="759" t="s">
        <v>3447</v>
      </c>
      <c r="B730" s="759" t="s">
        <v>4088</v>
      </c>
      <c r="C730" s="779" t="s">
        <v>3622</v>
      </c>
      <c r="D730" s="301"/>
    </row>
    <row r="731" spans="1:4" ht="15" customHeight="1">
      <c r="A731" s="759" t="s">
        <v>3447</v>
      </c>
      <c r="B731" s="759" t="s">
        <v>4089</v>
      </c>
      <c r="C731" s="779" t="s">
        <v>3622</v>
      </c>
      <c r="D731" s="301"/>
    </row>
    <row r="732" spans="1:4" ht="15" customHeight="1">
      <c r="A732" s="759" t="s">
        <v>3447</v>
      </c>
      <c r="B732" s="759" t="s">
        <v>4090</v>
      </c>
      <c r="C732" s="779" t="s">
        <v>3622</v>
      </c>
      <c r="D732" s="301"/>
    </row>
    <row r="733" spans="1:4" ht="15" customHeight="1">
      <c r="A733" s="759" t="s">
        <v>3447</v>
      </c>
      <c r="B733" s="759" t="s">
        <v>4091</v>
      </c>
      <c r="C733" s="779" t="s">
        <v>3622</v>
      </c>
      <c r="D733" s="301"/>
    </row>
    <row r="734" spans="1:4" ht="15" customHeight="1">
      <c r="A734" s="759" t="s">
        <v>3447</v>
      </c>
      <c r="B734" s="759" t="s">
        <v>4092</v>
      </c>
      <c r="C734" s="779" t="s">
        <v>3622</v>
      </c>
      <c r="D734" s="301"/>
    </row>
    <row r="735" spans="1:4" ht="15" customHeight="1">
      <c r="A735" s="759" t="s">
        <v>3447</v>
      </c>
      <c r="B735" s="759" t="s">
        <v>4093</v>
      </c>
      <c r="C735" s="779" t="s">
        <v>3622</v>
      </c>
      <c r="D735" s="301"/>
    </row>
    <row r="736" spans="1:4" ht="15" customHeight="1">
      <c r="A736" s="759" t="s">
        <v>3447</v>
      </c>
      <c r="B736" s="759" t="s">
        <v>4094</v>
      </c>
      <c r="C736" s="779" t="s">
        <v>3622</v>
      </c>
      <c r="D736" s="301"/>
    </row>
    <row r="737" spans="1:4" ht="15" customHeight="1">
      <c r="A737" s="759" t="s">
        <v>3447</v>
      </c>
      <c r="B737" s="759" t="s">
        <v>4095</v>
      </c>
      <c r="C737" s="779" t="s">
        <v>3622</v>
      </c>
      <c r="D737" s="301"/>
    </row>
    <row r="738" spans="1:4" ht="15" customHeight="1">
      <c r="A738" s="759" t="s">
        <v>3447</v>
      </c>
      <c r="B738" s="759" t="s">
        <v>4096</v>
      </c>
      <c r="C738" s="779" t="s">
        <v>3622</v>
      </c>
      <c r="D738" s="301"/>
    </row>
    <row r="739" spans="1:4" ht="15" customHeight="1">
      <c r="A739" s="759" t="s">
        <v>3447</v>
      </c>
      <c r="B739" s="759" t="s">
        <v>4097</v>
      </c>
      <c r="C739" s="779" t="s">
        <v>3622</v>
      </c>
      <c r="D739" s="301"/>
    </row>
    <row r="740" spans="1:4" ht="15" customHeight="1">
      <c r="A740" s="759" t="s">
        <v>3447</v>
      </c>
      <c r="B740" s="759" t="s">
        <v>4098</v>
      </c>
      <c r="C740" s="779" t="s">
        <v>3622</v>
      </c>
      <c r="D740" s="301"/>
    </row>
    <row r="741" spans="1:4" ht="15" customHeight="1">
      <c r="A741" s="759" t="s">
        <v>3447</v>
      </c>
      <c r="B741" s="759" t="s">
        <v>4099</v>
      </c>
      <c r="C741" s="779" t="s">
        <v>3622</v>
      </c>
      <c r="D741" s="301"/>
    </row>
    <row r="742" spans="1:4" ht="15" customHeight="1">
      <c r="A742" s="759" t="s">
        <v>3447</v>
      </c>
      <c r="B742" s="759" t="s">
        <v>4100</v>
      </c>
      <c r="C742" s="779" t="s">
        <v>3622</v>
      </c>
      <c r="D742" s="301"/>
    </row>
    <row r="743" spans="1:4" ht="15" customHeight="1">
      <c r="A743" s="759" t="s">
        <v>3447</v>
      </c>
      <c r="B743" s="759" t="s">
        <v>4101</v>
      </c>
      <c r="C743" s="779" t="s">
        <v>3622</v>
      </c>
      <c r="D743" s="301"/>
    </row>
    <row r="744" spans="1:4" ht="15" customHeight="1">
      <c r="A744" s="759" t="s">
        <v>3447</v>
      </c>
      <c r="B744" s="759" t="s">
        <v>4102</v>
      </c>
      <c r="C744" s="779" t="s">
        <v>3622</v>
      </c>
      <c r="D744" s="301"/>
    </row>
    <row r="745" spans="1:4" ht="15" customHeight="1">
      <c r="A745" s="759" t="s">
        <v>3447</v>
      </c>
      <c r="B745" s="759" t="s">
        <v>4103</v>
      </c>
      <c r="C745" s="779" t="s">
        <v>3622</v>
      </c>
      <c r="D745" s="301"/>
    </row>
    <row r="746" spans="1:4" ht="15" customHeight="1">
      <c r="A746" s="759" t="s">
        <v>3447</v>
      </c>
      <c r="B746" s="759" t="s">
        <v>4104</v>
      </c>
      <c r="C746" s="779" t="s">
        <v>3622</v>
      </c>
      <c r="D746" s="301"/>
    </row>
    <row r="747" spans="1:4" ht="15" customHeight="1">
      <c r="A747" s="759" t="s">
        <v>3447</v>
      </c>
      <c r="B747" s="759" t="s">
        <v>4105</v>
      </c>
      <c r="C747" s="779" t="s">
        <v>3622</v>
      </c>
      <c r="D747" s="301"/>
    </row>
    <row r="748" spans="1:4" ht="15" customHeight="1">
      <c r="A748" s="759" t="s">
        <v>3447</v>
      </c>
      <c r="B748" s="759" t="s">
        <v>4106</v>
      </c>
      <c r="C748" s="779" t="s">
        <v>3622</v>
      </c>
      <c r="D748" s="301"/>
    </row>
    <row r="749" spans="1:4" ht="15" customHeight="1">
      <c r="A749" s="759" t="s">
        <v>3447</v>
      </c>
      <c r="B749" s="759" t="s">
        <v>4107</v>
      </c>
      <c r="C749" s="779" t="s">
        <v>3622</v>
      </c>
      <c r="D749" s="301"/>
    </row>
    <row r="750" spans="1:4" ht="15" customHeight="1">
      <c r="A750" s="759" t="s">
        <v>3447</v>
      </c>
      <c r="B750" s="759" t="s">
        <v>4108</v>
      </c>
      <c r="C750" s="779" t="s">
        <v>3622</v>
      </c>
      <c r="D750" s="301"/>
    </row>
    <row r="751" spans="1:4" ht="15" customHeight="1">
      <c r="A751" s="759" t="s">
        <v>3447</v>
      </c>
      <c r="B751" s="759" t="s">
        <v>4109</v>
      </c>
      <c r="C751" s="779" t="s">
        <v>3622</v>
      </c>
      <c r="D751" s="301"/>
    </row>
    <row r="752" spans="1:4" ht="15" customHeight="1">
      <c r="A752" s="759" t="s">
        <v>3447</v>
      </c>
      <c r="B752" s="759" t="s">
        <v>4110</v>
      </c>
      <c r="C752" s="779" t="s">
        <v>3622</v>
      </c>
      <c r="D752" s="301"/>
    </row>
    <row r="753" spans="1:4" ht="15" customHeight="1">
      <c r="A753" s="759" t="s">
        <v>3447</v>
      </c>
      <c r="B753" s="759" t="s">
        <v>4111</v>
      </c>
      <c r="C753" s="779" t="s">
        <v>3622</v>
      </c>
      <c r="D753" s="301"/>
    </row>
    <row r="754" spans="1:4" ht="15" customHeight="1">
      <c r="A754" s="759" t="s">
        <v>3447</v>
      </c>
      <c r="B754" s="759" t="s">
        <v>4112</v>
      </c>
      <c r="C754" s="779" t="s">
        <v>3622</v>
      </c>
      <c r="D754" s="301"/>
    </row>
    <row r="755" spans="1:4" ht="15" customHeight="1">
      <c r="A755" s="759" t="s">
        <v>3447</v>
      </c>
      <c r="B755" s="759" t="s">
        <v>4113</v>
      </c>
      <c r="C755" s="779" t="s">
        <v>3622</v>
      </c>
      <c r="D755" s="301"/>
    </row>
    <row r="756" spans="1:4" ht="15" customHeight="1">
      <c r="A756" s="759" t="s">
        <v>3447</v>
      </c>
      <c r="B756" s="759" t="s">
        <v>4114</v>
      </c>
      <c r="C756" s="779" t="s">
        <v>3622</v>
      </c>
      <c r="D756" s="301"/>
    </row>
    <row r="757" spans="1:4" ht="15" customHeight="1">
      <c r="A757" s="759" t="s">
        <v>3447</v>
      </c>
      <c r="B757" s="759" t="s">
        <v>4115</v>
      </c>
      <c r="C757" s="779" t="s">
        <v>3622</v>
      </c>
      <c r="D757" s="301"/>
    </row>
    <row r="758" spans="1:4" ht="15" customHeight="1">
      <c r="A758" s="759" t="s">
        <v>3447</v>
      </c>
      <c r="B758" s="759" t="s">
        <v>4116</v>
      </c>
      <c r="C758" s="779" t="s">
        <v>3622</v>
      </c>
      <c r="D758" s="301"/>
    </row>
    <row r="759" spans="1:4" ht="15" customHeight="1">
      <c r="A759" s="759" t="s">
        <v>3447</v>
      </c>
      <c r="B759" s="759" t="s">
        <v>4117</v>
      </c>
      <c r="C759" s="779" t="s">
        <v>3622</v>
      </c>
      <c r="D759" s="301"/>
    </row>
    <row r="760" spans="1:4" ht="15" customHeight="1">
      <c r="A760" s="759" t="s">
        <v>3447</v>
      </c>
      <c r="B760" s="759" t="s">
        <v>4118</v>
      </c>
      <c r="C760" s="779" t="s">
        <v>3622</v>
      </c>
      <c r="D760" s="301"/>
    </row>
    <row r="761" spans="1:4" ht="15" customHeight="1">
      <c r="A761" s="759" t="s">
        <v>3447</v>
      </c>
      <c r="B761" s="759" t="s">
        <v>4119</v>
      </c>
      <c r="C761" s="779" t="s">
        <v>3622</v>
      </c>
      <c r="D761" s="301"/>
    </row>
    <row r="762" spans="1:4" ht="15" customHeight="1">
      <c r="A762" s="759" t="s">
        <v>3447</v>
      </c>
      <c r="B762" s="759" t="s">
        <v>4120</v>
      </c>
      <c r="C762" s="779" t="s">
        <v>3622</v>
      </c>
      <c r="D762" s="301"/>
    </row>
    <row r="763" spans="1:4" ht="15" customHeight="1">
      <c r="A763" s="759" t="s">
        <v>3447</v>
      </c>
      <c r="B763" s="759" t="s">
        <v>4121</v>
      </c>
      <c r="C763" s="779" t="s">
        <v>3622</v>
      </c>
      <c r="D763" s="301"/>
    </row>
    <row r="764" spans="1:4" ht="15" customHeight="1">
      <c r="A764" s="759" t="s">
        <v>3447</v>
      </c>
      <c r="B764" s="759" t="s">
        <v>4122</v>
      </c>
      <c r="C764" s="779" t="s">
        <v>3622</v>
      </c>
      <c r="D764" s="301"/>
    </row>
    <row r="765" spans="1:4" ht="15" customHeight="1">
      <c r="A765" s="759" t="s">
        <v>3447</v>
      </c>
      <c r="B765" s="759" t="s">
        <v>4123</v>
      </c>
      <c r="C765" s="779" t="s">
        <v>3622</v>
      </c>
      <c r="D765" s="301"/>
    </row>
    <row r="766" spans="1:4" ht="15" customHeight="1">
      <c r="A766" s="759" t="s">
        <v>3447</v>
      </c>
      <c r="B766" s="759" t="s">
        <v>4124</v>
      </c>
      <c r="C766" s="779" t="s">
        <v>3622</v>
      </c>
      <c r="D766" s="301"/>
    </row>
    <row r="767" spans="1:4" ht="15" customHeight="1">
      <c r="A767" s="759" t="s">
        <v>3447</v>
      </c>
      <c r="B767" s="759" t="s">
        <v>4125</v>
      </c>
      <c r="C767" s="779" t="s">
        <v>3622</v>
      </c>
      <c r="D767" s="301"/>
    </row>
    <row r="768" spans="1:4" ht="15" customHeight="1">
      <c r="A768" s="759" t="s">
        <v>3447</v>
      </c>
      <c r="B768" s="759" t="s">
        <v>4126</v>
      </c>
      <c r="C768" s="779" t="s">
        <v>3622</v>
      </c>
      <c r="D768" s="301"/>
    </row>
    <row r="769" spans="1:4" ht="15" customHeight="1">
      <c r="A769" s="759" t="s">
        <v>3447</v>
      </c>
      <c r="B769" s="759" t="s">
        <v>4127</v>
      </c>
      <c r="C769" s="779" t="s">
        <v>3622</v>
      </c>
      <c r="D769" s="301"/>
    </row>
    <row r="770" spans="1:4" ht="15" customHeight="1">
      <c r="A770" s="759" t="s">
        <v>3447</v>
      </c>
      <c r="B770" s="759" t="s">
        <v>4128</v>
      </c>
      <c r="C770" s="779" t="s">
        <v>3622</v>
      </c>
      <c r="D770" s="301"/>
    </row>
    <row r="771" spans="1:4" ht="15" customHeight="1">
      <c r="A771" s="759" t="s">
        <v>3447</v>
      </c>
      <c r="B771" s="759" t="s">
        <v>4129</v>
      </c>
      <c r="C771" s="779" t="s">
        <v>3622</v>
      </c>
      <c r="D771" s="301"/>
    </row>
    <row r="772" spans="1:4" ht="15" customHeight="1">
      <c r="A772" s="759" t="s">
        <v>3447</v>
      </c>
      <c r="B772" s="759" t="s">
        <v>4130</v>
      </c>
      <c r="C772" s="779" t="s">
        <v>3622</v>
      </c>
      <c r="D772" s="301"/>
    </row>
    <row r="773" spans="1:4" ht="15" customHeight="1">
      <c r="A773" s="759" t="s">
        <v>3447</v>
      </c>
      <c r="B773" s="759" t="s">
        <v>4131</v>
      </c>
      <c r="C773" s="779" t="s">
        <v>3622</v>
      </c>
      <c r="D773" s="301"/>
    </row>
    <row r="774" spans="1:4" ht="15" customHeight="1">
      <c r="A774" s="759" t="s">
        <v>3447</v>
      </c>
      <c r="B774" s="759" t="s">
        <v>4132</v>
      </c>
      <c r="C774" s="779" t="s">
        <v>3622</v>
      </c>
      <c r="D774" s="301"/>
    </row>
    <row r="775" spans="1:4" ht="15" customHeight="1">
      <c r="A775" s="759" t="s">
        <v>3447</v>
      </c>
      <c r="B775" s="759" t="s">
        <v>4133</v>
      </c>
      <c r="C775" s="779" t="s">
        <v>3622</v>
      </c>
      <c r="D775" s="301"/>
    </row>
    <row r="776" spans="1:4" ht="15" customHeight="1">
      <c r="A776" s="759" t="s">
        <v>3447</v>
      </c>
      <c r="B776" s="759" t="s">
        <v>4134</v>
      </c>
      <c r="C776" s="779" t="s">
        <v>3622</v>
      </c>
      <c r="D776" s="301"/>
    </row>
    <row r="777" spans="1:4" ht="15" customHeight="1">
      <c r="A777" s="759" t="s">
        <v>3447</v>
      </c>
      <c r="B777" s="759" t="s">
        <v>4135</v>
      </c>
      <c r="C777" s="779" t="s">
        <v>3622</v>
      </c>
      <c r="D777" s="301"/>
    </row>
    <row r="778" spans="1:4" ht="15" customHeight="1">
      <c r="A778" s="759" t="s">
        <v>3447</v>
      </c>
      <c r="B778" s="759" t="s">
        <v>4136</v>
      </c>
      <c r="C778" s="779" t="s">
        <v>3622</v>
      </c>
      <c r="D778" s="301"/>
    </row>
    <row r="779" spans="1:4" ht="15" customHeight="1">
      <c r="A779" s="759" t="s">
        <v>3447</v>
      </c>
      <c r="B779" s="759" t="s">
        <v>4137</v>
      </c>
      <c r="C779" s="779" t="s">
        <v>3622</v>
      </c>
      <c r="D779" s="301"/>
    </row>
    <row r="780" spans="1:4" ht="15" customHeight="1">
      <c r="A780" s="759" t="s">
        <v>3447</v>
      </c>
      <c r="B780" s="759" t="s">
        <v>4138</v>
      </c>
      <c r="C780" s="779" t="s">
        <v>3622</v>
      </c>
      <c r="D780" s="301"/>
    </row>
    <row r="781" spans="1:4" ht="15" customHeight="1">
      <c r="A781" s="759" t="s">
        <v>3447</v>
      </c>
      <c r="B781" s="759" t="s">
        <v>4139</v>
      </c>
      <c r="C781" s="779" t="s">
        <v>3622</v>
      </c>
      <c r="D781" s="301"/>
    </row>
    <row r="782" spans="1:4" ht="15" customHeight="1">
      <c r="A782" s="759" t="s">
        <v>3447</v>
      </c>
      <c r="B782" s="759" t="s">
        <v>4140</v>
      </c>
      <c r="C782" s="779" t="s">
        <v>3622</v>
      </c>
      <c r="D782" s="301"/>
    </row>
    <row r="783" spans="1:4" ht="15" customHeight="1">
      <c r="A783" s="759" t="s">
        <v>3447</v>
      </c>
      <c r="B783" s="759" t="s">
        <v>4141</v>
      </c>
      <c r="C783" s="779" t="s">
        <v>3622</v>
      </c>
      <c r="D783" s="301"/>
    </row>
    <row r="784" spans="1:4" ht="15" customHeight="1">
      <c r="A784" s="759" t="s">
        <v>3447</v>
      </c>
      <c r="B784" s="759" t="s">
        <v>4142</v>
      </c>
      <c r="C784" s="779" t="s">
        <v>3622</v>
      </c>
      <c r="D784" s="301"/>
    </row>
    <row r="785" spans="1:4" ht="15" customHeight="1">
      <c r="A785" s="759" t="s">
        <v>3447</v>
      </c>
      <c r="B785" s="759" t="s">
        <v>4143</v>
      </c>
      <c r="C785" s="779" t="s">
        <v>3622</v>
      </c>
      <c r="D785" s="301"/>
    </row>
    <row r="786" spans="1:4" ht="15" customHeight="1">
      <c r="A786" s="759" t="s">
        <v>3447</v>
      </c>
      <c r="B786" s="759" t="s">
        <v>4144</v>
      </c>
      <c r="C786" s="779" t="s">
        <v>3622</v>
      </c>
      <c r="D786" s="301"/>
    </row>
    <row r="787" spans="1:4" ht="15" customHeight="1">
      <c r="A787" s="759" t="s">
        <v>3447</v>
      </c>
      <c r="B787" s="759" t="s">
        <v>4145</v>
      </c>
      <c r="C787" s="779" t="s">
        <v>3622</v>
      </c>
      <c r="D787" s="301"/>
    </row>
    <row r="788" spans="1:4" ht="15" customHeight="1">
      <c r="A788" s="759" t="s">
        <v>3447</v>
      </c>
      <c r="B788" s="759" t="s">
        <v>4146</v>
      </c>
      <c r="C788" s="779" t="s">
        <v>3622</v>
      </c>
      <c r="D788" s="301"/>
    </row>
    <row r="789" spans="1:4" ht="15" customHeight="1">
      <c r="A789" s="767" t="s">
        <v>3450</v>
      </c>
      <c r="B789" s="767" t="s">
        <v>4147</v>
      </c>
      <c r="C789" s="779" t="s">
        <v>3455</v>
      </c>
      <c r="D789" s="301"/>
    </row>
    <row r="790" spans="1:4" ht="15" customHeight="1">
      <c r="A790" s="767" t="s">
        <v>3450</v>
      </c>
      <c r="B790" s="767" t="s">
        <v>4148</v>
      </c>
      <c r="C790" s="779" t="s">
        <v>3455</v>
      </c>
      <c r="D790" s="301"/>
    </row>
    <row r="791" spans="1:4" ht="15" customHeight="1">
      <c r="A791" s="767" t="s">
        <v>3450</v>
      </c>
      <c r="B791" s="767" t="s">
        <v>4149</v>
      </c>
      <c r="C791" s="779" t="s">
        <v>3455</v>
      </c>
      <c r="D791" s="301"/>
    </row>
    <row r="792" spans="1:4" ht="15" customHeight="1">
      <c r="A792" s="767" t="s">
        <v>3450</v>
      </c>
      <c r="B792" s="767" t="s">
        <v>4150</v>
      </c>
      <c r="C792" s="779" t="s">
        <v>3455</v>
      </c>
      <c r="D792" s="301"/>
    </row>
    <row r="793" spans="1:4" ht="15" customHeight="1">
      <c r="A793" s="767" t="s">
        <v>3450</v>
      </c>
      <c r="B793" s="767" t="s">
        <v>4151</v>
      </c>
      <c r="C793" s="779" t="s">
        <v>3455</v>
      </c>
      <c r="D793" s="301"/>
    </row>
    <row r="794" spans="1:4" ht="15" customHeight="1">
      <c r="A794" s="767" t="s">
        <v>3450</v>
      </c>
      <c r="B794" s="767" t="s">
        <v>4152</v>
      </c>
      <c r="C794" s="779" t="s">
        <v>3455</v>
      </c>
      <c r="D794" s="301"/>
    </row>
    <row r="795" spans="1:4" ht="15" customHeight="1">
      <c r="A795" s="767" t="s">
        <v>3450</v>
      </c>
      <c r="B795" s="767" t="s">
        <v>4153</v>
      </c>
      <c r="C795" s="779" t="s">
        <v>3455</v>
      </c>
      <c r="D795" s="301"/>
    </row>
    <row r="796" spans="1:4" ht="15" customHeight="1">
      <c r="A796" s="767" t="s">
        <v>3450</v>
      </c>
      <c r="B796" s="767" t="s">
        <v>4154</v>
      </c>
      <c r="C796" s="779" t="s">
        <v>3455</v>
      </c>
      <c r="D796" s="301"/>
    </row>
    <row r="797" spans="1:4" ht="15" customHeight="1">
      <c r="A797" s="767" t="s">
        <v>3450</v>
      </c>
      <c r="B797" s="767" t="s">
        <v>4155</v>
      </c>
      <c r="C797" s="779" t="s">
        <v>3455</v>
      </c>
      <c r="D797" s="301"/>
    </row>
    <row r="798" spans="1:4" ht="15" customHeight="1">
      <c r="A798" s="767" t="s">
        <v>3450</v>
      </c>
      <c r="B798" s="767" t="s">
        <v>4156</v>
      </c>
      <c r="C798" s="779" t="s">
        <v>3455</v>
      </c>
      <c r="D798" s="301"/>
    </row>
    <row r="799" spans="1:4" ht="15" customHeight="1">
      <c r="A799" s="767" t="s">
        <v>3450</v>
      </c>
      <c r="B799" s="767" t="s">
        <v>4157</v>
      </c>
      <c r="C799" s="779" t="s">
        <v>3455</v>
      </c>
      <c r="D799" s="301"/>
    </row>
    <row r="800" spans="1:4" ht="15" customHeight="1">
      <c r="A800" s="767" t="s">
        <v>3450</v>
      </c>
      <c r="B800" s="767" t="s">
        <v>4158</v>
      </c>
      <c r="C800" s="779" t="s">
        <v>3455</v>
      </c>
      <c r="D800" s="301"/>
    </row>
    <row r="801" spans="1:4" ht="15" customHeight="1">
      <c r="A801" s="767" t="s">
        <v>3450</v>
      </c>
      <c r="B801" s="767" t="s">
        <v>4159</v>
      </c>
      <c r="C801" s="779" t="s">
        <v>3455</v>
      </c>
      <c r="D801" s="301"/>
    </row>
    <row r="802" spans="1:4" ht="15" customHeight="1">
      <c r="A802" s="767" t="s">
        <v>3450</v>
      </c>
      <c r="B802" s="767" t="s">
        <v>4160</v>
      </c>
      <c r="C802" s="779" t="s">
        <v>3455</v>
      </c>
      <c r="D802" s="301"/>
    </row>
    <row r="803" spans="1:4" ht="15" customHeight="1">
      <c r="A803" s="767" t="s">
        <v>3450</v>
      </c>
      <c r="B803" s="767" t="s">
        <v>4161</v>
      </c>
      <c r="C803" s="779" t="s">
        <v>3455</v>
      </c>
      <c r="D803" s="301"/>
    </row>
    <row r="804" spans="1:4" ht="15" customHeight="1">
      <c r="A804" s="767" t="s">
        <v>3450</v>
      </c>
      <c r="B804" s="767" t="s">
        <v>4162</v>
      </c>
      <c r="C804" s="779" t="s">
        <v>3455</v>
      </c>
      <c r="D804" s="301"/>
    </row>
    <row r="805" spans="1:4" ht="15" customHeight="1">
      <c r="A805" s="767" t="s">
        <v>3450</v>
      </c>
      <c r="B805" s="767" t="s">
        <v>4163</v>
      </c>
      <c r="C805" s="779" t="s">
        <v>3455</v>
      </c>
      <c r="D805" s="301"/>
    </row>
    <row r="806" spans="1:4" ht="15" customHeight="1">
      <c r="A806" s="767" t="s">
        <v>3450</v>
      </c>
      <c r="B806" s="767" t="s">
        <v>4164</v>
      </c>
      <c r="C806" s="779" t="s">
        <v>3455</v>
      </c>
      <c r="D806" s="301"/>
    </row>
    <row r="807" spans="1:4" ht="15" customHeight="1">
      <c r="A807" s="767" t="s">
        <v>3450</v>
      </c>
      <c r="B807" s="767" t="s">
        <v>4165</v>
      </c>
      <c r="C807" s="779" t="s">
        <v>3455</v>
      </c>
      <c r="D807" s="301"/>
    </row>
    <row r="808" spans="1:4" ht="15" customHeight="1">
      <c r="A808" s="767" t="s">
        <v>3450</v>
      </c>
      <c r="B808" s="767" t="s">
        <v>4166</v>
      </c>
      <c r="C808" s="779" t="s">
        <v>3455</v>
      </c>
      <c r="D808" s="301"/>
    </row>
    <row r="809" spans="1:4" ht="15" customHeight="1">
      <c r="A809" s="767" t="s">
        <v>3450</v>
      </c>
      <c r="B809" s="767" t="s">
        <v>4167</v>
      </c>
      <c r="C809" s="779" t="s">
        <v>3455</v>
      </c>
      <c r="D809" s="301"/>
    </row>
    <row r="810" spans="1:4" ht="15" customHeight="1">
      <c r="A810" s="767" t="s">
        <v>3450</v>
      </c>
      <c r="B810" s="767" t="s">
        <v>4168</v>
      </c>
      <c r="C810" s="779" t="s">
        <v>3455</v>
      </c>
      <c r="D810" s="301"/>
    </row>
    <row r="811" spans="1:4" ht="15" customHeight="1">
      <c r="A811" s="767" t="s">
        <v>3450</v>
      </c>
      <c r="B811" s="767" t="s">
        <v>4169</v>
      </c>
      <c r="C811" s="779" t="s">
        <v>3455</v>
      </c>
      <c r="D811" s="301"/>
    </row>
    <row r="812" spans="1:4" ht="15" customHeight="1">
      <c r="A812" s="767" t="s">
        <v>3450</v>
      </c>
      <c r="B812" s="767" t="s">
        <v>4170</v>
      </c>
      <c r="C812" s="779" t="s">
        <v>3455</v>
      </c>
      <c r="D812" s="301"/>
    </row>
    <row r="813" spans="1:4" ht="15" customHeight="1">
      <c r="A813" s="767" t="s">
        <v>3450</v>
      </c>
      <c r="B813" s="767" t="s">
        <v>4171</v>
      </c>
      <c r="C813" s="779" t="s">
        <v>3455</v>
      </c>
      <c r="D813" s="301"/>
    </row>
    <row r="814" spans="1:4" ht="15" customHeight="1">
      <c r="A814" s="767" t="s">
        <v>3450</v>
      </c>
      <c r="B814" s="767" t="s">
        <v>4172</v>
      </c>
      <c r="C814" s="779" t="s">
        <v>3455</v>
      </c>
      <c r="D814" s="301"/>
    </row>
    <row r="815" spans="1:4" ht="15" customHeight="1">
      <c r="A815" s="767" t="s">
        <v>3450</v>
      </c>
      <c r="B815" s="767" t="s">
        <v>4173</v>
      </c>
      <c r="C815" s="779" t="s">
        <v>3455</v>
      </c>
      <c r="D815" s="301"/>
    </row>
    <row r="816" spans="1:4" ht="15" customHeight="1">
      <c r="A816" s="767" t="s">
        <v>3450</v>
      </c>
      <c r="B816" s="767" t="s">
        <v>4174</v>
      </c>
      <c r="C816" s="779" t="s">
        <v>3455</v>
      </c>
      <c r="D816" s="301"/>
    </row>
    <row r="817" spans="1:4" ht="15" customHeight="1">
      <c r="A817" s="767" t="s">
        <v>3450</v>
      </c>
      <c r="B817" s="767" t="s">
        <v>4175</v>
      </c>
      <c r="C817" s="779" t="s">
        <v>3455</v>
      </c>
      <c r="D817" s="301"/>
    </row>
    <row r="818" spans="1:4" ht="15" customHeight="1">
      <c r="A818" s="767" t="s">
        <v>3450</v>
      </c>
      <c r="B818" s="767" t="s">
        <v>4176</v>
      </c>
      <c r="C818" s="779" t="s">
        <v>3455</v>
      </c>
      <c r="D818" s="301"/>
    </row>
    <row r="819" spans="1:4" ht="15" customHeight="1">
      <c r="A819" s="767" t="s">
        <v>3450</v>
      </c>
      <c r="B819" s="767" t="s">
        <v>4177</v>
      </c>
      <c r="C819" s="779" t="s">
        <v>3455</v>
      </c>
      <c r="D819" s="301"/>
    </row>
    <row r="820" spans="1:4" ht="15" customHeight="1">
      <c r="A820" s="767" t="s">
        <v>3450</v>
      </c>
      <c r="B820" s="767" t="s">
        <v>4178</v>
      </c>
      <c r="C820" s="779" t="s">
        <v>3455</v>
      </c>
      <c r="D820" s="301"/>
    </row>
    <row r="821" spans="1:4" ht="15" customHeight="1">
      <c r="A821" s="767" t="s">
        <v>3450</v>
      </c>
      <c r="B821" s="767" t="s">
        <v>4179</v>
      </c>
      <c r="C821" s="779" t="s">
        <v>3455</v>
      </c>
      <c r="D821" s="301"/>
    </row>
    <row r="822" spans="1:4" ht="15" customHeight="1">
      <c r="A822" s="767" t="s">
        <v>3450</v>
      </c>
      <c r="B822" s="767" t="s">
        <v>4180</v>
      </c>
      <c r="C822" s="779" t="s">
        <v>3455</v>
      </c>
      <c r="D822" s="301"/>
    </row>
    <row r="823" spans="1:4" ht="15" customHeight="1">
      <c r="A823" s="767" t="s">
        <v>3450</v>
      </c>
      <c r="B823" s="767" t="s">
        <v>4181</v>
      </c>
      <c r="C823" s="779" t="s">
        <v>3455</v>
      </c>
      <c r="D823" s="301"/>
    </row>
    <row r="824" spans="1:4" ht="15" customHeight="1">
      <c r="A824" s="767" t="s">
        <v>3450</v>
      </c>
      <c r="B824" s="767" t="s">
        <v>4182</v>
      </c>
      <c r="C824" s="779" t="s">
        <v>3455</v>
      </c>
      <c r="D824" s="301"/>
    </row>
    <row r="825" spans="1:4" ht="15" customHeight="1">
      <c r="A825" s="767" t="s">
        <v>3450</v>
      </c>
      <c r="B825" s="767" t="s">
        <v>4183</v>
      </c>
      <c r="C825" s="779" t="s">
        <v>3455</v>
      </c>
      <c r="D825" s="301"/>
    </row>
    <row r="826" spans="1:4" ht="15" customHeight="1">
      <c r="A826" s="767" t="s">
        <v>3450</v>
      </c>
      <c r="B826" s="767" t="s">
        <v>4184</v>
      </c>
      <c r="C826" s="779" t="s">
        <v>3455</v>
      </c>
      <c r="D826" s="301"/>
    </row>
    <row r="827" spans="1:4" ht="15" customHeight="1">
      <c r="A827" s="767" t="s">
        <v>3450</v>
      </c>
      <c r="B827" s="767" t="s">
        <v>4185</v>
      </c>
      <c r="C827" s="779" t="s">
        <v>3455</v>
      </c>
      <c r="D827" s="301"/>
    </row>
    <row r="828" spans="1:4" ht="15" customHeight="1">
      <c r="A828" s="767" t="s">
        <v>3450</v>
      </c>
      <c r="B828" s="767" t="s">
        <v>4186</v>
      </c>
      <c r="C828" s="779" t="s">
        <v>3455</v>
      </c>
      <c r="D828" s="301"/>
    </row>
    <row r="829" spans="1:4" ht="15" customHeight="1">
      <c r="A829" s="767" t="s">
        <v>3450</v>
      </c>
      <c r="B829" s="767" t="s">
        <v>4187</v>
      </c>
      <c r="C829" s="779" t="s">
        <v>3455</v>
      </c>
      <c r="D829" s="301"/>
    </row>
    <row r="830" spans="1:4" ht="15" customHeight="1">
      <c r="A830" s="767" t="s">
        <v>3450</v>
      </c>
      <c r="B830" s="767" t="s">
        <v>4188</v>
      </c>
      <c r="C830" s="779" t="s">
        <v>3455</v>
      </c>
      <c r="D830" s="301"/>
    </row>
    <row r="831" spans="1:4" ht="15" customHeight="1">
      <c r="A831" s="767" t="s">
        <v>3450</v>
      </c>
      <c r="B831" s="767" t="s">
        <v>4189</v>
      </c>
      <c r="C831" s="779" t="s">
        <v>3455</v>
      </c>
      <c r="D831" s="301"/>
    </row>
    <row r="832" spans="1:4" ht="15" customHeight="1">
      <c r="A832" s="767" t="s">
        <v>3450</v>
      </c>
      <c r="B832" s="767" t="s">
        <v>4190</v>
      </c>
      <c r="C832" s="779" t="s">
        <v>3455</v>
      </c>
      <c r="D832" s="301"/>
    </row>
    <row r="833" spans="1:4" ht="15" customHeight="1">
      <c r="A833" s="767" t="s">
        <v>3450</v>
      </c>
      <c r="B833" s="767" t="s">
        <v>4191</v>
      </c>
      <c r="C833" s="779" t="s">
        <v>3455</v>
      </c>
      <c r="D833" s="301"/>
    </row>
    <row r="834" spans="1:4" ht="15" customHeight="1">
      <c r="A834" s="767" t="s">
        <v>3450</v>
      </c>
      <c r="B834" s="767" t="s">
        <v>4192</v>
      </c>
      <c r="C834" s="779" t="s">
        <v>3455</v>
      </c>
      <c r="D834" s="301"/>
    </row>
    <row r="835" spans="1:4" ht="15" customHeight="1">
      <c r="A835" s="767" t="s">
        <v>3450</v>
      </c>
      <c r="B835" s="767" t="s">
        <v>4193</v>
      </c>
      <c r="C835" s="779" t="s">
        <v>3455</v>
      </c>
      <c r="D835" s="301"/>
    </row>
    <row r="836" spans="1:4" ht="15" customHeight="1">
      <c r="A836" s="767" t="s">
        <v>3450</v>
      </c>
      <c r="B836" s="767" t="s">
        <v>4194</v>
      </c>
      <c r="C836" s="779" t="s">
        <v>3455</v>
      </c>
      <c r="D836" s="301"/>
    </row>
    <row r="837" spans="1:4" ht="15" customHeight="1">
      <c r="A837" s="767" t="s">
        <v>3450</v>
      </c>
      <c r="B837" s="767" t="s">
        <v>4195</v>
      </c>
      <c r="C837" s="779" t="s">
        <v>3455</v>
      </c>
      <c r="D837" s="301"/>
    </row>
    <row r="838" spans="1:4" ht="15" customHeight="1">
      <c r="A838" s="767" t="s">
        <v>3450</v>
      </c>
      <c r="B838" s="767" t="s">
        <v>4196</v>
      </c>
      <c r="C838" s="779" t="s">
        <v>3455</v>
      </c>
      <c r="D838" s="301"/>
    </row>
    <row r="839" spans="1:4" ht="15" customHeight="1">
      <c r="A839" s="767" t="s">
        <v>3450</v>
      </c>
      <c r="B839" s="767" t="s">
        <v>4197</v>
      </c>
      <c r="C839" s="779" t="s">
        <v>3455</v>
      </c>
      <c r="D839" s="301"/>
    </row>
    <row r="840" spans="1:4" ht="15" customHeight="1">
      <c r="A840" s="767" t="s">
        <v>3450</v>
      </c>
      <c r="B840" s="767" t="s">
        <v>4198</v>
      </c>
      <c r="C840" s="779" t="s">
        <v>3455</v>
      </c>
      <c r="D840" s="301"/>
    </row>
    <row r="841" spans="1:4" ht="15" customHeight="1">
      <c r="A841" s="767" t="s">
        <v>3450</v>
      </c>
      <c r="B841" s="767" t="s">
        <v>4199</v>
      </c>
      <c r="C841" s="779" t="s">
        <v>3455</v>
      </c>
      <c r="D841" s="301"/>
    </row>
    <row r="842" spans="1:4" ht="15" customHeight="1">
      <c r="A842" s="767" t="s">
        <v>3450</v>
      </c>
      <c r="B842" s="767" t="s">
        <v>4200</v>
      </c>
      <c r="C842" s="779" t="s">
        <v>3455</v>
      </c>
      <c r="D842" s="301"/>
    </row>
    <row r="843" spans="1:4" ht="15" customHeight="1">
      <c r="A843" s="767" t="s">
        <v>3450</v>
      </c>
      <c r="B843" s="767" t="s">
        <v>4201</v>
      </c>
      <c r="C843" s="779" t="s">
        <v>3455</v>
      </c>
      <c r="D843" s="301"/>
    </row>
    <row r="844" spans="1:4" ht="15" customHeight="1">
      <c r="A844" s="767" t="s">
        <v>3450</v>
      </c>
      <c r="B844" s="767" t="s">
        <v>4202</v>
      </c>
      <c r="C844" s="779" t="s">
        <v>3455</v>
      </c>
      <c r="D844" s="301"/>
    </row>
    <row r="845" spans="1:4" ht="15" customHeight="1">
      <c r="A845" s="767" t="s">
        <v>3450</v>
      </c>
      <c r="B845" s="767" t="s">
        <v>4203</v>
      </c>
      <c r="C845" s="779" t="s">
        <v>3455</v>
      </c>
      <c r="D845" s="301"/>
    </row>
    <row r="846" spans="1:4" ht="15" customHeight="1">
      <c r="A846" s="767" t="s">
        <v>3450</v>
      </c>
      <c r="B846" s="767" t="s">
        <v>4204</v>
      </c>
      <c r="C846" s="779" t="s">
        <v>3455</v>
      </c>
      <c r="D846" s="301"/>
    </row>
    <row r="847" spans="1:4" ht="15" customHeight="1">
      <c r="A847" s="767" t="s">
        <v>3450</v>
      </c>
      <c r="B847" s="767" t="s">
        <v>4205</v>
      </c>
      <c r="C847" s="779" t="s">
        <v>3455</v>
      </c>
      <c r="D847" s="301"/>
    </row>
    <row r="848" spans="1:4" ht="15" customHeight="1">
      <c r="A848" s="767" t="s">
        <v>3450</v>
      </c>
      <c r="B848" s="767" t="s">
        <v>4206</v>
      </c>
      <c r="C848" s="779" t="s">
        <v>3455</v>
      </c>
      <c r="D848" s="301"/>
    </row>
    <row r="849" spans="1:4" ht="15" customHeight="1">
      <c r="A849" s="767" t="s">
        <v>3450</v>
      </c>
      <c r="B849" s="767" t="s">
        <v>4207</v>
      </c>
      <c r="C849" s="779" t="s">
        <v>3455</v>
      </c>
      <c r="D849" s="301"/>
    </row>
    <row r="850" spans="1:4" ht="15" customHeight="1">
      <c r="A850" s="767" t="s">
        <v>3450</v>
      </c>
      <c r="B850" s="767" t="s">
        <v>4208</v>
      </c>
      <c r="C850" s="779" t="s">
        <v>3455</v>
      </c>
      <c r="D850" s="301"/>
    </row>
    <row r="851" spans="1:4" ht="15" customHeight="1">
      <c r="A851" s="767" t="s">
        <v>3450</v>
      </c>
      <c r="B851" s="767" t="s">
        <v>4209</v>
      </c>
      <c r="C851" s="779" t="s">
        <v>3455</v>
      </c>
      <c r="D851" s="301"/>
    </row>
    <row r="852" spans="1:4" ht="15" customHeight="1">
      <c r="A852" s="767" t="s">
        <v>3450</v>
      </c>
      <c r="B852" s="767" t="s">
        <v>4210</v>
      </c>
      <c r="C852" s="779" t="s">
        <v>3455</v>
      </c>
      <c r="D852" s="301"/>
    </row>
    <row r="853" spans="1:4" ht="15" customHeight="1">
      <c r="A853" s="767" t="s">
        <v>3450</v>
      </c>
      <c r="B853" s="767" t="s">
        <v>4211</v>
      </c>
      <c r="C853" s="779" t="s">
        <v>3455</v>
      </c>
      <c r="D853" s="301"/>
    </row>
    <row r="854" spans="1:4" ht="15" customHeight="1">
      <c r="A854" s="767" t="s">
        <v>3450</v>
      </c>
      <c r="B854" s="767" t="s">
        <v>4212</v>
      </c>
      <c r="C854" s="779" t="s">
        <v>3455</v>
      </c>
      <c r="D854" s="301"/>
    </row>
    <row r="855" spans="1:4" ht="15" customHeight="1">
      <c r="A855" s="767" t="s">
        <v>3450</v>
      </c>
      <c r="B855" s="767" t="s">
        <v>4213</v>
      </c>
      <c r="C855" s="779" t="s">
        <v>3455</v>
      </c>
      <c r="D855" s="301"/>
    </row>
    <row r="856" spans="1:4" ht="15" customHeight="1">
      <c r="A856" s="767" t="s">
        <v>3450</v>
      </c>
      <c r="B856" s="767" t="s">
        <v>4214</v>
      </c>
      <c r="C856" s="779" t="s">
        <v>3455</v>
      </c>
      <c r="D856" s="301"/>
    </row>
    <row r="857" spans="1:4" ht="15" customHeight="1">
      <c r="A857" s="767" t="s">
        <v>3450</v>
      </c>
      <c r="B857" s="767" t="s">
        <v>4215</v>
      </c>
      <c r="C857" s="779" t="s">
        <v>3455</v>
      </c>
      <c r="D857" s="301"/>
    </row>
    <row r="858" spans="1:4" ht="15" customHeight="1">
      <c r="A858" s="767" t="s">
        <v>3450</v>
      </c>
      <c r="B858" s="767" t="s">
        <v>4216</v>
      </c>
      <c r="C858" s="779" t="s">
        <v>3455</v>
      </c>
      <c r="D858" s="301"/>
    </row>
    <row r="859" spans="1:4" ht="15" customHeight="1">
      <c r="A859" s="767" t="s">
        <v>3450</v>
      </c>
      <c r="B859" s="767" t="s">
        <v>4217</v>
      </c>
      <c r="C859" s="779" t="s">
        <v>3455</v>
      </c>
      <c r="D859" s="301"/>
    </row>
    <row r="860" spans="1:4" ht="15" customHeight="1">
      <c r="A860" s="767" t="s">
        <v>3450</v>
      </c>
      <c r="B860" s="767" t="s">
        <v>4218</v>
      </c>
      <c r="C860" s="779" t="s">
        <v>3455</v>
      </c>
      <c r="D860" s="301"/>
    </row>
    <row r="861" spans="1:4" ht="15" customHeight="1">
      <c r="A861" s="767" t="s">
        <v>3450</v>
      </c>
      <c r="B861" s="767" t="s">
        <v>4219</v>
      </c>
      <c r="C861" s="779" t="s">
        <v>3455</v>
      </c>
      <c r="D861" s="301"/>
    </row>
    <row r="862" spans="1:4" ht="15" customHeight="1">
      <c r="A862" s="767" t="s">
        <v>3450</v>
      </c>
      <c r="B862" s="767" t="s">
        <v>4220</v>
      </c>
      <c r="C862" s="779" t="s">
        <v>3455</v>
      </c>
      <c r="D862" s="301"/>
    </row>
    <row r="863" spans="1:4" ht="15" customHeight="1">
      <c r="A863" s="767" t="s">
        <v>3450</v>
      </c>
      <c r="B863" s="767" t="s">
        <v>4221</v>
      </c>
      <c r="C863" s="779" t="s">
        <v>3455</v>
      </c>
      <c r="D863" s="301"/>
    </row>
    <row r="864" spans="1:4" ht="15" customHeight="1">
      <c r="A864" s="767" t="s">
        <v>3450</v>
      </c>
      <c r="B864" s="767" t="s">
        <v>4222</v>
      </c>
      <c r="C864" s="779" t="s">
        <v>3455</v>
      </c>
      <c r="D864" s="301"/>
    </row>
    <row r="865" spans="1:4" ht="15" customHeight="1">
      <c r="A865" s="767" t="s">
        <v>3450</v>
      </c>
      <c r="B865" s="767" t="s">
        <v>4223</v>
      </c>
      <c r="C865" s="779" t="s">
        <v>3455</v>
      </c>
      <c r="D865" s="301"/>
    </row>
    <row r="866" spans="1:4" ht="15" customHeight="1">
      <c r="A866" s="767" t="s">
        <v>3450</v>
      </c>
      <c r="B866" s="767" t="s">
        <v>4224</v>
      </c>
      <c r="C866" s="779" t="s">
        <v>3455</v>
      </c>
      <c r="D866" s="301"/>
    </row>
    <row r="867" spans="1:4" ht="15" customHeight="1">
      <c r="A867" s="767" t="s">
        <v>3450</v>
      </c>
      <c r="B867" s="767" t="s">
        <v>4225</v>
      </c>
      <c r="C867" s="779" t="s">
        <v>3455</v>
      </c>
      <c r="D867" s="301"/>
    </row>
    <row r="868" spans="1:4" ht="15" customHeight="1">
      <c r="A868" s="767" t="s">
        <v>3450</v>
      </c>
      <c r="B868" s="767" t="s">
        <v>4226</v>
      </c>
      <c r="C868" s="779" t="s">
        <v>3455</v>
      </c>
      <c r="D868" s="301"/>
    </row>
    <row r="869" spans="1:4" ht="15" customHeight="1">
      <c r="A869" s="767" t="s">
        <v>3450</v>
      </c>
      <c r="B869" s="767" t="s">
        <v>4227</v>
      </c>
      <c r="C869" s="779" t="s">
        <v>3455</v>
      </c>
      <c r="D869" s="301"/>
    </row>
    <row r="870" spans="1:4" ht="15" customHeight="1">
      <c r="A870" s="767" t="s">
        <v>3450</v>
      </c>
      <c r="B870" s="767" t="s">
        <v>4228</v>
      </c>
      <c r="C870" s="779" t="s">
        <v>3455</v>
      </c>
      <c r="D870" s="301"/>
    </row>
    <row r="871" spans="1:4" ht="15" customHeight="1">
      <c r="A871" s="767" t="s">
        <v>3450</v>
      </c>
      <c r="B871" s="767" t="s">
        <v>4229</v>
      </c>
      <c r="C871" s="779" t="s">
        <v>3455</v>
      </c>
      <c r="D871" s="301"/>
    </row>
    <row r="872" spans="1:4" ht="15" customHeight="1">
      <c r="A872" s="767" t="s">
        <v>3450</v>
      </c>
      <c r="B872" s="767" t="s">
        <v>4230</v>
      </c>
      <c r="C872" s="779" t="s">
        <v>3455</v>
      </c>
      <c r="D872" s="301"/>
    </row>
    <row r="873" spans="1:4" ht="15" customHeight="1">
      <c r="A873" s="767" t="s">
        <v>3450</v>
      </c>
      <c r="B873" s="767" t="s">
        <v>4231</v>
      </c>
      <c r="C873" s="779" t="s">
        <v>3455</v>
      </c>
      <c r="D873" s="301"/>
    </row>
    <row r="874" spans="1:4" ht="15" customHeight="1">
      <c r="A874" s="767" t="s">
        <v>3450</v>
      </c>
      <c r="B874" s="767" t="s">
        <v>4232</v>
      </c>
      <c r="C874" s="779" t="s">
        <v>3455</v>
      </c>
      <c r="D874" s="301"/>
    </row>
    <row r="875" spans="1:4" ht="15" customHeight="1">
      <c r="A875" s="767" t="s">
        <v>3450</v>
      </c>
      <c r="B875" s="767" t="s">
        <v>4233</v>
      </c>
      <c r="C875" s="779" t="s">
        <v>3455</v>
      </c>
      <c r="D875" s="301"/>
    </row>
    <row r="876" spans="1:4" ht="15" customHeight="1">
      <c r="A876" s="767" t="s">
        <v>3450</v>
      </c>
      <c r="B876" s="767" t="s">
        <v>4234</v>
      </c>
      <c r="C876" s="779" t="s">
        <v>3455</v>
      </c>
      <c r="D876" s="301"/>
    </row>
    <row r="877" spans="1:4" ht="15" customHeight="1">
      <c r="A877" s="767" t="s">
        <v>3450</v>
      </c>
      <c r="B877" s="767" t="s">
        <v>4235</v>
      </c>
      <c r="C877" s="779" t="s">
        <v>3455</v>
      </c>
      <c r="D877" s="301"/>
    </row>
    <row r="878" spans="1:4" ht="15" customHeight="1">
      <c r="A878" s="767" t="s">
        <v>3450</v>
      </c>
      <c r="B878" s="767" t="s">
        <v>4236</v>
      </c>
      <c r="C878" s="779" t="s">
        <v>3455</v>
      </c>
      <c r="D878" s="301"/>
    </row>
    <row r="879" spans="1:4" ht="15" customHeight="1">
      <c r="A879" s="767" t="s">
        <v>3450</v>
      </c>
      <c r="B879" s="767" t="s">
        <v>4237</v>
      </c>
      <c r="C879" s="779" t="s">
        <v>3455</v>
      </c>
      <c r="D879" s="301"/>
    </row>
    <row r="880" spans="1:4" ht="15" customHeight="1">
      <c r="A880" s="767" t="s">
        <v>3450</v>
      </c>
      <c r="B880" s="767" t="s">
        <v>4238</v>
      </c>
      <c r="C880" s="779" t="s">
        <v>3455</v>
      </c>
      <c r="D880" s="301"/>
    </row>
    <row r="881" spans="1:4" ht="15" customHeight="1">
      <c r="A881" s="767" t="s">
        <v>3450</v>
      </c>
      <c r="B881" s="767" t="s">
        <v>4239</v>
      </c>
      <c r="C881" s="779" t="s">
        <v>3455</v>
      </c>
      <c r="D881" s="301"/>
    </row>
    <row r="882" spans="1:4" ht="15" customHeight="1">
      <c r="A882" s="767" t="s">
        <v>3450</v>
      </c>
      <c r="B882" s="767" t="s">
        <v>4240</v>
      </c>
      <c r="C882" s="779" t="s">
        <v>3455</v>
      </c>
      <c r="D882" s="301"/>
    </row>
    <row r="883" spans="1:4" ht="15" customHeight="1">
      <c r="A883" s="767" t="s">
        <v>3450</v>
      </c>
      <c r="B883" s="767" t="s">
        <v>4241</v>
      </c>
      <c r="C883" s="779" t="s">
        <v>3455</v>
      </c>
      <c r="D883" s="301"/>
    </row>
    <row r="884" spans="1:4" ht="15" customHeight="1">
      <c r="A884" s="767" t="s">
        <v>3450</v>
      </c>
      <c r="B884" s="767" t="s">
        <v>4242</v>
      </c>
      <c r="C884" s="779" t="s">
        <v>3455</v>
      </c>
      <c r="D884" s="301"/>
    </row>
    <row r="885" spans="1:4" ht="15" customHeight="1">
      <c r="A885" s="767" t="s">
        <v>3450</v>
      </c>
      <c r="B885" s="767" t="s">
        <v>4243</v>
      </c>
      <c r="C885" s="779" t="s">
        <v>3455</v>
      </c>
      <c r="D885" s="301"/>
    </row>
    <row r="886" spans="1:4" ht="15" customHeight="1">
      <c r="A886" s="767" t="s">
        <v>3450</v>
      </c>
      <c r="B886" s="767" t="s">
        <v>4244</v>
      </c>
      <c r="C886" s="779" t="s">
        <v>3455</v>
      </c>
      <c r="D886" s="301"/>
    </row>
    <row r="887" spans="1:4" ht="15" customHeight="1">
      <c r="A887" s="767" t="s">
        <v>3450</v>
      </c>
      <c r="B887" s="767" t="s">
        <v>4245</v>
      </c>
      <c r="C887" s="779" t="s">
        <v>3455</v>
      </c>
      <c r="D887" s="301"/>
    </row>
    <row r="888" spans="1:4" ht="15" customHeight="1">
      <c r="A888" s="767" t="s">
        <v>3450</v>
      </c>
      <c r="B888" s="767" t="s">
        <v>4246</v>
      </c>
      <c r="C888" s="779" t="s">
        <v>3455</v>
      </c>
      <c r="D888" s="301"/>
    </row>
    <row r="889" spans="1:4" ht="15" customHeight="1">
      <c r="A889" s="767" t="s">
        <v>3450</v>
      </c>
      <c r="B889" s="767" t="s">
        <v>4247</v>
      </c>
      <c r="C889" s="779" t="s">
        <v>3455</v>
      </c>
      <c r="D889" s="301"/>
    </row>
    <row r="890" spans="1:4" ht="15" customHeight="1">
      <c r="A890" s="767" t="s">
        <v>3450</v>
      </c>
      <c r="B890" s="767" t="s">
        <v>4248</v>
      </c>
      <c r="C890" s="779" t="s">
        <v>3455</v>
      </c>
      <c r="D890" s="301"/>
    </row>
    <row r="891" spans="1:4" ht="15" customHeight="1">
      <c r="A891" s="767" t="s">
        <v>3450</v>
      </c>
      <c r="B891" s="767" t="s">
        <v>4249</v>
      </c>
      <c r="C891" s="779" t="s">
        <v>3455</v>
      </c>
      <c r="D891" s="301"/>
    </row>
    <row r="892" spans="1:4" ht="15" customHeight="1">
      <c r="A892" s="767" t="s">
        <v>3450</v>
      </c>
      <c r="B892" s="767" t="s">
        <v>4250</v>
      </c>
      <c r="C892" s="779" t="s">
        <v>3455</v>
      </c>
      <c r="D892" s="301"/>
    </row>
    <row r="893" spans="1:4" ht="15" customHeight="1">
      <c r="A893" s="767" t="s">
        <v>3450</v>
      </c>
      <c r="B893" s="767" t="s">
        <v>4251</v>
      </c>
      <c r="C893" s="779" t="s">
        <v>3455</v>
      </c>
      <c r="D893" s="301"/>
    </row>
    <row r="894" spans="1:4" ht="15" customHeight="1">
      <c r="A894" s="767" t="s">
        <v>3450</v>
      </c>
      <c r="B894" s="767" t="s">
        <v>4252</v>
      </c>
      <c r="C894" s="779" t="s">
        <v>3455</v>
      </c>
      <c r="D894" s="301"/>
    </row>
    <row r="895" spans="1:4" ht="15" customHeight="1">
      <c r="A895" s="767" t="s">
        <v>3450</v>
      </c>
      <c r="B895" s="767" t="s">
        <v>4253</v>
      </c>
      <c r="C895" s="779" t="s">
        <v>3455</v>
      </c>
      <c r="D895" s="301"/>
    </row>
    <row r="896" spans="1:4" ht="15" customHeight="1">
      <c r="A896" s="767" t="s">
        <v>3450</v>
      </c>
      <c r="B896" s="767" t="s">
        <v>4254</v>
      </c>
      <c r="C896" s="779" t="s">
        <v>3455</v>
      </c>
      <c r="D896" s="301"/>
    </row>
    <row r="897" spans="1:4" ht="15" customHeight="1">
      <c r="A897" s="767" t="s">
        <v>3450</v>
      </c>
      <c r="B897" s="767" t="s">
        <v>4255</v>
      </c>
      <c r="C897" s="779" t="s">
        <v>3455</v>
      </c>
      <c r="D897" s="301"/>
    </row>
    <row r="898" spans="1:4" ht="15" customHeight="1">
      <c r="A898" s="767" t="s">
        <v>3450</v>
      </c>
      <c r="B898" s="767" t="s">
        <v>4256</v>
      </c>
      <c r="C898" s="779" t="s">
        <v>3455</v>
      </c>
      <c r="D898" s="301"/>
    </row>
    <row r="899" spans="1:4" ht="15" customHeight="1">
      <c r="A899" s="767" t="s">
        <v>3450</v>
      </c>
      <c r="B899" s="767" t="s">
        <v>4257</v>
      </c>
      <c r="C899" s="779" t="s">
        <v>3455</v>
      </c>
      <c r="D899" s="301"/>
    </row>
    <row r="900" spans="1:4" ht="15" customHeight="1">
      <c r="A900" s="767" t="s">
        <v>3450</v>
      </c>
      <c r="B900" s="767" t="s">
        <v>4258</v>
      </c>
      <c r="C900" s="779" t="s">
        <v>3455</v>
      </c>
      <c r="D900" s="301"/>
    </row>
    <row r="901" spans="1:4" ht="15" customHeight="1">
      <c r="A901" s="767" t="s">
        <v>3450</v>
      </c>
      <c r="B901" s="767" t="s">
        <v>4259</v>
      </c>
      <c r="C901" s="779" t="s">
        <v>3455</v>
      </c>
      <c r="D901" s="301"/>
    </row>
    <row r="902" spans="1:4" ht="15" customHeight="1">
      <c r="A902" s="767" t="s">
        <v>3450</v>
      </c>
      <c r="B902" s="767" t="s">
        <v>4260</v>
      </c>
      <c r="C902" s="779" t="s">
        <v>3455</v>
      </c>
      <c r="D902" s="301"/>
    </row>
    <row r="903" spans="1:4" ht="15" customHeight="1">
      <c r="A903" s="767" t="s">
        <v>3450</v>
      </c>
      <c r="B903" s="767" t="s">
        <v>4261</v>
      </c>
      <c r="C903" s="779" t="s">
        <v>3455</v>
      </c>
      <c r="D903" s="301"/>
    </row>
    <row r="904" spans="1:4" ht="15" customHeight="1">
      <c r="A904" s="767" t="s">
        <v>3450</v>
      </c>
      <c r="B904" s="767" t="s">
        <v>4262</v>
      </c>
      <c r="C904" s="779" t="s">
        <v>3455</v>
      </c>
      <c r="D904" s="301"/>
    </row>
    <row r="905" spans="1:4" ht="15" customHeight="1">
      <c r="A905" s="767" t="s">
        <v>3450</v>
      </c>
      <c r="B905" s="767" t="s">
        <v>4263</v>
      </c>
      <c r="C905" s="779" t="s">
        <v>3455</v>
      </c>
      <c r="D905" s="301"/>
    </row>
    <row r="906" spans="1:4" ht="15" customHeight="1">
      <c r="A906" s="767" t="s">
        <v>3450</v>
      </c>
      <c r="B906" s="767" t="s">
        <v>4264</v>
      </c>
      <c r="C906" s="779" t="s">
        <v>3455</v>
      </c>
      <c r="D906" s="301"/>
    </row>
    <row r="907" spans="1:4" ht="15" customHeight="1">
      <c r="A907" s="767" t="s">
        <v>3450</v>
      </c>
      <c r="B907" s="767" t="s">
        <v>4265</v>
      </c>
      <c r="C907" s="779" t="s">
        <v>3455</v>
      </c>
      <c r="D907" s="301"/>
    </row>
    <row r="908" spans="1:4" ht="15" customHeight="1">
      <c r="A908" s="767" t="s">
        <v>3450</v>
      </c>
      <c r="B908" s="767" t="s">
        <v>4266</v>
      </c>
      <c r="C908" s="779" t="s">
        <v>3455</v>
      </c>
      <c r="D908" s="301"/>
    </row>
    <row r="909" spans="1:4" ht="15" customHeight="1">
      <c r="A909" s="767" t="s">
        <v>3450</v>
      </c>
      <c r="B909" s="767" t="s">
        <v>4267</v>
      </c>
      <c r="C909" s="779" t="s">
        <v>3455</v>
      </c>
      <c r="D909" s="301"/>
    </row>
    <row r="910" spans="1:4" ht="15" customHeight="1">
      <c r="A910" s="767" t="s">
        <v>3450</v>
      </c>
      <c r="B910" s="767" t="s">
        <v>4268</v>
      </c>
      <c r="C910" s="779" t="s">
        <v>3455</v>
      </c>
      <c r="D910" s="301"/>
    </row>
    <row r="911" spans="1:4" ht="15" customHeight="1">
      <c r="A911" s="767" t="s">
        <v>3450</v>
      </c>
      <c r="B911" s="767" t="s">
        <v>4269</v>
      </c>
      <c r="C911" s="779" t="s">
        <v>3455</v>
      </c>
      <c r="D911" s="301"/>
    </row>
    <row r="912" spans="1:4" ht="15" customHeight="1">
      <c r="A912" s="767" t="s">
        <v>3450</v>
      </c>
      <c r="B912" s="767" t="s">
        <v>4270</v>
      </c>
      <c r="C912" s="779" t="s">
        <v>3455</v>
      </c>
      <c r="D912" s="301"/>
    </row>
    <row r="913" spans="1:4" ht="15" customHeight="1">
      <c r="A913" s="767" t="s">
        <v>3450</v>
      </c>
      <c r="B913" s="767" t="s">
        <v>4271</v>
      </c>
      <c r="C913" s="779" t="s">
        <v>3455</v>
      </c>
      <c r="D913" s="301"/>
    </row>
    <row r="914" spans="1:4" ht="15" customHeight="1">
      <c r="A914" s="767" t="s">
        <v>3450</v>
      </c>
      <c r="B914" s="767" t="s">
        <v>4272</v>
      </c>
      <c r="C914" s="779" t="s">
        <v>3455</v>
      </c>
      <c r="D914" s="301"/>
    </row>
    <row r="915" spans="1:4" ht="15" customHeight="1">
      <c r="A915" s="767" t="s">
        <v>3450</v>
      </c>
      <c r="B915" s="767" t="s">
        <v>4273</v>
      </c>
      <c r="C915" s="779" t="s">
        <v>3455</v>
      </c>
      <c r="D915" s="301"/>
    </row>
    <row r="916" spans="1:4" ht="15" customHeight="1">
      <c r="A916" s="767" t="s">
        <v>3450</v>
      </c>
      <c r="B916" s="767" t="s">
        <v>4274</v>
      </c>
      <c r="C916" s="779" t="s">
        <v>3455</v>
      </c>
      <c r="D916" s="301"/>
    </row>
    <row r="917" spans="1:4" ht="15" customHeight="1">
      <c r="A917" s="767" t="s">
        <v>3450</v>
      </c>
      <c r="B917" s="767" t="s">
        <v>4035</v>
      </c>
      <c r="C917" s="779" t="s">
        <v>3455</v>
      </c>
      <c r="D917" s="301"/>
    </row>
    <row r="918" spans="1:4" ht="15" customHeight="1">
      <c r="A918" s="767" t="s">
        <v>3450</v>
      </c>
      <c r="B918" s="767" t="s">
        <v>4050</v>
      </c>
      <c r="C918" s="779" t="s">
        <v>3455</v>
      </c>
      <c r="D918" s="301"/>
    </row>
    <row r="919" spans="1:4" ht="15" customHeight="1">
      <c r="A919" s="767" t="s">
        <v>3450</v>
      </c>
      <c r="B919" s="767" t="s">
        <v>4064</v>
      </c>
      <c r="C919" s="779" t="s">
        <v>3455</v>
      </c>
      <c r="D919" s="301"/>
    </row>
    <row r="920" spans="1:4" ht="15" customHeight="1">
      <c r="A920" s="767" t="s">
        <v>3450</v>
      </c>
      <c r="B920" s="767" t="s">
        <v>4077</v>
      </c>
      <c r="C920" s="779" t="s">
        <v>3455</v>
      </c>
      <c r="D920" s="301"/>
    </row>
    <row r="921" spans="1:4" ht="15" customHeight="1">
      <c r="A921" s="767" t="s">
        <v>3450</v>
      </c>
      <c r="B921" s="767" t="s">
        <v>4099</v>
      </c>
      <c r="C921" s="779" t="s">
        <v>3455</v>
      </c>
      <c r="D921" s="301"/>
    </row>
    <row r="922" spans="1:4" ht="15" customHeight="1">
      <c r="A922" s="767" t="s">
        <v>3450</v>
      </c>
      <c r="B922" s="767" t="s">
        <v>4110</v>
      </c>
      <c r="C922" s="779" t="s">
        <v>3455</v>
      </c>
      <c r="D922" s="301"/>
    </row>
    <row r="923" spans="1:4" ht="15" customHeight="1">
      <c r="A923" s="761" t="s">
        <v>3453</v>
      </c>
      <c r="B923" s="767" t="s">
        <v>4275</v>
      </c>
      <c r="C923" s="779" t="s">
        <v>3626</v>
      </c>
      <c r="D923" s="301"/>
    </row>
    <row r="924" spans="1:4" ht="15" customHeight="1">
      <c r="A924" s="761" t="s">
        <v>3453</v>
      </c>
      <c r="B924" s="761" t="s">
        <v>4276</v>
      </c>
      <c r="C924" s="779" t="s">
        <v>3626</v>
      </c>
      <c r="D924" s="301"/>
    </row>
    <row r="925" spans="1:4" ht="15" customHeight="1">
      <c r="A925" s="761" t="s">
        <v>3453</v>
      </c>
      <c r="B925" s="761" t="s">
        <v>4277</v>
      </c>
      <c r="C925" s="779" t="s">
        <v>3626</v>
      </c>
      <c r="D925" s="301"/>
    </row>
    <row r="926" spans="1:4" ht="15" customHeight="1">
      <c r="A926" s="761" t="s">
        <v>3453</v>
      </c>
      <c r="B926" s="761" t="s">
        <v>4278</v>
      </c>
      <c r="C926" s="779" t="s">
        <v>3626</v>
      </c>
      <c r="D926" s="301"/>
    </row>
    <row r="927" spans="1:4" ht="15" customHeight="1">
      <c r="A927" s="761" t="s">
        <v>3453</v>
      </c>
      <c r="B927" s="761" t="s">
        <v>4279</v>
      </c>
      <c r="C927" s="779" t="s">
        <v>3626</v>
      </c>
      <c r="D927" s="301"/>
    </row>
    <row r="928" spans="1:4" ht="15" customHeight="1">
      <c r="A928" s="761" t="s">
        <v>3453</v>
      </c>
      <c r="B928" s="761" t="s">
        <v>4280</v>
      </c>
      <c r="C928" s="779" t="s">
        <v>3626</v>
      </c>
      <c r="D928" s="301"/>
    </row>
    <row r="929" spans="1:4" ht="15" customHeight="1">
      <c r="A929" s="761" t="s">
        <v>3453</v>
      </c>
      <c r="B929" s="761" t="s">
        <v>4281</v>
      </c>
      <c r="C929" s="779" t="s">
        <v>3626</v>
      </c>
      <c r="D929" s="301"/>
    </row>
    <row r="930" spans="1:4" ht="15" customHeight="1">
      <c r="A930" s="761" t="s">
        <v>3453</v>
      </c>
      <c r="B930" s="761" t="s">
        <v>4282</v>
      </c>
      <c r="C930" s="779" t="s">
        <v>3626</v>
      </c>
      <c r="D930" s="301"/>
    </row>
    <row r="931" spans="1:4" ht="15" customHeight="1">
      <c r="A931" s="761" t="s">
        <v>3453</v>
      </c>
      <c r="B931" s="761" t="s">
        <v>4283</v>
      </c>
      <c r="C931" s="779" t="s">
        <v>3626</v>
      </c>
      <c r="D931" s="301"/>
    </row>
    <row r="932" spans="1:4" ht="15" customHeight="1">
      <c r="A932" s="761" t="s">
        <v>3453</v>
      </c>
      <c r="B932" s="761" t="s">
        <v>4284</v>
      </c>
      <c r="C932" s="779" t="s">
        <v>3626</v>
      </c>
      <c r="D932" s="301"/>
    </row>
    <row r="933" spans="1:4" ht="15" customHeight="1">
      <c r="A933" s="761" t="s">
        <v>3453</v>
      </c>
      <c r="B933" s="761" t="s">
        <v>4285</v>
      </c>
      <c r="C933" s="779" t="s">
        <v>3626</v>
      </c>
      <c r="D933" s="301"/>
    </row>
    <row r="934" spans="1:4" ht="15" customHeight="1">
      <c r="A934" s="761" t="s">
        <v>3453</v>
      </c>
      <c r="B934" s="761" t="s">
        <v>4286</v>
      </c>
      <c r="C934" s="779" t="s">
        <v>3626</v>
      </c>
      <c r="D934" s="301"/>
    </row>
    <row r="935" spans="1:4" ht="15" customHeight="1">
      <c r="A935" s="761" t="s">
        <v>3453</v>
      </c>
      <c r="B935" s="761" t="s">
        <v>4287</v>
      </c>
      <c r="C935" s="779" t="s">
        <v>3626</v>
      </c>
      <c r="D935" s="301"/>
    </row>
    <row r="936" spans="1:4" ht="15" customHeight="1">
      <c r="A936" s="761" t="s">
        <v>3453</v>
      </c>
      <c r="B936" s="761" t="s">
        <v>4288</v>
      </c>
      <c r="C936" s="779" t="s">
        <v>3626</v>
      </c>
      <c r="D936" s="301"/>
    </row>
    <row r="937" spans="1:4" ht="15" customHeight="1">
      <c r="A937" s="761" t="s">
        <v>3453</v>
      </c>
      <c r="B937" s="761" t="s">
        <v>4289</v>
      </c>
      <c r="C937" s="779" t="s">
        <v>3626</v>
      </c>
      <c r="D937" s="301"/>
    </row>
    <row r="938" spans="1:4" ht="15" customHeight="1">
      <c r="A938" s="761" t="s">
        <v>3453</v>
      </c>
      <c r="B938" s="761" t="s">
        <v>4290</v>
      </c>
      <c r="C938" s="779" t="s">
        <v>3626</v>
      </c>
      <c r="D938" s="301"/>
    </row>
    <row r="939" spans="1:4" ht="15" customHeight="1">
      <c r="A939" s="761" t="s">
        <v>3453</v>
      </c>
      <c r="B939" s="761" t="s">
        <v>5904</v>
      </c>
      <c r="C939" s="779" t="s">
        <v>3626</v>
      </c>
      <c r="D939" s="301"/>
    </row>
    <row r="940" spans="1:4" ht="15" customHeight="1">
      <c r="A940" s="761" t="s">
        <v>3453</v>
      </c>
      <c r="B940" s="761" t="s">
        <v>4291</v>
      </c>
      <c r="C940" s="779" t="s">
        <v>3626</v>
      </c>
      <c r="D940" s="301"/>
    </row>
    <row r="941" spans="1:4" ht="15" customHeight="1">
      <c r="A941" s="761" t="s">
        <v>3453</v>
      </c>
      <c r="B941" s="761" t="s">
        <v>4292</v>
      </c>
      <c r="C941" s="779" t="s">
        <v>3626</v>
      </c>
      <c r="D941" s="301"/>
    </row>
    <row r="942" spans="1:4" ht="15" customHeight="1">
      <c r="A942" s="761" t="s">
        <v>3453</v>
      </c>
      <c r="B942" s="761" t="s">
        <v>4293</v>
      </c>
      <c r="C942" s="779" t="s">
        <v>3626</v>
      </c>
      <c r="D942" s="301"/>
    </row>
    <row r="943" spans="1:4" ht="15" customHeight="1">
      <c r="A943" s="761" t="s">
        <v>3453</v>
      </c>
      <c r="B943" s="761" t="s">
        <v>4294</v>
      </c>
      <c r="C943" s="779" t="s">
        <v>3626</v>
      </c>
      <c r="D943" s="301"/>
    </row>
    <row r="944" spans="1:4" ht="15" customHeight="1">
      <c r="A944" s="761" t="s">
        <v>3453</v>
      </c>
      <c r="B944" s="761" t="s">
        <v>4295</v>
      </c>
      <c r="C944" s="779" t="s">
        <v>3626</v>
      </c>
      <c r="D944" s="301"/>
    </row>
    <row r="945" spans="1:4" ht="15" customHeight="1">
      <c r="A945" s="761" t="s">
        <v>3453</v>
      </c>
      <c r="B945" s="761" t="s">
        <v>4296</v>
      </c>
      <c r="C945" s="779" t="s">
        <v>3626</v>
      </c>
      <c r="D945" s="301"/>
    </row>
    <row r="946" spans="1:4" ht="15" customHeight="1">
      <c r="A946" s="761" t="s">
        <v>3453</v>
      </c>
      <c r="B946" s="761" t="s">
        <v>4297</v>
      </c>
      <c r="C946" s="779" t="s">
        <v>3626</v>
      </c>
      <c r="D946" s="301"/>
    </row>
    <row r="947" spans="1:4" ht="15" customHeight="1">
      <c r="A947" s="761" t="s">
        <v>3453</v>
      </c>
      <c r="B947" s="761" t="s">
        <v>4298</v>
      </c>
      <c r="C947" s="779" t="s">
        <v>3626</v>
      </c>
      <c r="D947" s="301"/>
    </row>
    <row r="948" spans="1:4" ht="15" customHeight="1">
      <c r="A948" s="761" t="s">
        <v>3453</v>
      </c>
      <c r="B948" s="761" t="s">
        <v>4299</v>
      </c>
      <c r="C948" s="779" t="s">
        <v>3626</v>
      </c>
      <c r="D948" s="301"/>
    </row>
    <row r="949" spans="1:4" ht="15" customHeight="1">
      <c r="A949" s="761" t="s">
        <v>3453</v>
      </c>
      <c r="B949" s="761" t="s">
        <v>4300</v>
      </c>
      <c r="C949" s="779" t="s">
        <v>3626</v>
      </c>
      <c r="D949" s="301"/>
    </row>
    <row r="950" spans="1:4" ht="15" customHeight="1">
      <c r="A950" s="761" t="s">
        <v>3453</v>
      </c>
      <c r="B950" s="761" t="s">
        <v>4301</v>
      </c>
      <c r="C950" s="779" t="s">
        <v>3626</v>
      </c>
      <c r="D950" s="301"/>
    </row>
    <row r="951" spans="1:4" ht="15" customHeight="1">
      <c r="A951" s="761" t="s">
        <v>3453</v>
      </c>
      <c r="B951" s="761" t="s">
        <v>4302</v>
      </c>
      <c r="C951" s="779" t="s">
        <v>3626</v>
      </c>
      <c r="D951" s="301"/>
    </row>
    <row r="952" spans="1:4" ht="15" customHeight="1">
      <c r="A952" s="761" t="s">
        <v>3453</v>
      </c>
      <c r="B952" s="761" t="s">
        <v>4303</v>
      </c>
      <c r="C952" s="779" t="s">
        <v>3626</v>
      </c>
      <c r="D952" s="301"/>
    </row>
    <row r="953" spans="1:4" ht="15" customHeight="1">
      <c r="A953" s="761" t="s">
        <v>3453</v>
      </c>
      <c r="B953" s="761" t="s">
        <v>4304</v>
      </c>
      <c r="C953" s="779" t="s">
        <v>3626</v>
      </c>
      <c r="D953" s="301"/>
    </row>
    <row r="954" spans="1:4" ht="15" customHeight="1">
      <c r="A954" s="761" t="s">
        <v>3453</v>
      </c>
      <c r="B954" s="761" t="s">
        <v>4305</v>
      </c>
      <c r="C954" s="779" t="s">
        <v>3626</v>
      </c>
      <c r="D954" s="301"/>
    </row>
    <row r="955" spans="1:4" ht="15" customHeight="1">
      <c r="A955" s="761" t="s">
        <v>3453</v>
      </c>
      <c r="B955" s="761" t="s">
        <v>4306</v>
      </c>
      <c r="C955" s="779" t="s">
        <v>3626</v>
      </c>
      <c r="D955" s="301"/>
    </row>
    <row r="956" spans="1:4" ht="15" customHeight="1">
      <c r="A956" s="761" t="s">
        <v>3453</v>
      </c>
      <c r="B956" s="761" t="s">
        <v>4307</v>
      </c>
      <c r="C956" s="779" t="s">
        <v>3626</v>
      </c>
      <c r="D956" s="301"/>
    </row>
    <row r="957" spans="1:4" ht="15" customHeight="1">
      <c r="A957" s="761" t="s">
        <v>3453</v>
      </c>
      <c r="B957" s="761" t="s">
        <v>4308</v>
      </c>
      <c r="C957" s="779" t="s">
        <v>3626</v>
      </c>
      <c r="D957" s="301"/>
    </row>
    <row r="958" spans="1:4" ht="15" customHeight="1">
      <c r="A958" s="761" t="s">
        <v>3453</v>
      </c>
      <c r="B958" s="761" t="s">
        <v>4309</v>
      </c>
      <c r="C958" s="779" t="s">
        <v>3626</v>
      </c>
      <c r="D958" s="301"/>
    </row>
    <row r="959" spans="1:4" ht="15" customHeight="1">
      <c r="A959" s="761" t="s">
        <v>3453</v>
      </c>
      <c r="B959" s="761" t="s">
        <v>4310</v>
      </c>
      <c r="C959" s="779" t="s">
        <v>3626</v>
      </c>
      <c r="D959" s="301"/>
    </row>
    <row r="960" spans="1:4" ht="15" customHeight="1">
      <c r="A960" s="761" t="s">
        <v>3453</v>
      </c>
      <c r="B960" s="761" t="s">
        <v>4311</v>
      </c>
      <c r="C960" s="779" t="s">
        <v>3626</v>
      </c>
      <c r="D960" s="301"/>
    </row>
    <row r="961" spans="1:4" ht="15" customHeight="1">
      <c r="A961" s="761" t="s">
        <v>3453</v>
      </c>
      <c r="B961" s="761" t="s">
        <v>4312</v>
      </c>
      <c r="C961" s="779" t="s">
        <v>3626</v>
      </c>
      <c r="D961" s="301"/>
    </row>
    <row r="962" spans="1:4" ht="15" customHeight="1">
      <c r="A962" s="761" t="s">
        <v>3453</v>
      </c>
      <c r="B962" s="761" t="s">
        <v>4313</v>
      </c>
      <c r="C962" s="779" t="s">
        <v>3626</v>
      </c>
      <c r="D962" s="301"/>
    </row>
    <row r="963" spans="1:4" ht="15" customHeight="1">
      <c r="A963" s="761" t="s">
        <v>3453</v>
      </c>
      <c r="B963" s="761" t="s">
        <v>4314</v>
      </c>
      <c r="C963" s="779" t="s">
        <v>3626</v>
      </c>
      <c r="D963" s="301"/>
    </row>
    <row r="964" spans="1:4" ht="15" customHeight="1">
      <c r="A964" s="761" t="s">
        <v>3453</v>
      </c>
      <c r="B964" s="761" t="s">
        <v>5905</v>
      </c>
      <c r="C964" s="779" t="s">
        <v>3626</v>
      </c>
      <c r="D964" s="301"/>
    </row>
    <row r="965" spans="1:4" ht="15" customHeight="1">
      <c r="A965" s="761" t="s">
        <v>3453</v>
      </c>
      <c r="B965" s="761" t="s">
        <v>4315</v>
      </c>
      <c r="C965" s="779" t="s">
        <v>3626</v>
      </c>
      <c r="D965" s="301"/>
    </row>
    <row r="966" spans="1:4" ht="15" customHeight="1">
      <c r="A966" s="761" t="s">
        <v>3453</v>
      </c>
      <c r="B966" s="761" t="s">
        <v>4316</v>
      </c>
      <c r="C966" s="779" t="s">
        <v>3626</v>
      </c>
      <c r="D966" s="301"/>
    </row>
    <row r="967" spans="1:4" ht="15" customHeight="1">
      <c r="A967" s="761" t="s">
        <v>3453</v>
      </c>
      <c r="B967" s="761" t="s">
        <v>4317</v>
      </c>
      <c r="C967" s="779" t="s">
        <v>3626</v>
      </c>
      <c r="D967" s="301"/>
    </row>
    <row r="968" spans="1:4" ht="15" customHeight="1">
      <c r="A968" s="754"/>
      <c r="B968" s="767"/>
      <c r="C968" s="779"/>
      <c r="D968" s="301"/>
    </row>
    <row r="969" spans="1:4" ht="15" customHeight="1">
      <c r="A969" s="754"/>
      <c r="B969" s="775" t="s">
        <v>4318</v>
      </c>
      <c r="C969" s="779"/>
      <c r="D969" s="301"/>
    </row>
    <row r="970" spans="1:4" ht="15" customHeight="1">
      <c r="A970" s="764"/>
      <c r="B970" s="767"/>
      <c r="C970" s="779"/>
      <c r="D970" s="301"/>
    </row>
    <row r="971" spans="1:4" ht="15" customHeight="1">
      <c r="A971" s="777" t="s">
        <v>4319</v>
      </c>
      <c r="B971" s="778" t="s">
        <v>4320</v>
      </c>
      <c r="C971" s="779"/>
      <c r="D971" s="301"/>
    </row>
    <row r="972" spans="1:4" ht="15" customHeight="1">
      <c r="A972" s="755" t="s">
        <v>2675</v>
      </c>
      <c r="B972" s="755" t="s">
        <v>4321</v>
      </c>
      <c r="C972" s="779" t="s">
        <v>3449</v>
      </c>
      <c r="D972" s="301"/>
    </row>
    <row r="973" spans="1:4" ht="15" customHeight="1">
      <c r="A973" s="757" t="s">
        <v>5723</v>
      </c>
      <c r="B973" s="757" t="s">
        <v>5906</v>
      </c>
      <c r="C973" s="779" t="s">
        <v>3486</v>
      </c>
      <c r="D973" s="301"/>
    </row>
    <row r="974" spans="1:4" ht="15" customHeight="1">
      <c r="A974" s="757" t="s">
        <v>5723</v>
      </c>
      <c r="B974" s="757" t="s">
        <v>5907</v>
      </c>
      <c r="C974" s="779" t="s">
        <v>3486</v>
      </c>
      <c r="D974" s="301"/>
    </row>
    <row r="975" spans="1:4" ht="15" customHeight="1">
      <c r="A975" s="758" t="s">
        <v>3444</v>
      </c>
      <c r="B975" s="758" t="s">
        <v>5908</v>
      </c>
      <c r="C975" s="779" t="s">
        <v>3452</v>
      </c>
      <c r="D975" s="301"/>
    </row>
    <row r="976" spans="1:4" ht="15" customHeight="1">
      <c r="A976" s="758" t="s">
        <v>3444</v>
      </c>
      <c r="B976" s="758" t="s">
        <v>5909</v>
      </c>
      <c r="C976" s="779" t="s">
        <v>3452</v>
      </c>
      <c r="D976" s="301"/>
    </row>
    <row r="977" spans="1:4" ht="15" customHeight="1">
      <c r="A977" s="759" t="s">
        <v>3447</v>
      </c>
      <c r="B977" s="759" t="s">
        <v>4322</v>
      </c>
      <c r="C977" s="779" t="s">
        <v>3514</v>
      </c>
      <c r="D977" s="301"/>
    </row>
    <row r="978" spans="1:4" ht="15" customHeight="1">
      <c r="A978" s="759" t="s">
        <v>3447</v>
      </c>
      <c r="B978" s="759" t="s">
        <v>5910</v>
      </c>
      <c r="C978" s="779" t="s">
        <v>3514</v>
      </c>
      <c r="D978" s="301"/>
    </row>
    <row r="979" spans="1:4" ht="15" customHeight="1">
      <c r="A979" s="760" t="s">
        <v>3450</v>
      </c>
      <c r="B979" s="760" t="s">
        <v>4323</v>
      </c>
      <c r="C979" s="779" t="s">
        <v>3622</v>
      </c>
      <c r="D979" s="301"/>
    </row>
    <row r="980" spans="1:4" ht="15" customHeight="1">
      <c r="A980" s="760" t="s">
        <v>3450</v>
      </c>
      <c r="B980" s="760" t="s">
        <v>4324</v>
      </c>
      <c r="C980" s="779" t="s">
        <v>3622</v>
      </c>
      <c r="D980" s="301"/>
    </row>
    <row r="981" spans="1:4" ht="15" customHeight="1">
      <c r="A981" s="761" t="s">
        <v>3453</v>
      </c>
      <c r="B981" s="761" t="s">
        <v>5911</v>
      </c>
      <c r="C981" s="779" t="s">
        <v>3455</v>
      </c>
      <c r="D981" s="301"/>
    </row>
    <row r="982" spans="1:4" ht="15" customHeight="1">
      <c r="A982" s="106"/>
      <c r="B982" s="106"/>
      <c r="C982" s="106"/>
      <c r="D982" s="301"/>
    </row>
    <row r="983" spans="1:4" ht="15" customHeight="1">
      <c r="A983" s="106"/>
      <c r="B983" s="106"/>
      <c r="C983" s="106"/>
      <c r="D983" s="301"/>
    </row>
    <row r="984" spans="1:4" ht="15" customHeight="1">
      <c r="A984" s="106"/>
      <c r="B984" s="106"/>
      <c r="C984" s="106"/>
      <c r="D984" s="301"/>
    </row>
    <row r="985" spans="1:4" ht="15" customHeight="1">
      <c r="A985" s="106"/>
      <c r="B985" s="106"/>
      <c r="C985" s="106"/>
      <c r="D985" s="301"/>
    </row>
    <row r="986" spans="1:4" ht="15" customHeight="1">
      <c r="A986" s="106"/>
      <c r="B986" s="106"/>
      <c r="C986" s="106"/>
      <c r="D986" s="301"/>
    </row>
    <row r="987" spans="1:4" ht="15" customHeight="1">
      <c r="A987" s="106"/>
      <c r="B987" s="106"/>
      <c r="C987" s="106"/>
      <c r="D987" s="301"/>
    </row>
    <row r="988" spans="1:4" ht="15" customHeight="1">
      <c r="A988" s="106"/>
      <c r="B988" s="106"/>
      <c r="C988" s="106"/>
      <c r="D988" s="301"/>
    </row>
    <row r="989" spans="1:4" ht="15" customHeight="1">
      <c r="A989" s="106"/>
      <c r="B989" s="106"/>
      <c r="C989" s="106"/>
      <c r="D989" s="301"/>
    </row>
    <row r="990" spans="1:4" ht="15" customHeight="1">
      <c r="A990" s="106"/>
      <c r="B990" s="106"/>
      <c r="C990" s="106"/>
      <c r="D990" s="301"/>
    </row>
    <row r="991" spans="1:4" ht="15" customHeight="1">
      <c r="A991" s="106"/>
      <c r="B991" s="106"/>
      <c r="C991" s="106"/>
      <c r="D991" s="301"/>
    </row>
    <row r="992" spans="1:4" ht="15" customHeight="1">
      <c r="A992" s="106"/>
      <c r="B992" s="106"/>
      <c r="C992" s="106"/>
      <c r="D992" s="301"/>
    </row>
    <row r="993" spans="1:4" ht="15" customHeight="1">
      <c r="A993" s="106"/>
      <c r="B993" s="106"/>
      <c r="C993" s="106"/>
      <c r="D993" s="301"/>
    </row>
    <row r="994" spans="1:4" ht="15" customHeight="1">
      <c r="A994" s="106"/>
      <c r="B994" s="106"/>
      <c r="C994" s="106"/>
      <c r="D994" s="301"/>
    </row>
    <row r="995" spans="1:4" ht="15" customHeight="1">
      <c r="A995" s="106"/>
      <c r="B995" s="106"/>
      <c r="C995" s="106"/>
      <c r="D995" s="301"/>
    </row>
    <row r="996" spans="1:4" ht="15" customHeight="1">
      <c r="A996" s="106"/>
      <c r="B996" s="106"/>
      <c r="C996" s="106"/>
      <c r="D996" s="301"/>
    </row>
    <row r="997" spans="1:4" ht="15" customHeight="1">
      <c r="A997" s="106"/>
      <c r="B997" s="106"/>
      <c r="C997" s="106"/>
      <c r="D997" s="301"/>
    </row>
    <row r="998" spans="1:4" ht="15" customHeight="1">
      <c r="A998" s="106"/>
      <c r="B998" s="106"/>
      <c r="C998" s="106"/>
      <c r="D998" s="301"/>
    </row>
    <row r="999" spans="1:4" ht="15" customHeight="1">
      <c r="A999" s="106"/>
      <c r="B999" s="106"/>
      <c r="C999" s="106"/>
      <c r="D999" s="301"/>
    </row>
    <row r="1000" spans="1:4" ht="15" customHeight="1">
      <c r="A1000" s="106"/>
      <c r="B1000" s="106"/>
      <c r="C1000" s="106"/>
      <c r="D1000" s="301"/>
    </row>
    <row r="1001" spans="1:4" ht="15" customHeight="1">
      <c r="A1001" s="106"/>
      <c r="B1001" s="106"/>
      <c r="C1001" s="106"/>
      <c r="D1001" s="301"/>
    </row>
    <row r="1002" spans="1:4" ht="15" customHeight="1">
      <c r="A1002" s="106"/>
      <c r="B1002" s="106"/>
      <c r="C1002" s="106"/>
      <c r="D1002" s="301"/>
    </row>
    <row r="1003" spans="1:4" ht="15" customHeight="1">
      <c r="A1003" s="106"/>
      <c r="B1003" s="106"/>
      <c r="C1003" s="106"/>
      <c r="D1003" s="301"/>
    </row>
    <row r="1004" spans="1:4" ht="15" customHeight="1">
      <c r="A1004" s="106"/>
      <c r="B1004" s="106"/>
      <c r="C1004" s="106"/>
      <c r="D1004" s="301"/>
    </row>
    <row r="1005" spans="1:4" ht="15" customHeight="1">
      <c r="A1005" s="106"/>
      <c r="B1005" s="106"/>
      <c r="C1005" s="106"/>
      <c r="D1005" s="301"/>
    </row>
    <row r="1006" spans="1:4" ht="15" customHeight="1">
      <c r="A1006" s="106"/>
      <c r="B1006" s="106"/>
      <c r="C1006" s="106"/>
      <c r="D1006" s="301"/>
    </row>
    <row r="1007" spans="1:4" ht="15" customHeight="1">
      <c r="A1007" s="106"/>
      <c r="B1007" s="106"/>
      <c r="C1007" s="106"/>
      <c r="D1007" s="301"/>
    </row>
    <row r="1008" spans="1:4" ht="15" customHeight="1">
      <c r="A1008" s="106"/>
      <c r="B1008" s="106"/>
      <c r="C1008" s="106"/>
      <c r="D1008" s="301"/>
    </row>
    <row r="1009" spans="1:4" ht="15" customHeight="1">
      <c r="A1009" s="106"/>
      <c r="B1009" s="106"/>
      <c r="C1009" s="106"/>
      <c r="D1009" s="301"/>
    </row>
    <row r="1010" spans="1:4" ht="15" customHeight="1">
      <c r="A1010" s="106"/>
      <c r="B1010" s="106"/>
      <c r="C1010" s="106"/>
      <c r="D1010" s="301"/>
    </row>
    <row r="1011" spans="1:4" ht="15" customHeight="1">
      <c r="A1011" s="106"/>
      <c r="B1011" s="106"/>
      <c r="C1011" s="106"/>
      <c r="D1011" s="301"/>
    </row>
    <row r="1012" spans="1:4" ht="15" customHeight="1">
      <c r="A1012" s="106"/>
      <c r="B1012" s="106"/>
      <c r="C1012" s="106"/>
      <c r="D1012" s="301"/>
    </row>
    <row r="1013" spans="1:4" ht="15" customHeight="1">
      <c r="A1013" s="106"/>
      <c r="B1013" s="106"/>
      <c r="C1013" s="106"/>
      <c r="D1013" s="301"/>
    </row>
    <row r="1014" spans="1:4" ht="15" customHeight="1">
      <c r="A1014" s="106"/>
      <c r="B1014" s="106"/>
      <c r="C1014" s="106"/>
      <c r="D1014" s="301"/>
    </row>
    <row r="1015" spans="1:4" ht="15" customHeight="1">
      <c r="A1015" s="106"/>
      <c r="B1015" s="106"/>
      <c r="C1015" s="106"/>
      <c r="D1015" s="301"/>
    </row>
    <row r="1016" spans="1:4" ht="15" customHeight="1">
      <c r="A1016" s="106"/>
      <c r="B1016" s="106"/>
      <c r="C1016" s="106"/>
      <c r="D1016" s="301"/>
    </row>
    <row r="1017" spans="1:4" ht="15" customHeight="1">
      <c r="A1017" s="106"/>
      <c r="B1017" s="106"/>
      <c r="C1017" s="106"/>
      <c r="D1017" s="301"/>
    </row>
    <row r="1018" spans="1:4" ht="15" customHeight="1">
      <c r="A1018" s="106"/>
      <c r="B1018" s="106"/>
      <c r="C1018" s="106"/>
      <c r="D1018" s="301"/>
    </row>
    <row r="1019" spans="1:4" ht="15" customHeight="1">
      <c r="A1019" s="106"/>
      <c r="B1019" s="106"/>
      <c r="C1019" s="106"/>
      <c r="D1019" s="301"/>
    </row>
    <row r="1020" spans="1:4" ht="15" customHeight="1">
      <c r="A1020" s="106"/>
      <c r="B1020" s="106"/>
      <c r="C1020" s="106"/>
      <c r="D1020" s="301"/>
    </row>
    <row r="1021" spans="1:4" ht="15" customHeight="1">
      <c r="A1021" s="106"/>
      <c r="B1021" s="106"/>
      <c r="C1021" s="106"/>
      <c r="D1021" s="301"/>
    </row>
    <row r="1022" spans="1:4" ht="15" customHeight="1">
      <c r="A1022" s="106"/>
      <c r="B1022" s="106"/>
      <c r="C1022" s="106"/>
      <c r="D1022" s="301"/>
    </row>
    <row r="1023" spans="1:4" ht="15" customHeight="1">
      <c r="A1023" s="106"/>
      <c r="B1023" s="106"/>
      <c r="C1023" s="106"/>
      <c r="D1023" s="301"/>
    </row>
    <row r="1024" spans="1:4" ht="15" customHeight="1">
      <c r="A1024" s="106"/>
      <c r="B1024" s="106"/>
      <c r="C1024" s="106"/>
      <c r="D1024" s="301"/>
    </row>
    <row r="1025" spans="1:4" ht="15" customHeight="1">
      <c r="A1025" s="106"/>
      <c r="B1025" s="106"/>
      <c r="C1025" s="106"/>
      <c r="D1025" s="301"/>
    </row>
    <row r="1026" spans="1:4" ht="15" customHeight="1">
      <c r="A1026" s="106"/>
      <c r="B1026" s="106"/>
      <c r="C1026" s="106"/>
      <c r="D1026" s="301"/>
    </row>
    <row r="1027" spans="1:4" ht="15" customHeight="1">
      <c r="A1027" s="106"/>
      <c r="B1027" s="106"/>
      <c r="C1027" s="106"/>
      <c r="D1027" s="301"/>
    </row>
    <row r="1028" spans="1:4" ht="15" customHeight="1">
      <c r="A1028" s="106"/>
      <c r="B1028" s="106"/>
      <c r="C1028" s="106"/>
      <c r="D1028" s="301"/>
    </row>
    <row r="1029" spans="1:4" ht="15" customHeight="1">
      <c r="A1029" s="106"/>
      <c r="B1029" s="106"/>
      <c r="C1029" s="106"/>
      <c r="D1029" s="301"/>
    </row>
    <row r="1030" spans="1:4" ht="15" customHeight="1">
      <c r="A1030" s="106"/>
      <c r="B1030" s="106"/>
      <c r="C1030" s="106"/>
      <c r="D1030" s="301"/>
    </row>
    <row r="1031" spans="1:4" ht="15" customHeight="1">
      <c r="A1031" s="106"/>
      <c r="B1031" s="106"/>
      <c r="C1031" s="106"/>
      <c r="D1031" s="301"/>
    </row>
    <row r="1032" spans="1:4" ht="15" customHeight="1">
      <c r="A1032" s="106"/>
      <c r="B1032" s="106"/>
      <c r="C1032" s="106"/>
      <c r="D1032" s="301"/>
    </row>
    <row r="1033" spans="1:4" ht="15" customHeight="1">
      <c r="A1033" s="106"/>
      <c r="B1033" s="106"/>
      <c r="C1033" s="106"/>
      <c r="D1033" s="301"/>
    </row>
    <row r="1034" spans="1:4" ht="15" customHeight="1">
      <c r="A1034" s="106"/>
      <c r="B1034" s="106"/>
      <c r="C1034" s="106"/>
      <c r="D1034" s="301"/>
    </row>
    <row r="1035" spans="1:4" ht="15" customHeight="1">
      <c r="A1035" s="106"/>
      <c r="B1035" s="106"/>
      <c r="C1035" s="106"/>
      <c r="D1035" s="301"/>
    </row>
    <row r="1036" spans="1:4" ht="15" customHeight="1">
      <c r="A1036" s="106"/>
      <c r="B1036" s="106"/>
      <c r="C1036" s="106"/>
      <c r="D1036" s="301"/>
    </row>
    <row r="1037" spans="1:4" ht="15" customHeight="1">
      <c r="A1037" s="106"/>
      <c r="B1037" s="106"/>
      <c r="C1037" s="106"/>
      <c r="D1037" s="301"/>
    </row>
    <row r="1038" spans="1:4" ht="15" customHeight="1">
      <c r="A1038" s="106"/>
      <c r="B1038" s="106"/>
      <c r="C1038" s="106"/>
      <c r="D1038" s="301"/>
    </row>
    <row r="1039" spans="1:4" ht="15" customHeight="1">
      <c r="A1039" s="106"/>
      <c r="B1039" s="106"/>
      <c r="C1039" s="106"/>
      <c r="D1039" s="301"/>
    </row>
    <row r="1040" spans="1:4" ht="15" customHeight="1">
      <c r="A1040" s="106"/>
      <c r="B1040" s="106"/>
      <c r="C1040" s="106"/>
      <c r="D1040" s="301"/>
    </row>
    <row r="1041" spans="1:4" ht="15" customHeight="1">
      <c r="A1041" s="106"/>
      <c r="B1041" s="106"/>
      <c r="C1041" s="106"/>
      <c r="D1041" s="301"/>
    </row>
    <row r="1042" spans="1:4" ht="15" customHeight="1">
      <c r="A1042" s="106"/>
      <c r="B1042" s="106"/>
      <c r="C1042" s="106"/>
      <c r="D1042" s="301"/>
    </row>
    <row r="1043" spans="1:4" ht="15" customHeight="1">
      <c r="A1043" s="106"/>
      <c r="B1043" s="106"/>
      <c r="C1043" s="106"/>
      <c r="D1043" s="301"/>
    </row>
    <row r="1044" spans="1:4" ht="15" customHeight="1">
      <c r="A1044" s="106"/>
      <c r="B1044" s="106"/>
      <c r="C1044" s="106"/>
      <c r="D1044" s="301"/>
    </row>
    <row r="1045" spans="1:4" ht="15" customHeight="1">
      <c r="A1045" s="106"/>
      <c r="B1045" s="106"/>
      <c r="C1045" s="106"/>
      <c r="D1045" s="301"/>
    </row>
    <row r="1046" spans="1:4" ht="15" customHeight="1">
      <c r="A1046" s="106"/>
      <c r="B1046" s="106"/>
      <c r="C1046" s="106"/>
      <c r="D1046" s="301"/>
    </row>
    <row r="1047" spans="1:4" ht="15" customHeight="1">
      <c r="A1047" s="106"/>
      <c r="B1047" s="106"/>
      <c r="C1047" s="106"/>
      <c r="D1047" s="301"/>
    </row>
    <row r="1048" spans="1:4" ht="15" customHeight="1">
      <c r="A1048" s="106"/>
      <c r="B1048" s="106"/>
      <c r="C1048" s="106"/>
      <c r="D1048" s="301"/>
    </row>
    <row r="1049" spans="1:4" ht="15" customHeight="1">
      <c r="A1049" s="106"/>
      <c r="B1049" s="106"/>
      <c r="C1049" s="106"/>
      <c r="D1049" s="301"/>
    </row>
    <row r="1050" spans="1:4" ht="15" customHeight="1">
      <c r="A1050" s="106"/>
      <c r="B1050" s="106"/>
      <c r="C1050" s="106"/>
      <c r="D1050" s="301"/>
    </row>
    <row r="1051" spans="1:4" ht="15" customHeight="1">
      <c r="A1051" s="106"/>
      <c r="B1051" s="106"/>
      <c r="C1051" s="106"/>
      <c r="D1051" s="301"/>
    </row>
    <row r="1052" spans="1:4" ht="15" customHeight="1">
      <c r="A1052" s="106"/>
      <c r="B1052" s="106"/>
      <c r="C1052" s="106"/>
      <c r="D1052" s="301"/>
    </row>
    <row r="1053" spans="1:4" ht="15" customHeight="1">
      <c r="A1053" s="106"/>
      <c r="B1053" s="106"/>
      <c r="C1053" s="106"/>
      <c r="D1053" s="301"/>
    </row>
    <row r="1054" spans="1:4" ht="15" customHeight="1">
      <c r="A1054" s="106"/>
      <c r="B1054" s="106"/>
      <c r="C1054" s="106"/>
      <c r="D1054" s="301"/>
    </row>
    <row r="1055" spans="1:4" ht="15" customHeight="1">
      <c r="A1055" s="106"/>
      <c r="B1055" s="106"/>
      <c r="C1055" s="106"/>
      <c r="D1055" s="301"/>
    </row>
    <row r="1056" spans="1:4" ht="15" customHeight="1">
      <c r="A1056" s="106"/>
      <c r="B1056" s="106"/>
      <c r="C1056" s="106"/>
      <c r="D1056" s="301"/>
    </row>
    <row r="1057" spans="1:4" ht="15" customHeight="1">
      <c r="A1057" s="106"/>
      <c r="B1057" s="106"/>
      <c r="C1057" s="106"/>
      <c r="D1057" s="301"/>
    </row>
    <row r="1058" spans="1:4" ht="15" customHeight="1">
      <c r="A1058" s="106"/>
      <c r="B1058" s="106"/>
      <c r="C1058" s="106"/>
      <c r="D1058" s="301"/>
    </row>
    <row r="1059" spans="1:4" ht="15" customHeight="1">
      <c r="A1059" s="106"/>
      <c r="B1059" s="106"/>
      <c r="C1059" s="106"/>
      <c r="D1059" s="301"/>
    </row>
    <row r="1060" spans="1:4" ht="15" customHeight="1">
      <c r="A1060" s="106"/>
      <c r="B1060" s="106"/>
      <c r="C1060" s="106"/>
      <c r="D1060" s="301"/>
    </row>
    <row r="1061" spans="1:4" ht="15" customHeight="1">
      <c r="A1061" s="106"/>
      <c r="B1061" s="106"/>
      <c r="C1061" s="106"/>
      <c r="D1061" s="301"/>
    </row>
    <row r="1062" spans="1:4" ht="15" customHeight="1">
      <c r="A1062" s="106"/>
      <c r="B1062" s="106"/>
      <c r="C1062" s="106"/>
      <c r="D1062" s="301"/>
    </row>
    <row r="1063" spans="1:4" ht="15" customHeight="1">
      <c r="A1063" s="106"/>
      <c r="B1063" s="106"/>
      <c r="C1063" s="106"/>
      <c r="D1063" s="301"/>
    </row>
    <row r="1064" spans="1:4" ht="15" customHeight="1">
      <c r="A1064" s="106"/>
      <c r="B1064" s="106"/>
      <c r="C1064" s="106"/>
      <c r="D1064" s="301"/>
    </row>
    <row r="1065" spans="1:4" ht="15" customHeight="1">
      <c r="A1065" s="106"/>
      <c r="B1065" s="106"/>
      <c r="C1065" s="106"/>
      <c r="D1065" s="301"/>
    </row>
    <row r="1066" spans="1:4" ht="15" customHeight="1">
      <c r="A1066" s="106"/>
      <c r="B1066" s="106"/>
      <c r="C1066" s="106"/>
      <c r="D1066" s="301"/>
    </row>
    <row r="1067" spans="1:4" ht="15" customHeight="1">
      <c r="A1067" s="106"/>
      <c r="B1067" s="106"/>
      <c r="C1067" s="106"/>
      <c r="D1067" s="301"/>
    </row>
    <row r="1068" spans="1:4" ht="15" customHeight="1">
      <c r="A1068" s="106"/>
      <c r="B1068" s="106"/>
      <c r="C1068" s="106"/>
      <c r="D1068" s="301"/>
    </row>
    <row r="1069" spans="1:4" ht="15" customHeight="1">
      <c r="A1069" s="106"/>
      <c r="B1069" s="106"/>
      <c r="C1069" s="106"/>
      <c r="D1069" s="301"/>
    </row>
    <row r="1070" spans="1:4" ht="15" customHeight="1">
      <c r="A1070" s="106"/>
      <c r="B1070" s="106"/>
      <c r="C1070" s="106"/>
      <c r="D1070" s="301"/>
    </row>
    <row r="1071" spans="1:4" ht="15" customHeight="1">
      <c r="A1071" s="106"/>
      <c r="B1071" s="106"/>
      <c r="C1071" s="106"/>
      <c r="D1071" s="301"/>
    </row>
    <row r="1072" spans="1:4" ht="15" customHeight="1">
      <c r="A1072" s="106"/>
      <c r="B1072" s="106"/>
      <c r="C1072" s="106"/>
      <c r="D1072" s="301"/>
    </row>
    <row r="1073" spans="1:4" ht="15" customHeight="1">
      <c r="A1073" s="106"/>
      <c r="B1073" s="106"/>
      <c r="C1073" s="106"/>
      <c r="D1073" s="301"/>
    </row>
    <row r="1074" spans="1:4" ht="15" customHeight="1">
      <c r="A1074" s="106"/>
      <c r="B1074" s="106"/>
      <c r="C1074" s="106"/>
      <c r="D1074" s="301"/>
    </row>
    <row r="1075" spans="1:4" ht="15" customHeight="1">
      <c r="A1075" s="106"/>
      <c r="B1075" s="106"/>
      <c r="C1075" s="106"/>
      <c r="D1075" s="301"/>
    </row>
    <row r="1076" spans="1:4" ht="15" customHeight="1">
      <c r="A1076" s="106"/>
      <c r="B1076" s="106"/>
      <c r="C1076" s="106"/>
      <c r="D1076" s="301"/>
    </row>
    <row r="1077" spans="1:4" ht="15" customHeight="1">
      <c r="A1077" s="106"/>
      <c r="B1077" s="106"/>
      <c r="C1077" s="106"/>
      <c r="D1077" s="301"/>
    </row>
    <row r="1078" spans="1:4" ht="15" customHeight="1">
      <c r="A1078" s="106"/>
      <c r="B1078" s="106"/>
      <c r="C1078" s="106"/>
      <c r="D1078" s="301"/>
    </row>
    <row r="1079" spans="1:4" ht="15" customHeight="1">
      <c r="A1079" s="106"/>
      <c r="B1079" s="106"/>
      <c r="C1079" s="106"/>
      <c r="D1079" s="301"/>
    </row>
    <row r="1080" spans="1:4" ht="15" customHeight="1">
      <c r="A1080" s="106"/>
      <c r="B1080" s="106"/>
      <c r="C1080" s="106"/>
      <c r="D1080" s="301"/>
    </row>
    <row r="1081" spans="1:4" ht="15" customHeight="1">
      <c r="A1081" s="106"/>
      <c r="B1081" s="106"/>
      <c r="C1081" s="106"/>
      <c r="D1081" s="301"/>
    </row>
    <row r="1082" spans="1:4" ht="15" customHeight="1">
      <c r="A1082" s="106"/>
      <c r="B1082" s="106"/>
      <c r="C1082" s="106"/>
      <c r="D1082" s="301"/>
    </row>
    <row r="1083" spans="1:4" ht="15" customHeight="1">
      <c r="A1083" s="106"/>
      <c r="B1083" s="106"/>
      <c r="C1083" s="106"/>
      <c r="D1083" s="301"/>
    </row>
    <row r="1084" spans="1:4" ht="15" customHeight="1">
      <c r="A1084" s="106"/>
      <c r="B1084" s="106"/>
      <c r="C1084" s="106"/>
      <c r="D1084" s="301"/>
    </row>
    <row r="1085" spans="1:4" ht="15" customHeight="1">
      <c r="A1085" s="106"/>
      <c r="B1085" s="106"/>
      <c r="C1085" s="106"/>
      <c r="D1085" s="301"/>
    </row>
    <row r="1086" spans="1:4" ht="15" customHeight="1">
      <c r="A1086" s="106"/>
      <c r="B1086" s="106"/>
      <c r="C1086" s="106"/>
      <c r="D1086" s="301"/>
    </row>
    <row r="1087" spans="1:4" ht="15" customHeight="1">
      <c r="A1087" s="106"/>
      <c r="B1087" s="106"/>
      <c r="C1087" s="106"/>
      <c r="D1087" s="301"/>
    </row>
    <row r="1088" spans="1:4" ht="15" customHeight="1">
      <c r="A1088" s="106"/>
      <c r="B1088" s="106"/>
      <c r="C1088" s="106"/>
      <c r="D1088" s="301"/>
    </row>
    <row r="1089" spans="1:4" ht="15" customHeight="1">
      <c r="A1089" s="106"/>
      <c r="B1089" s="106"/>
      <c r="C1089" s="106"/>
      <c r="D1089" s="301"/>
    </row>
    <row r="1090" spans="1:4" ht="15" customHeight="1">
      <c r="A1090" s="106"/>
      <c r="B1090" s="106"/>
      <c r="C1090" s="106"/>
      <c r="D1090" s="301"/>
    </row>
    <row r="1091" spans="1:4" ht="15" customHeight="1">
      <c r="A1091" s="106"/>
      <c r="B1091" s="106"/>
      <c r="C1091" s="106"/>
      <c r="D1091" s="301"/>
    </row>
    <row r="1092" spans="1:4" ht="15" customHeight="1">
      <c r="A1092" s="106"/>
      <c r="B1092" s="106"/>
      <c r="C1092" s="106"/>
      <c r="D1092" s="301"/>
    </row>
    <row r="1093" spans="1:4" ht="15" customHeight="1">
      <c r="A1093" s="106"/>
      <c r="B1093" s="106"/>
      <c r="C1093" s="106"/>
      <c r="D1093" s="301"/>
    </row>
    <row r="1094" spans="1:4" ht="15" customHeight="1">
      <c r="A1094" s="106"/>
      <c r="B1094" s="106"/>
      <c r="C1094" s="106"/>
      <c r="D1094" s="301"/>
    </row>
    <row r="1095" spans="1:4" ht="15" customHeight="1">
      <c r="A1095" s="106"/>
      <c r="B1095" s="106"/>
      <c r="C1095" s="106"/>
      <c r="D1095" s="301"/>
    </row>
    <row r="1096" spans="1:4" ht="15" customHeight="1">
      <c r="A1096" s="106"/>
      <c r="B1096" s="106"/>
      <c r="C1096" s="106"/>
      <c r="D1096" s="301"/>
    </row>
    <row r="1097" spans="1:4" ht="15" customHeight="1">
      <c r="A1097" s="106"/>
      <c r="B1097" s="106"/>
      <c r="C1097" s="106"/>
      <c r="D1097" s="301"/>
    </row>
    <row r="1098" spans="1:4" ht="15" customHeight="1">
      <c r="A1098" s="106"/>
      <c r="B1098" s="106"/>
      <c r="C1098" s="106"/>
      <c r="D1098" s="301"/>
    </row>
    <row r="1099" spans="1:4" ht="15" customHeight="1">
      <c r="A1099" s="106"/>
      <c r="B1099" s="106"/>
      <c r="C1099" s="106"/>
      <c r="D1099" s="301"/>
    </row>
    <row r="1100" spans="1:4" ht="15" customHeight="1">
      <c r="A1100" s="106"/>
      <c r="B1100" s="106"/>
      <c r="C1100" s="106"/>
      <c r="D1100" s="301"/>
    </row>
    <row r="1101" spans="1:4" ht="15" customHeight="1">
      <c r="A1101" s="106"/>
      <c r="B1101" s="106"/>
      <c r="C1101" s="106"/>
      <c r="D1101" s="301"/>
    </row>
    <row r="1102" spans="1:4" ht="15" customHeight="1">
      <c r="A1102" s="106"/>
      <c r="B1102" s="106"/>
      <c r="C1102" s="106"/>
      <c r="D1102" s="301"/>
    </row>
    <row r="1103" spans="1:4" ht="15" customHeight="1">
      <c r="A1103" s="106"/>
      <c r="B1103" s="106"/>
      <c r="C1103" s="106"/>
      <c r="D1103" s="301"/>
    </row>
    <row r="1104" spans="1:4" ht="15" customHeight="1">
      <c r="A1104" s="106"/>
      <c r="B1104" s="106"/>
      <c r="C1104" s="106"/>
      <c r="D1104" s="301"/>
    </row>
    <row r="1105" spans="1:4" ht="15" customHeight="1">
      <c r="A1105" s="106"/>
      <c r="B1105" s="106"/>
      <c r="C1105" s="106"/>
      <c r="D1105" s="301"/>
    </row>
    <row r="1106" spans="1:4" ht="15" customHeight="1">
      <c r="A1106" s="106"/>
      <c r="B1106" s="106"/>
      <c r="C1106" s="106"/>
      <c r="D1106" s="301"/>
    </row>
    <row r="1107" spans="1:4" ht="15" customHeight="1">
      <c r="A1107" s="106"/>
      <c r="B1107" s="106"/>
      <c r="C1107" s="106"/>
      <c r="D1107" s="301"/>
    </row>
    <row r="1108" spans="1:4" ht="15" customHeight="1">
      <c r="A1108" s="106"/>
      <c r="B1108" s="106"/>
      <c r="C1108" s="106"/>
      <c r="D1108" s="301"/>
    </row>
    <row r="1109" spans="1:4" ht="15" customHeight="1">
      <c r="A1109" s="106"/>
      <c r="B1109" s="106"/>
      <c r="C1109" s="106"/>
      <c r="D1109" s="301"/>
    </row>
    <row r="1110" spans="1:4" ht="15" customHeight="1">
      <c r="A1110" s="106"/>
      <c r="B1110" s="106"/>
      <c r="C1110" s="106"/>
      <c r="D1110" s="301"/>
    </row>
    <row r="1111" spans="1:4" ht="15" customHeight="1">
      <c r="A1111" s="106"/>
      <c r="B1111" s="106"/>
      <c r="C1111" s="106"/>
      <c r="D1111" s="301"/>
    </row>
    <row r="1112" spans="1:4" ht="15" customHeight="1">
      <c r="A1112" s="106"/>
      <c r="B1112" s="106"/>
      <c r="C1112" s="106"/>
      <c r="D1112" s="301"/>
    </row>
    <row r="1113" spans="1:4" ht="15" customHeight="1">
      <c r="A1113" s="106"/>
      <c r="B1113" s="106"/>
      <c r="C1113" s="106"/>
      <c r="D1113" s="301"/>
    </row>
    <row r="1114" spans="1:4" ht="15" customHeight="1">
      <c r="A1114" s="106"/>
      <c r="B1114" s="106"/>
      <c r="C1114" s="106"/>
      <c r="D1114" s="301"/>
    </row>
    <row r="1115" spans="1:4" ht="15" customHeight="1">
      <c r="A1115" s="106"/>
      <c r="B1115" s="106"/>
      <c r="C1115" s="106"/>
      <c r="D1115" s="301"/>
    </row>
    <row r="1116" spans="1:4" ht="15" customHeight="1">
      <c r="A1116" s="106"/>
      <c r="B1116" s="106"/>
      <c r="C1116" s="106"/>
      <c r="D1116" s="301"/>
    </row>
    <row r="1117" spans="1:4" ht="15" customHeight="1">
      <c r="A1117" s="106"/>
      <c r="B1117" s="106"/>
      <c r="C1117" s="106"/>
      <c r="D1117" s="301"/>
    </row>
    <row r="1118" spans="1:4" ht="15" customHeight="1">
      <c r="A1118" s="106"/>
      <c r="B1118" s="106"/>
      <c r="C1118" s="106"/>
      <c r="D1118" s="301"/>
    </row>
    <row r="1119" spans="1:4" ht="15" customHeight="1">
      <c r="A1119" s="106"/>
      <c r="B1119" s="106"/>
      <c r="C1119" s="106"/>
      <c r="D1119" s="301"/>
    </row>
    <row r="1120" spans="1:4" ht="15" customHeight="1">
      <c r="A1120" s="106"/>
      <c r="B1120" s="106"/>
      <c r="C1120" s="106"/>
      <c r="D1120" s="301"/>
    </row>
    <row r="1121" spans="1:4" ht="15" customHeight="1">
      <c r="A1121" s="106"/>
      <c r="B1121" s="106"/>
      <c r="C1121" s="106"/>
      <c r="D1121" s="301"/>
    </row>
    <row r="1122" spans="1:4" ht="15" customHeight="1">
      <c r="A1122" s="106"/>
      <c r="B1122" s="106"/>
      <c r="C1122" s="106"/>
      <c r="D1122" s="301"/>
    </row>
    <row r="1123" spans="1:4" ht="15" customHeight="1">
      <c r="A1123" s="106"/>
      <c r="B1123" s="106"/>
      <c r="C1123" s="106"/>
      <c r="D1123" s="301"/>
    </row>
    <row r="1124" spans="1:4" ht="15" customHeight="1">
      <c r="A1124" s="106"/>
      <c r="B1124" s="106"/>
      <c r="C1124" s="106"/>
      <c r="D1124" s="301"/>
    </row>
    <row r="1125" spans="1:4" ht="15" customHeight="1">
      <c r="A1125" s="106"/>
      <c r="B1125" s="106"/>
      <c r="C1125" s="106"/>
      <c r="D1125" s="301"/>
    </row>
    <row r="1126" spans="1:4" ht="15" customHeight="1">
      <c r="A1126" s="106"/>
      <c r="B1126" s="106"/>
      <c r="C1126" s="106"/>
      <c r="D1126" s="301"/>
    </row>
    <row r="1127" spans="1:4" ht="15" customHeight="1">
      <c r="A1127" s="106"/>
      <c r="B1127" s="106"/>
      <c r="C1127" s="106"/>
      <c r="D1127" s="301"/>
    </row>
    <row r="1128" spans="1:4" ht="15" customHeight="1">
      <c r="A1128" s="106"/>
      <c r="B1128" s="106"/>
      <c r="C1128" s="106"/>
      <c r="D1128" s="301"/>
    </row>
    <row r="1129" spans="1:4" ht="15" customHeight="1">
      <c r="A1129" s="106"/>
      <c r="B1129" s="106"/>
      <c r="C1129" s="106"/>
      <c r="D1129" s="301"/>
    </row>
    <row r="1130" spans="1:4" ht="15" customHeight="1">
      <c r="A1130" s="106"/>
      <c r="B1130" s="106"/>
      <c r="C1130" s="106"/>
      <c r="D1130" s="301"/>
    </row>
    <row r="1131" spans="1:4" ht="15" customHeight="1">
      <c r="A1131" s="106"/>
      <c r="B1131" s="106"/>
      <c r="C1131" s="106"/>
      <c r="D1131" s="301"/>
    </row>
    <row r="1132" spans="1:4" ht="15" customHeight="1">
      <c r="A1132" s="106"/>
      <c r="B1132" s="106"/>
      <c r="C1132" s="106"/>
      <c r="D1132" s="301"/>
    </row>
    <row r="1133" spans="1:4" ht="15" customHeight="1">
      <c r="A1133" s="106"/>
      <c r="B1133" s="106"/>
      <c r="C1133" s="106"/>
      <c r="D1133" s="301"/>
    </row>
    <row r="1134" spans="1:4" ht="15" customHeight="1">
      <c r="A1134" s="106"/>
      <c r="B1134" s="106"/>
      <c r="C1134" s="106"/>
      <c r="D1134" s="301"/>
    </row>
    <row r="1135" spans="1:4" ht="15" customHeight="1">
      <c r="A1135" s="106"/>
      <c r="B1135" s="106"/>
      <c r="C1135" s="106"/>
      <c r="D1135" s="301"/>
    </row>
    <row r="1136" spans="1:4" ht="15" customHeight="1">
      <c r="A1136" s="106"/>
      <c r="B1136" s="106"/>
      <c r="C1136" s="106"/>
      <c r="D1136" s="301"/>
    </row>
    <row r="1137" spans="1:4" ht="15" customHeight="1">
      <c r="A1137" s="106"/>
      <c r="B1137" s="106"/>
      <c r="C1137" s="106"/>
      <c r="D1137" s="301"/>
    </row>
    <row r="1138" spans="1:4" ht="15" customHeight="1">
      <c r="A1138" s="106"/>
      <c r="B1138" s="106"/>
      <c r="C1138" s="106"/>
      <c r="D1138" s="301"/>
    </row>
    <row r="1139" spans="1:4" ht="15" customHeight="1">
      <c r="A1139" s="106"/>
      <c r="B1139" s="106"/>
      <c r="C1139" s="106"/>
      <c r="D1139" s="301"/>
    </row>
    <row r="1140" spans="1:4" ht="15" customHeight="1">
      <c r="A1140" s="106"/>
      <c r="B1140" s="106"/>
      <c r="C1140" s="106"/>
      <c r="D1140" s="301"/>
    </row>
    <row r="1141" spans="1:4" ht="15" customHeight="1">
      <c r="A1141" s="106"/>
      <c r="B1141" s="106"/>
      <c r="C1141" s="106"/>
      <c r="D1141" s="301"/>
    </row>
    <row r="1142" spans="1:4" ht="15" customHeight="1">
      <c r="A1142" s="106"/>
      <c r="B1142" s="106"/>
      <c r="C1142" s="106"/>
      <c r="D1142" s="301"/>
    </row>
    <row r="1143" spans="1:4" ht="15" customHeight="1">
      <c r="A1143" s="106"/>
      <c r="B1143" s="106"/>
      <c r="C1143" s="106"/>
      <c r="D1143" s="301"/>
    </row>
    <row r="1144" spans="1:4" ht="15" customHeight="1">
      <c r="A1144" s="106"/>
      <c r="B1144" s="106"/>
      <c r="C1144" s="106"/>
      <c r="D1144" s="301"/>
    </row>
    <row r="1145" spans="1:4" ht="15" customHeight="1">
      <c r="A1145" s="106"/>
      <c r="B1145" s="106"/>
      <c r="C1145" s="106"/>
      <c r="D1145" s="301"/>
    </row>
    <row r="1146" spans="1:4" ht="15" customHeight="1">
      <c r="A1146" s="106"/>
      <c r="B1146" s="106"/>
      <c r="C1146" s="106"/>
      <c r="D1146" s="301"/>
    </row>
    <row r="1147" spans="1:4" ht="15" customHeight="1">
      <c r="A1147" s="106"/>
      <c r="B1147" s="106"/>
      <c r="C1147" s="106"/>
      <c r="D1147" s="301"/>
    </row>
    <row r="1148" spans="1:4" ht="15" customHeight="1">
      <c r="A1148" s="106"/>
      <c r="B1148" s="106"/>
      <c r="C1148" s="106"/>
      <c r="D1148" s="301"/>
    </row>
    <row r="1149" spans="1:4" ht="15" customHeight="1">
      <c r="A1149" s="106"/>
      <c r="B1149" s="106"/>
      <c r="C1149" s="106"/>
      <c r="D1149" s="301"/>
    </row>
    <row r="1150" spans="1:4" ht="15" customHeight="1">
      <c r="A1150" s="106"/>
      <c r="B1150" s="106"/>
      <c r="C1150" s="106"/>
      <c r="D1150" s="301"/>
    </row>
    <row r="1151" spans="1:4" ht="15" customHeight="1">
      <c r="A1151" s="106"/>
      <c r="B1151" s="106"/>
      <c r="C1151" s="106"/>
      <c r="D1151" s="301"/>
    </row>
    <row r="1152" spans="1:4" ht="15" customHeight="1">
      <c r="A1152" s="106"/>
      <c r="B1152" s="106"/>
      <c r="C1152" s="106"/>
      <c r="D1152" s="301"/>
    </row>
    <row r="1153" spans="1:4" ht="15" customHeight="1">
      <c r="A1153" s="106"/>
      <c r="B1153" s="106"/>
      <c r="C1153" s="106"/>
      <c r="D1153" s="301"/>
    </row>
    <row r="1154" spans="1:4" ht="15" customHeight="1">
      <c r="A1154" s="106"/>
      <c r="B1154" s="106"/>
      <c r="C1154" s="106"/>
      <c r="D1154" s="301"/>
    </row>
    <row r="1155" spans="1:4" ht="15" customHeight="1">
      <c r="A1155" s="106"/>
      <c r="B1155" s="106"/>
      <c r="C1155" s="106"/>
      <c r="D1155" s="301"/>
    </row>
    <row r="1156" spans="1:4" ht="15" customHeight="1">
      <c r="A1156" s="106"/>
      <c r="B1156" s="106"/>
      <c r="C1156" s="106"/>
      <c r="D1156" s="301"/>
    </row>
    <row r="1157" spans="1:4" ht="15" customHeight="1">
      <c r="A1157" s="106"/>
      <c r="B1157" s="106"/>
      <c r="C1157" s="106"/>
      <c r="D1157" s="301"/>
    </row>
    <row r="1158" spans="1:4" ht="15" customHeight="1">
      <c r="A1158" s="106"/>
      <c r="B1158" s="106"/>
      <c r="C1158" s="106"/>
      <c r="D1158" s="301"/>
    </row>
    <row r="1159" spans="1:4" ht="15" customHeight="1">
      <c r="A1159" s="106"/>
      <c r="B1159" s="106"/>
      <c r="C1159" s="106"/>
      <c r="D1159" s="301"/>
    </row>
    <row r="1160" spans="1:4" ht="15" customHeight="1">
      <c r="A1160" s="106"/>
      <c r="B1160" s="106"/>
      <c r="C1160" s="106"/>
      <c r="D1160" s="301"/>
    </row>
    <row r="1161" spans="1:4" ht="15" customHeight="1">
      <c r="A1161" s="106"/>
      <c r="B1161" s="106"/>
      <c r="C1161" s="106"/>
      <c r="D1161" s="301"/>
    </row>
    <row r="1162" spans="1:4" ht="15" customHeight="1">
      <c r="A1162" s="106"/>
      <c r="B1162" s="106"/>
      <c r="C1162" s="106"/>
      <c r="D1162" s="301"/>
    </row>
    <row r="1163" spans="1:4" ht="15" customHeight="1">
      <c r="A1163" s="106"/>
      <c r="B1163" s="106"/>
      <c r="C1163" s="106"/>
      <c r="D1163" s="301"/>
    </row>
    <row r="1164" spans="1:4" ht="15" customHeight="1">
      <c r="A1164" s="106"/>
      <c r="B1164" s="106"/>
      <c r="C1164" s="106"/>
      <c r="D1164" s="301"/>
    </row>
    <row r="1165" spans="1:4" ht="15" customHeight="1">
      <c r="A1165" s="106"/>
      <c r="B1165" s="106"/>
      <c r="C1165" s="106"/>
      <c r="D1165" s="301"/>
    </row>
    <row r="1166" spans="1:4" ht="15" customHeight="1">
      <c r="A1166" s="106"/>
      <c r="B1166" s="106"/>
      <c r="C1166" s="106"/>
      <c r="D1166" s="301"/>
    </row>
    <row r="1167" spans="1:4" ht="15" customHeight="1">
      <c r="A1167" s="106"/>
      <c r="B1167" s="106"/>
      <c r="C1167" s="106"/>
      <c r="D1167" s="301"/>
    </row>
    <row r="1168" spans="1:4" ht="15" customHeight="1">
      <c r="A1168" s="106"/>
      <c r="B1168" s="106"/>
      <c r="C1168" s="106"/>
      <c r="D1168" s="301"/>
    </row>
    <row r="1169" spans="1:4" ht="15" customHeight="1">
      <c r="A1169" s="106"/>
      <c r="B1169" s="106"/>
      <c r="C1169" s="106"/>
      <c r="D1169" s="301"/>
    </row>
    <row r="1170" spans="1:4" ht="15" customHeight="1">
      <c r="A1170" s="106"/>
      <c r="B1170" s="106"/>
      <c r="C1170" s="106"/>
      <c r="D1170" s="301"/>
    </row>
    <row r="1171" spans="1:4" ht="15" customHeight="1">
      <c r="A1171" s="106"/>
      <c r="B1171" s="106"/>
      <c r="C1171" s="106"/>
      <c r="D1171" s="301"/>
    </row>
    <row r="1172" spans="1:4" ht="15" customHeight="1">
      <c r="A1172" s="106"/>
      <c r="B1172" s="106"/>
      <c r="C1172" s="106"/>
      <c r="D1172" s="301"/>
    </row>
    <row r="1173" spans="1:4" ht="15" customHeight="1">
      <c r="A1173" s="106"/>
      <c r="B1173" s="106"/>
      <c r="C1173" s="106"/>
      <c r="D1173" s="301"/>
    </row>
    <row r="1174" spans="1:4" ht="15" customHeight="1">
      <c r="A1174" s="106"/>
      <c r="B1174" s="106"/>
      <c r="C1174" s="106"/>
      <c r="D1174" s="301"/>
    </row>
    <row r="1175" spans="1:4" ht="15" customHeight="1">
      <c r="A1175" s="106"/>
      <c r="B1175" s="106"/>
      <c r="C1175" s="106"/>
      <c r="D1175" s="301"/>
    </row>
    <row r="1176" spans="1:4" ht="15" customHeight="1">
      <c r="A1176" s="106"/>
      <c r="B1176" s="106"/>
      <c r="C1176" s="106"/>
      <c r="D1176" s="301"/>
    </row>
    <row r="1177" spans="1:4" ht="15" customHeight="1">
      <c r="A1177" s="106"/>
      <c r="B1177" s="106"/>
      <c r="C1177" s="106"/>
      <c r="D1177" s="301"/>
    </row>
    <row r="1178" spans="1:4" ht="15" customHeight="1">
      <c r="A1178" s="106"/>
      <c r="B1178" s="106"/>
      <c r="C1178" s="106"/>
      <c r="D1178" s="301"/>
    </row>
    <row r="1179" spans="1:4" ht="15" customHeight="1">
      <c r="A1179" s="106"/>
      <c r="B1179" s="106"/>
      <c r="C1179" s="106"/>
      <c r="D1179" s="301"/>
    </row>
    <row r="1180" spans="1:4" ht="15" customHeight="1">
      <c r="A1180" s="106"/>
      <c r="B1180" s="106"/>
      <c r="C1180" s="106"/>
      <c r="D1180" s="301"/>
    </row>
    <row r="1181" spans="1:4" ht="15" customHeight="1">
      <c r="A1181" s="106"/>
      <c r="B1181" s="106"/>
      <c r="C1181" s="106"/>
      <c r="D1181" s="301"/>
    </row>
    <row r="1182" spans="1:4" ht="15" customHeight="1">
      <c r="A1182" s="106"/>
      <c r="B1182" s="106"/>
      <c r="C1182" s="106"/>
      <c r="D1182" s="301"/>
    </row>
    <row r="1183" spans="1:4" ht="15" customHeight="1">
      <c r="A1183" s="106"/>
      <c r="B1183" s="106"/>
      <c r="C1183" s="106"/>
      <c r="D1183" s="301"/>
    </row>
    <row r="1184" spans="1:4" ht="15" customHeight="1">
      <c r="A1184" s="106"/>
      <c r="B1184" s="106"/>
      <c r="C1184" s="106"/>
      <c r="D1184" s="301"/>
    </row>
    <row r="1185" spans="1:4" ht="15" customHeight="1">
      <c r="A1185" s="106"/>
      <c r="B1185" s="106"/>
      <c r="C1185" s="106"/>
      <c r="D1185" s="301"/>
    </row>
    <row r="1186" spans="1:4" ht="15" customHeight="1">
      <c r="A1186" s="106"/>
      <c r="B1186" s="106"/>
      <c r="C1186" s="106"/>
      <c r="D1186" s="301"/>
    </row>
    <row r="1187" spans="1:4" ht="15" customHeight="1">
      <c r="A1187" s="106"/>
      <c r="B1187" s="106"/>
      <c r="C1187" s="106"/>
      <c r="D1187" s="301"/>
    </row>
    <row r="1188" spans="1:4" ht="15" customHeight="1">
      <c r="A1188" s="106"/>
      <c r="B1188" s="106"/>
      <c r="C1188" s="106"/>
      <c r="D1188" s="301"/>
    </row>
    <row r="1189" spans="1:4" ht="15" customHeight="1">
      <c r="A1189" s="106"/>
      <c r="B1189" s="106"/>
      <c r="C1189" s="106"/>
      <c r="D1189" s="301"/>
    </row>
    <row r="1190" spans="1:4" ht="15" customHeight="1">
      <c r="A1190" s="106"/>
      <c r="B1190" s="106"/>
      <c r="C1190" s="106"/>
      <c r="D1190" s="301"/>
    </row>
    <row r="1191" spans="1:4" ht="15" customHeight="1">
      <c r="A1191" s="106"/>
      <c r="B1191" s="106"/>
      <c r="C1191" s="106"/>
      <c r="D1191" s="301"/>
    </row>
    <row r="1192" spans="1:4" ht="15" customHeight="1">
      <c r="A1192" s="106"/>
      <c r="B1192" s="106"/>
      <c r="C1192" s="106"/>
      <c r="D1192" s="301"/>
    </row>
    <row r="1193" spans="1:4" ht="15" customHeight="1">
      <c r="A1193" s="106"/>
      <c r="B1193" s="106"/>
      <c r="C1193" s="106"/>
      <c r="D1193" s="301"/>
    </row>
    <row r="1194" spans="1:4" ht="15" customHeight="1">
      <c r="A1194" s="106"/>
      <c r="B1194" s="106"/>
      <c r="C1194" s="106"/>
      <c r="D1194" s="301"/>
    </row>
    <row r="1195" spans="1:4" ht="15" customHeight="1">
      <c r="A1195" s="106"/>
      <c r="B1195" s="106"/>
      <c r="C1195" s="106"/>
      <c r="D1195" s="301"/>
    </row>
    <row r="1196" spans="1:4" ht="15" customHeight="1">
      <c r="A1196" s="106"/>
      <c r="B1196" s="106"/>
      <c r="C1196" s="106"/>
      <c r="D1196" s="301"/>
    </row>
    <row r="1197" spans="1:4" ht="15" customHeight="1">
      <c r="A1197" s="106"/>
      <c r="B1197" s="106"/>
      <c r="C1197" s="106"/>
      <c r="D1197" s="301"/>
    </row>
    <row r="1198" spans="1:4" ht="15" customHeight="1">
      <c r="A1198" s="106"/>
      <c r="B1198" s="106"/>
      <c r="C1198" s="106"/>
      <c r="D1198" s="301"/>
    </row>
    <row r="1199" spans="1:4" ht="15" customHeight="1">
      <c r="A1199" s="106"/>
      <c r="B1199" s="106"/>
      <c r="C1199" s="106"/>
      <c r="D1199" s="301"/>
    </row>
    <row r="1200" spans="1:4" ht="15" customHeight="1">
      <c r="A1200" s="106"/>
      <c r="B1200" s="106"/>
      <c r="C1200" s="106"/>
      <c r="D1200" s="301"/>
    </row>
    <row r="1201" spans="1:4" ht="15" customHeight="1">
      <c r="A1201" s="106"/>
      <c r="B1201" s="106"/>
      <c r="C1201" s="106"/>
      <c r="D1201" s="301"/>
    </row>
    <row r="1202" spans="1:4" ht="15" customHeight="1">
      <c r="A1202" s="106"/>
      <c r="B1202" s="106"/>
      <c r="C1202" s="106"/>
      <c r="D1202" s="301"/>
    </row>
    <row r="1203" spans="1:4" ht="15" customHeight="1">
      <c r="A1203" s="106"/>
      <c r="B1203" s="106"/>
      <c r="C1203" s="106"/>
      <c r="D1203" s="301"/>
    </row>
    <row r="1204" spans="1:4" ht="15" customHeight="1">
      <c r="A1204" s="106"/>
      <c r="B1204" s="106"/>
      <c r="C1204" s="106"/>
      <c r="D1204" s="301"/>
    </row>
    <row r="1205" spans="1:4" ht="15" customHeight="1">
      <c r="A1205" s="106"/>
      <c r="B1205" s="106"/>
      <c r="C1205" s="106"/>
      <c r="D1205" s="301"/>
    </row>
    <row r="1206" spans="1:4" ht="15" customHeight="1">
      <c r="A1206" s="106"/>
      <c r="B1206" s="106"/>
      <c r="C1206" s="106"/>
      <c r="D1206" s="301"/>
    </row>
    <row r="1207" spans="1:4" ht="15" customHeight="1">
      <c r="A1207" s="106"/>
      <c r="B1207" s="106"/>
      <c r="C1207" s="106"/>
      <c r="D1207" s="301"/>
    </row>
    <row r="1208" spans="1:4" ht="15" customHeight="1">
      <c r="A1208" s="106"/>
      <c r="B1208" s="106"/>
      <c r="C1208" s="106"/>
      <c r="D1208" s="301"/>
    </row>
    <row r="1209" spans="1:4" ht="15" customHeight="1">
      <c r="A1209" s="106"/>
      <c r="B1209" s="106"/>
      <c r="C1209" s="106"/>
      <c r="D1209" s="301"/>
    </row>
    <row r="1210" spans="1:4" ht="15" customHeight="1">
      <c r="A1210" s="106"/>
      <c r="B1210" s="106"/>
      <c r="C1210" s="106"/>
      <c r="D1210" s="301"/>
    </row>
    <row r="1211" spans="1:4" ht="15" customHeight="1">
      <c r="A1211" s="106"/>
      <c r="B1211" s="106"/>
      <c r="C1211" s="106"/>
      <c r="D1211" s="301"/>
    </row>
    <row r="1212" spans="1:4" ht="15" customHeight="1">
      <c r="A1212" s="106"/>
      <c r="B1212" s="106"/>
      <c r="C1212" s="106"/>
      <c r="D1212" s="301"/>
    </row>
    <row r="1213" spans="1:4" ht="15" customHeight="1">
      <c r="A1213" s="106"/>
      <c r="B1213" s="106"/>
      <c r="C1213" s="106"/>
      <c r="D1213" s="301"/>
    </row>
    <row r="1214" spans="1:4" ht="15" customHeight="1">
      <c r="A1214" s="106"/>
      <c r="B1214" s="106"/>
      <c r="C1214" s="106"/>
      <c r="D1214" s="301"/>
    </row>
    <row r="1215" spans="1:4" ht="15" customHeight="1">
      <c r="A1215" s="106"/>
      <c r="B1215" s="106"/>
      <c r="C1215" s="106"/>
      <c r="D1215" s="301"/>
    </row>
    <row r="1216" spans="1:4" ht="15" customHeight="1">
      <c r="A1216" s="106"/>
      <c r="B1216" s="106"/>
      <c r="C1216" s="106"/>
      <c r="D1216" s="301"/>
    </row>
    <row r="1217" spans="1:4" ht="15" customHeight="1">
      <c r="A1217" s="106"/>
      <c r="B1217" s="106"/>
      <c r="C1217" s="106"/>
      <c r="D1217" s="301"/>
    </row>
    <row r="1218" spans="1:4" ht="15" customHeight="1">
      <c r="A1218" s="106"/>
      <c r="B1218" s="106"/>
      <c r="C1218" s="106"/>
      <c r="D1218" s="301"/>
    </row>
    <row r="1219" spans="1:4" ht="15" customHeight="1">
      <c r="A1219" s="106"/>
      <c r="B1219" s="106"/>
      <c r="C1219" s="106"/>
      <c r="D1219" s="301"/>
    </row>
    <row r="1220" spans="1:4" ht="15" customHeight="1">
      <c r="A1220" s="106"/>
      <c r="B1220" s="106"/>
      <c r="C1220" s="106"/>
      <c r="D1220" s="301"/>
    </row>
    <row r="1221" spans="1:4" ht="15" customHeight="1">
      <c r="A1221" s="106"/>
      <c r="B1221" s="106"/>
      <c r="C1221" s="106"/>
      <c r="D1221" s="301"/>
    </row>
    <row r="1222" spans="1:4" ht="15" customHeight="1">
      <c r="A1222" s="106"/>
      <c r="B1222" s="106"/>
      <c r="C1222" s="106"/>
      <c r="D1222" s="301"/>
    </row>
    <row r="1223" spans="1:4" ht="15" customHeight="1">
      <c r="A1223" s="106"/>
      <c r="B1223" s="106"/>
      <c r="C1223" s="106"/>
      <c r="D1223" s="301"/>
    </row>
    <row r="1224" spans="1:4" ht="15" customHeight="1">
      <c r="A1224" s="106"/>
      <c r="B1224" s="106"/>
      <c r="C1224" s="106"/>
      <c r="D1224" s="301"/>
    </row>
    <row r="1225" spans="1:4" ht="15" customHeight="1">
      <c r="A1225" s="106"/>
      <c r="B1225" s="106"/>
      <c r="C1225" s="106"/>
      <c r="D1225" s="301"/>
    </row>
    <row r="1226" spans="1:4" ht="15" customHeight="1">
      <c r="A1226" s="106"/>
      <c r="B1226" s="106"/>
      <c r="C1226" s="106"/>
      <c r="D1226" s="301"/>
    </row>
    <row r="1227" spans="1:4" ht="15" customHeight="1">
      <c r="A1227" s="106"/>
      <c r="B1227" s="106"/>
      <c r="C1227" s="106"/>
      <c r="D1227" s="301"/>
    </row>
    <row r="1228" spans="1:4" ht="15" customHeight="1">
      <c r="A1228" s="106"/>
      <c r="B1228" s="106"/>
      <c r="C1228" s="106"/>
      <c r="D1228" s="301"/>
    </row>
    <row r="1229" spans="1:4" ht="15" customHeight="1">
      <c r="A1229" s="106"/>
      <c r="B1229" s="106"/>
      <c r="C1229" s="106"/>
      <c r="D1229" s="301"/>
    </row>
    <row r="1230" spans="1:4" ht="15" customHeight="1">
      <c r="A1230" s="106"/>
      <c r="B1230" s="106"/>
      <c r="C1230" s="106"/>
      <c r="D1230" s="301"/>
    </row>
    <row r="1231" spans="1:4" ht="15" customHeight="1">
      <c r="A1231" s="106"/>
      <c r="B1231" s="106"/>
      <c r="C1231" s="106"/>
      <c r="D1231" s="301"/>
    </row>
    <row r="1232" spans="1:4" ht="15" customHeight="1">
      <c r="A1232" s="106"/>
      <c r="B1232" s="106"/>
      <c r="C1232" s="106"/>
      <c r="D1232" s="301"/>
    </row>
    <row r="1233" spans="1:4" ht="15" customHeight="1">
      <c r="A1233" s="106"/>
      <c r="B1233" s="106"/>
      <c r="C1233" s="106"/>
      <c r="D1233" s="301"/>
    </row>
    <row r="1234" spans="1:4" ht="15" customHeight="1">
      <c r="A1234" s="106"/>
      <c r="B1234" s="106"/>
      <c r="C1234" s="106"/>
      <c r="D1234" s="301"/>
    </row>
    <row r="1235" spans="1:4" ht="15" customHeight="1">
      <c r="A1235" s="106"/>
      <c r="B1235" s="106"/>
      <c r="C1235" s="106"/>
      <c r="D1235" s="301"/>
    </row>
    <row r="1236" spans="1:4" ht="15" customHeight="1">
      <c r="A1236" s="106"/>
      <c r="B1236" s="106"/>
      <c r="C1236" s="106"/>
      <c r="D1236" s="301"/>
    </row>
    <row r="1237" spans="1:4" ht="15" customHeight="1">
      <c r="A1237" s="106"/>
      <c r="B1237" s="106"/>
      <c r="C1237" s="106"/>
      <c r="D1237" s="301"/>
    </row>
    <row r="1238" spans="1:4" ht="15" customHeight="1">
      <c r="A1238" s="106"/>
      <c r="B1238" s="106"/>
      <c r="C1238" s="106"/>
      <c r="D1238" s="301"/>
    </row>
    <row r="1239" spans="1:4" ht="15" customHeight="1">
      <c r="A1239" s="106"/>
      <c r="B1239" s="106"/>
      <c r="C1239" s="106"/>
      <c r="D1239" s="301"/>
    </row>
    <row r="1240" spans="1:4" ht="15" customHeight="1">
      <c r="A1240" s="106"/>
      <c r="B1240" s="106"/>
      <c r="C1240" s="106"/>
      <c r="D1240" s="301"/>
    </row>
    <row r="1241" spans="1:4" ht="15" customHeight="1">
      <c r="A1241" s="106"/>
      <c r="B1241" s="106"/>
      <c r="C1241" s="106"/>
      <c r="D1241" s="301"/>
    </row>
    <row r="1242" spans="1:4" ht="15" customHeight="1">
      <c r="A1242" s="106"/>
      <c r="B1242" s="106"/>
      <c r="C1242" s="106"/>
      <c r="D1242" s="301"/>
    </row>
    <row r="1243" spans="1:4" ht="15" customHeight="1">
      <c r="A1243" s="106"/>
      <c r="B1243" s="106"/>
      <c r="C1243" s="106"/>
      <c r="D1243" s="301"/>
    </row>
    <row r="1244" spans="1:4" ht="15" customHeight="1">
      <c r="A1244" s="106"/>
      <c r="B1244" s="106"/>
      <c r="C1244" s="106"/>
      <c r="D1244" s="301"/>
    </row>
    <row r="1245" spans="1:4" ht="15" customHeight="1">
      <c r="A1245" s="106"/>
      <c r="B1245" s="106"/>
      <c r="C1245" s="106"/>
      <c r="D1245" s="301"/>
    </row>
    <row r="1246" spans="1:4" ht="15" customHeight="1">
      <c r="A1246" s="106"/>
      <c r="B1246" s="106"/>
      <c r="C1246" s="106"/>
      <c r="D1246" s="301"/>
    </row>
    <row r="1247" spans="1:4" ht="15" customHeight="1">
      <c r="A1247" s="106"/>
      <c r="B1247" s="106"/>
      <c r="C1247" s="106"/>
      <c r="D1247" s="301"/>
    </row>
    <row r="1248" spans="1:4" ht="15" customHeight="1">
      <c r="A1248" s="106"/>
      <c r="B1248" s="106"/>
      <c r="C1248" s="106"/>
      <c r="D1248" s="301"/>
    </row>
    <row r="1249" spans="1:4" ht="15" customHeight="1">
      <c r="A1249" s="106"/>
      <c r="B1249" s="106"/>
      <c r="C1249" s="106"/>
      <c r="D1249" s="301"/>
    </row>
    <row r="1250" spans="1:4" ht="15" customHeight="1">
      <c r="A1250" s="106"/>
      <c r="B1250" s="106"/>
      <c r="C1250" s="106"/>
      <c r="D1250" s="301"/>
    </row>
    <row r="1251" spans="1:4" ht="15" customHeight="1">
      <c r="A1251" s="106"/>
      <c r="B1251" s="106"/>
      <c r="C1251" s="106"/>
      <c r="D1251" s="301"/>
    </row>
    <row r="1252" spans="1:4" ht="15" customHeight="1">
      <c r="A1252" s="106"/>
      <c r="B1252" s="106"/>
      <c r="C1252" s="106"/>
      <c r="D1252" s="301"/>
    </row>
    <row r="1253" spans="1:4" ht="15" customHeight="1">
      <c r="A1253" s="106"/>
      <c r="B1253" s="106"/>
      <c r="C1253" s="106"/>
      <c r="D1253" s="301"/>
    </row>
    <row r="1254" spans="1:4" ht="15" customHeight="1">
      <c r="A1254" s="106"/>
      <c r="B1254" s="106"/>
      <c r="C1254" s="106"/>
      <c r="D1254" s="301"/>
    </row>
    <row r="1255" spans="1:4" ht="15" customHeight="1">
      <c r="A1255" s="106"/>
      <c r="B1255" s="106"/>
      <c r="C1255" s="106"/>
      <c r="D1255" s="301"/>
    </row>
    <row r="1256" spans="1:4" ht="15" customHeight="1">
      <c r="A1256" s="106"/>
      <c r="B1256" s="106"/>
      <c r="C1256" s="106"/>
      <c r="D1256" s="301"/>
    </row>
    <row r="1257" spans="1:4" ht="15" customHeight="1">
      <c r="A1257" s="106"/>
      <c r="B1257" s="106"/>
      <c r="C1257" s="106"/>
      <c r="D1257" s="301"/>
    </row>
    <row r="1258" spans="1:4" ht="15" customHeight="1">
      <c r="A1258" s="106"/>
      <c r="B1258" s="106"/>
      <c r="C1258" s="106"/>
      <c r="D1258" s="301"/>
    </row>
    <row r="1259" spans="1:4" ht="15" customHeight="1">
      <c r="A1259" s="106"/>
      <c r="B1259" s="106"/>
      <c r="C1259" s="106"/>
      <c r="D1259" s="301"/>
    </row>
    <row r="1260" spans="1:4" ht="15" customHeight="1">
      <c r="A1260" s="106"/>
      <c r="B1260" s="106"/>
      <c r="C1260" s="106"/>
      <c r="D1260" s="301"/>
    </row>
    <row r="1261" spans="1:4" ht="15" customHeight="1">
      <c r="A1261" s="106"/>
      <c r="B1261" s="106"/>
      <c r="C1261" s="106"/>
      <c r="D1261" s="301"/>
    </row>
    <row r="1262" spans="1:4" ht="15" customHeight="1">
      <c r="A1262" s="106"/>
      <c r="B1262" s="106"/>
      <c r="C1262" s="106"/>
      <c r="D1262" s="301"/>
    </row>
    <row r="1263" spans="1:4" ht="15" customHeight="1">
      <c r="A1263" s="106"/>
      <c r="B1263" s="106"/>
      <c r="C1263" s="106"/>
      <c r="D1263" s="301"/>
    </row>
    <row r="1264" spans="1:4" ht="15" customHeight="1">
      <c r="A1264" s="106"/>
      <c r="B1264" s="106"/>
      <c r="C1264" s="106"/>
      <c r="D1264" s="301"/>
    </row>
    <row r="1265" spans="1:4" ht="15" customHeight="1">
      <c r="A1265" s="106"/>
      <c r="B1265" s="106"/>
      <c r="C1265" s="106"/>
      <c r="D1265" s="301"/>
    </row>
    <row r="1266" spans="1:4" ht="15" customHeight="1">
      <c r="A1266" s="106"/>
      <c r="B1266" s="106"/>
      <c r="C1266" s="106"/>
      <c r="D1266" s="301"/>
    </row>
    <row r="1267" spans="1:4" ht="15" customHeight="1">
      <c r="A1267" s="106"/>
      <c r="B1267" s="106"/>
      <c r="C1267" s="106"/>
      <c r="D1267" s="301"/>
    </row>
    <row r="1268" spans="1:4" ht="15" customHeight="1">
      <c r="A1268" s="106"/>
      <c r="B1268" s="106"/>
      <c r="C1268" s="106"/>
      <c r="D1268" s="301"/>
    </row>
    <row r="1269" spans="1:4" ht="15" customHeight="1">
      <c r="A1269" s="106"/>
      <c r="B1269" s="106"/>
      <c r="C1269" s="106"/>
      <c r="D1269" s="301"/>
    </row>
    <row r="1270" spans="1:4" ht="15" customHeight="1">
      <c r="A1270" s="106"/>
      <c r="B1270" s="106"/>
      <c r="C1270" s="106"/>
      <c r="D1270" s="301"/>
    </row>
    <row r="1271" spans="1:4" ht="15" customHeight="1">
      <c r="A1271" s="106"/>
      <c r="B1271" s="106"/>
      <c r="C1271" s="106"/>
      <c r="D1271" s="301"/>
    </row>
    <row r="1272" spans="1:4" ht="15" customHeight="1">
      <c r="A1272" s="106"/>
      <c r="B1272" s="106"/>
      <c r="C1272" s="106"/>
      <c r="D1272" s="301"/>
    </row>
    <row r="1273" spans="1:4" ht="15" customHeight="1">
      <c r="A1273" s="106"/>
      <c r="B1273" s="106"/>
      <c r="C1273" s="106"/>
      <c r="D1273" s="301"/>
    </row>
    <row r="1274" spans="1:4" ht="15" customHeight="1">
      <c r="A1274" s="106"/>
      <c r="B1274" s="106"/>
      <c r="C1274" s="106"/>
      <c r="D1274" s="301"/>
    </row>
    <row r="1275" spans="1:4" ht="15" customHeight="1">
      <c r="A1275" s="106"/>
      <c r="B1275" s="106"/>
      <c r="C1275" s="106"/>
      <c r="D1275" s="301"/>
    </row>
    <row r="1276" spans="1:4" ht="15" customHeight="1">
      <c r="A1276" s="106"/>
      <c r="B1276" s="106"/>
      <c r="C1276" s="106"/>
      <c r="D1276" s="301"/>
    </row>
    <row r="1277" spans="1:4" ht="15" customHeight="1">
      <c r="A1277" s="106"/>
      <c r="B1277" s="106"/>
      <c r="C1277" s="106"/>
      <c r="D1277" s="301"/>
    </row>
    <row r="1278" spans="1:4" ht="15" customHeight="1">
      <c r="A1278" s="106"/>
      <c r="B1278" s="106"/>
      <c r="C1278" s="106"/>
      <c r="D1278" s="301"/>
    </row>
    <row r="1279" spans="1:4" ht="15" customHeight="1">
      <c r="A1279" s="106"/>
      <c r="B1279" s="106"/>
      <c r="C1279" s="106"/>
      <c r="D1279" s="301"/>
    </row>
    <row r="1280" spans="1:4" ht="15" customHeight="1">
      <c r="A1280" s="106"/>
      <c r="B1280" s="106"/>
      <c r="C1280" s="106"/>
      <c r="D1280" s="301"/>
    </row>
    <row r="1281" spans="1:4" ht="15" customHeight="1">
      <c r="A1281" s="106"/>
      <c r="B1281" s="106"/>
      <c r="C1281" s="106"/>
      <c r="D1281" s="301"/>
    </row>
    <row r="1282" spans="1:4" ht="15" customHeight="1">
      <c r="A1282" s="106"/>
      <c r="B1282" s="106"/>
      <c r="C1282" s="106"/>
      <c r="D1282" s="301"/>
    </row>
    <row r="1283" spans="1:4" ht="15" customHeight="1">
      <c r="A1283" s="106"/>
      <c r="B1283" s="106"/>
      <c r="C1283" s="106"/>
      <c r="D1283" s="301"/>
    </row>
    <row r="1284" spans="1:4" ht="15" customHeight="1">
      <c r="A1284" s="106"/>
      <c r="B1284" s="106"/>
      <c r="C1284" s="106"/>
      <c r="D1284" s="301"/>
    </row>
    <row r="1285" spans="1:4" ht="15" customHeight="1">
      <c r="A1285" s="106"/>
      <c r="B1285" s="106"/>
      <c r="C1285" s="106"/>
      <c r="D1285" s="301"/>
    </row>
    <row r="1286" spans="1:4" ht="15" customHeight="1">
      <c r="A1286" s="106"/>
      <c r="B1286" s="106"/>
      <c r="C1286" s="106"/>
      <c r="D1286" s="301"/>
    </row>
    <row r="1287" spans="1:4" ht="15" customHeight="1">
      <c r="A1287" s="106"/>
      <c r="B1287" s="106"/>
      <c r="C1287" s="106"/>
      <c r="D1287" s="301"/>
    </row>
    <row r="1288" spans="1:4" ht="15" customHeight="1">
      <c r="A1288" s="106"/>
      <c r="B1288" s="106"/>
      <c r="C1288" s="106"/>
      <c r="D1288" s="301"/>
    </row>
    <row r="1289" spans="1:4" ht="15" customHeight="1">
      <c r="A1289" s="106"/>
      <c r="B1289" s="106"/>
      <c r="C1289" s="106"/>
      <c r="D1289" s="301"/>
    </row>
    <row r="1290" spans="1:4" ht="15" customHeight="1">
      <c r="A1290" s="106"/>
      <c r="B1290" s="106"/>
      <c r="C1290" s="106"/>
      <c r="D1290" s="301"/>
    </row>
    <row r="1291" spans="1:4" ht="15" customHeight="1">
      <c r="A1291" s="106"/>
      <c r="B1291" s="106"/>
      <c r="C1291" s="106"/>
      <c r="D1291" s="301"/>
    </row>
    <row r="1292" spans="1:4" ht="15" customHeight="1">
      <c r="A1292" s="106"/>
      <c r="B1292" s="106"/>
      <c r="C1292" s="106"/>
      <c r="D1292" s="301"/>
    </row>
    <row r="1293" spans="1:4" ht="15" customHeight="1">
      <c r="A1293" s="106"/>
      <c r="B1293" s="106"/>
      <c r="C1293" s="106"/>
      <c r="D1293" s="301"/>
    </row>
    <row r="1294" spans="1:4" ht="15" customHeight="1">
      <c r="A1294" s="106"/>
      <c r="B1294" s="106"/>
      <c r="C1294" s="106"/>
      <c r="D1294" s="301"/>
    </row>
    <row r="1295" spans="1:4" ht="15" customHeight="1">
      <c r="A1295" s="106"/>
      <c r="B1295" s="106"/>
      <c r="C1295" s="106"/>
      <c r="D1295" s="301"/>
    </row>
    <row r="1296" spans="1:4" ht="15" customHeight="1">
      <c r="A1296" s="106"/>
      <c r="B1296" s="106"/>
      <c r="C1296" s="106"/>
      <c r="D1296" s="301"/>
    </row>
    <row r="1297" spans="1:4" ht="15" customHeight="1">
      <c r="A1297" s="106"/>
      <c r="B1297" s="106"/>
      <c r="C1297" s="106"/>
      <c r="D1297" s="301"/>
    </row>
    <row r="1298" spans="1:4" ht="15" customHeight="1">
      <c r="A1298" s="106"/>
      <c r="B1298" s="106"/>
      <c r="C1298" s="106"/>
      <c r="D1298" s="301"/>
    </row>
    <row r="1299" spans="1:4" ht="15" customHeight="1">
      <c r="A1299" s="106"/>
      <c r="B1299" s="106"/>
      <c r="C1299" s="106"/>
      <c r="D1299" s="301"/>
    </row>
    <row r="1300" spans="1:4" ht="15" customHeight="1">
      <c r="A1300" s="106"/>
      <c r="B1300" s="106"/>
      <c r="C1300" s="106"/>
      <c r="D1300" s="301"/>
    </row>
    <row r="1301" spans="1:4" ht="15" customHeight="1">
      <c r="A1301" s="106"/>
      <c r="B1301" s="106"/>
      <c r="C1301" s="106"/>
      <c r="D1301" s="301"/>
    </row>
    <row r="1302" spans="1:4" ht="15" customHeight="1">
      <c r="A1302" s="106"/>
      <c r="B1302" s="106"/>
      <c r="C1302" s="106"/>
      <c r="D1302" s="301"/>
    </row>
    <row r="1303" spans="1:4" ht="15" customHeight="1">
      <c r="A1303" s="106"/>
      <c r="B1303" s="106"/>
      <c r="C1303" s="106"/>
      <c r="D1303" s="301"/>
    </row>
    <row r="1304" spans="1:4" ht="15" customHeight="1">
      <c r="A1304" s="106"/>
      <c r="B1304" s="106"/>
      <c r="C1304" s="106"/>
      <c r="D1304" s="301"/>
    </row>
    <row r="1305" spans="1:4" ht="15" customHeight="1">
      <c r="A1305" s="106"/>
      <c r="B1305" s="106"/>
      <c r="C1305" s="106"/>
      <c r="D1305" s="301"/>
    </row>
    <row r="1306" spans="1:4" ht="15" customHeight="1">
      <c r="A1306" s="106"/>
      <c r="B1306" s="106"/>
      <c r="C1306" s="106"/>
      <c r="D1306" s="301"/>
    </row>
    <row r="1307" spans="1:4" ht="15" customHeight="1">
      <c r="A1307" s="106"/>
      <c r="B1307" s="106"/>
      <c r="C1307" s="106"/>
      <c r="D1307" s="301"/>
    </row>
    <row r="1308" spans="1:4" ht="15" customHeight="1">
      <c r="A1308" s="106"/>
      <c r="B1308" s="106"/>
      <c r="C1308" s="106"/>
      <c r="D1308" s="301"/>
    </row>
    <row r="1309" spans="1:4" ht="15" customHeight="1">
      <c r="A1309" s="106"/>
      <c r="B1309" s="106"/>
      <c r="C1309" s="106"/>
      <c r="D1309" s="301"/>
    </row>
    <row r="1310" spans="1:4" ht="15" customHeight="1">
      <c r="A1310" s="106"/>
      <c r="B1310" s="106"/>
      <c r="C1310" s="106"/>
      <c r="D1310" s="301"/>
    </row>
    <row r="1311" spans="1:4" ht="15" customHeight="1">
      <c r="A1311" s="106"/>
      <c r="B1311" s="106"/>
      <c r="C1311" s="106"/>
      <c r="D1311" s="301"/>
    </row>
    <row r="1312" spans="1:4" ht="15" customHeight="1">
      <c r="A1312" s="106"/>
      <c r="B1312" s="106"/>
      <c r="C1312" s="106"/>
      <c r="D1312" s="301"/>
    </row>
    <row r="1313" spans="1:4" ht="15" customHeight="1">
      <c r="A1313" s="106"/>
      <c r="B1313" s="106"/>
      <c r="C1313" s="106"/>
      <c r="D1313" s="301"/>
    </row>
    <row r="1314" spans="1:4" ht="15" customHeight="1">
      <c r="A1314" s="106"/>
      <c r="B1314" s="106"/>
      <c r="C1314" s="106"/>
      <c r="D1314" s="301"/>
    </row>
    <row r="1315" spans="1:4" ht="15" customHeight="1">
      <c r="A1315" s="106"/>
      <c r="B1315" s="106"/>
      <c r="C1315" s="106"/>
      <c r="D1315" s="301"/>
    </row>
    <row r="1316" spans="1:4" ht="15" customHeight="1">
      <c r="A1316" s="106"/>
      <c r="B1316" s="106"/>
      <c r="C1316" s="106"/>
      <c r="D1316" s="301"/>
    </row>
    <row r="1317" spans="1:4" ht="15" customHeight="1">
      <c r="A1317" s="106"/>
      <c r="B1317" s="106"/>
      <c r="C1317" s="106"/>
      <c r="D1317" s="301"/>
    </row>
    <row r="1318" spans="1:4" ht="15" customHeight="1">
      <c r="A1318" s="106"/>
      <c r="B1318" s="106"/>
      <c r="C1318" s="106"/>
      <c r="D1318" s="301"/>
    </row>
    <row r="1319" spans="1:4" ht="15" customHeight="1">
      <c r="A1319" s="106"/>
      <c r="B1319" s="106"/>
      <c r="C1319" s="106"/>
      <c r="D1319" s="301"/>
    </row>
    <row r="1320" spans="1:4" ht="15" customHeight="1">
      <c r="A1320" s="106"/>
      <c r="B1320" s="106"/>
      <c r="C1320" s="106"/>
      <c r="D1320" s="301"/>
    </row>
    <row r="1321" spans="1:4" ht="15" customHeight="1">
      <c r="A1321" s="106"/>
      <c r="B1321" s="106"/>
      <c r="C1321" s="106"/>
      <c r="D1321" s="301"/>
    </row>
    <row r="1322" spans="1:4" ht="15" customHeight="1">
      <c r="A1322" s="106"/>
      <c r="B1322" s="106"/>
      <c r="C1322" s="106"/>
      <c r="D1322" s="301"/>
    </row>
    <row r="1323" spans="1:4" ht="15" customHeight="1">
      <c r="A1323" s="106"/>
      <c r="B1323" s="106"/>
      <c r="C1323" s="106"/>
      <c r="D1323" s="301"/>
    </row>
    <row r="1324" spans="1:4" ht="15" customHeight="1">
      <c r="A1324" s="106"/>
      <c r="B1324" s="106"/>
      <c r="C1324" s="106"/>
      <c r="D1324" s="301"/>
    </row>
    <row r="1325" spans="1:4" ht="15" customHeight="1">
      <c r="A1325" s="106"/>
      <c r="B1325" s="106"/>
      <c r="C1325" s="106"/>
      <c r="D1325" s="301"/>
    </row>
    <row r="1326" spans="1:4" ht="15" customHeight="1">
      <c r="A1326" s="106"/>
      <c r="B1326" s="106"/>
      <c r="C1326" s="106"/>
      <c r="D1326" s="301"/>
    </row>
    <row r="1327" spans="1:4" ht="15" customHeight="1">
      <c r="A1327" s="106"/>
      <c r="B1327" s="106"/>
      <c r="C1327" s="106"/>
      <c r="D1327" s="301"/>
    </row>
    <row r="1328" spans="1:4" ht="15" customHeight="1">
      <c r="A1328" s="106"/>
      <c r="B1328" s="106"/>
      <c r="C1328" s="106"/>
      <c r="D1328" s="301"/>
    </row>
    <row r="1329" spans="1:4" ht="15" customHeight="1">
      <c r="A1329" s="106"/>
      <c r="B1329" s="106"/>
      <c r="C1329" s="106"/>
      <c r="D1329" s="301"/>
    </row>
    <row r="1330" spans="1:4" ht="15" customHeight="1">
      <c r="A1330" s="106"/>
      <c r="B1330" s="106"/>
      <c r="C1330" s="106"/>
      <c r="D1330" s="301"/>
    </row>
    <row r="1331" spans="1:4" ht="15" customHeight="1">
      <c r="A1331" s="106"/>
      <c r="B1331" s="106"/>
      <c r="C1331" s="106"/>
      <c r="D1331" s="301"/>
    </row>
    <row r="1332" spans="1:4" ht="15" customHeight="1">
      <c r="A1332" s="106"/>
      <c r="B1332" s="106"/>
      <c r="C1332" s="106"/>
      <c r="D1332" s="301"/>
    </row>
    <row r="1333" spans="1:4" ht="15" customHeight="1">
      <c r="A1333" s="106"/>
      <c r="B1333" s="106"/>
      <c r="C1333" s="106"/>
      <c r="D1333" s="301"/>
    </row>
    <row r="1334" spans="1:4" ht="15" customHeight="1">
      <c r="A1334" s="106"/>
      <c r="B1334" s="106"/>
      <c r="C1334" s="106"/>
      <c r="D1334" s="301"/>
    </row>
    <row r="1335" spans="1:4" ht="15" customHeight="1">
      <c r="A1335" s="106"/>
      <c r="B1335" s="106"/>
      <c r="C1335" s="106"/>
      <c r="D1335" s="301"/>
    </row>
    <row r="1336" spans="1:4" ht="15" customHeight="1">
      <c r="A1336" s="106"/>
      <c r="B1336" s="106"/>
      <c r="C1336" s="106"/>
      <c r="D1336" s="301"/>
    </row>
    <row r="1337" spans="1:4" ht="15" customHeight="1">
      <c r="A1337" s="106"/>
      <c r="B1337" s="106"/>
      <c r="C1337" s="106"/>
      <c r="D1337" s="301"/>
    </row>
    <row r="1338" spans="1:4" ht="15" customHeight="1">
      <c r="A1338" s="106"/>
      <c r="B1338" s="106"/>
      <c r="C1338" s="106"/>
      <c r="D1338" s="301"/>
    </row>
    <row r="1339" spans="1:4" ht="15" customHeight="1">
      <c r="A1339" s="106"/>
      <c r="B1339" s="106"/>
      <c r="C1339" s="106"/>
      <c r="D1339" s="301"/>
    </row>
    <row r="1340" spans="1:4" ht="15" customHeight="1">
      <c r="A1340" s="106"/>
      <c r="B1340" s="106"/>
      <c r="C1340" s="106"/>
      <c r="D1340" s="301"/>
    </row>
    <row r="1341" spans="1:4" ht="15" customHeight="1">
      <c r="A1341" s="106"/>
      <c r="B1341" s="106"/>
      <c r="C1341" s="106"/>
      <c r="D1341" s="301"/>
    </row>
    <row r="1342" spans="1:4" ht="15" customHeight="1">
      <c r="A1342" s="106"/>
      <c r="B1342" s="106"/>
      <c r="C1342" s="106"/>
      <c r="D1342" s="301"/>
    </row>
    <row r="1343" spans="1:4" ht="15" customHeight="1">
      <c r="A1343" s="106"/>
      <c r="B1343" s="106"/>
      <c r="C1343" s="106"/>
      <c r="D1343" s="301"/>
    </row>
    <row r="1344" spans="1:4" ht="15" customHeight="1">
      <c r="A1344" s="106"/>
      <c r="B1344" s="106"/>
      <c r="C1344" s="106"/>
      <c r="D1344" s="301"/>
    </row>
    <row r="1345" spans="1:4" ht="15" customHeight="1">
      <c r="A1345" s="106"/>
      <c r="B1345" s="106"/>
      <c r="C1345" s="106"/>
      <c r="D1345" s="301"/>
    </row>
    <row r="1346" spans="1:4" ht="15" customHeight="1">
      <c r="A1346" s="106"/>
      <c r="B1346" s="106"/>
      <c r="C1346" s="106"/>
      <c r="D1346" s="301"/>
    </row>
    <row r="1347" spans="1:4" ht="15" customHeight="1">
      <c r="A1347" s="106"/>
      <c r="B1347" s="106"/>
      <c r="C1347" s="106"/>
      <c r="D1347" s="301"/>
    </row>
    <row r="1348" spans="1:4" ht="15" customHeight="1">
      <c r="A1348" s="106"/>
      <c r="B1348" s="106"/>
      <c r="C1348" s="106"/>
      <c r="D1348" s="301"/>
    </row>
    <row r="1349" spans="1:4" ht="15" customHeight="1">
      <c r="A1349" s="106"/>
      <c r="B1349" s="106"/>
      <c r="C1349" s="106"/>
      <c r="D1349" s="301"/>
    </row>
    <row r="1350" spans="1:4" ht="15" customHeight="1">
      <c r="A1350" s="106"/>
      <c r="B1350" s="106"/>
      <c r="C1350" s="106"/>
      <c r="D1350" s="301"/>
    </row>
    <row r="1351" spans="1:4" ht="15" customHeight="1">
      <c r="A1351" s="106"/>
      <c r="B1351" s="106"/>
      <c r="C1351" s="106"/>
      <c r="D1351" s="301"/>
    </row>
    <row r="1352" spans="1:4" ht="15" customHeight="1">
      <c r="A1352" s="106"/>
      <c r="B1352" s="106"/>
      <c r="C1352" s="106"/>
      <c r="D1352" s="301"/>
    </row>
    <row r="1353" spans="1:4" ht="15" customHeight="1">
      <c r="A1353" s="106"/>
      <c r="B1353" s="106"/>
      <c r="C1353" s="106"/>
      <c r="D1353" s="301"/>
    </row>
    <row r="1354" spans="1:4" ht="15" customHeight="1">
      <c r="A1354" s="106"/>
      <c r="B1354" s="106"/>
      <c r="C1354" s="106"/>
      <c r="D1354" s="301"/>
    </row>
    <row r="1355" spans="1:4" ht="15" customHeight="1">
      <c r="A1355" s="106"/>
      <c r="B1355" s="106"/>
      <c r="C1355" s="106"/>
      <c r="D1355" s="301"/>
    </row>
    <row r="1356" spans="1:4" ht="15" customHeight="1">
      <c r="A1356" s="106"/>
      <c r="B1356" s="106"/>
      <c r="C1356" s="106"/>
      <c r="D1356" s="301"/>
    </row>
    <row r="1357" spans="1:4" ht="15" customHeight="1">
      <c r="A1357" s="106"/>
      <c r="B1357" s="106"/>
      <c r="C1357" s="106"/>
      <c r="D1357" s="301"/>
    </row>
    <row r="1358" spans="1:4" ht="15" customHeight="1">
      <c r="A1358" s="106"/>
      <c r="B1358" s="106"/>
      <c r="C1358" s="106"/>
      <c r="D1358" s="301"/>
    </row>
    <row r="1359" spans="1:4" ht="15" customHeight="1">
      <c r="A1359" s="106"/>
      <c r="B1359" s="106"/>
      <c r="C1359" s="106"/>
      <c r="D1359" s="301"/>
    </row>
    <row r="1360" spans="1:4" ht="15" customHeight="1">
      <c r="A1360" s="106"/>
      <c r="B1360" s="106"/>
      <c r="C1360" s="106"/>
      <c r="D1360" s="301"/>
    </row>
    <row r="1361" spans="1:4" ht="15" customHeight="1">
      <c r="A1361" s="106"/>
      <c r="B1361" s="106"/>
      <c r="C1361" s="106"/>
      <c r="D1361" s="301"/>
    </row>
    <row r="1362" spans="1:4" ht="15" customHeight="1">
      <c r="A1362" s="106"/>
      <c r="B1362" s="106"/>
      <c r="C1362" s="106"/>
      <c r="D1362" s="301"/>
    </row>
    <row r="1363" spans="1:4" ht="15" customHeight="1">
      <c r="A1363" s="106"/>
      <c r="B1363" s="106"/>
      <c r="C1363" s="106"/>
      <c r="D1363" s="301"/>
    </row>
    <row r="1364" spans="1:4" ht="15" customHeight="1">
      <c r="A1364" s="106"/>
      <c r="B1364" s="106"/>
      <c r="C1364" s="106"/>
      <c r="D1364" s="301"/>
    </row>
    <row r="1365" spans="1:4" ht="15" customHeight="1">
      <c r="A1365" s="106"/>
      <c r="B1365" s="106"/>
      <c r="C1365" s="106"/>
      <c r="D1365" s="301"/>
    </row>
    <row r="1366" spans="1:4" ht="15" customHeight="1">
      <c r="A1366" s="106"/>
      <c r="B1366" s="106"/>
      <c r="C1366" s="106"/>
      <c r="D1366" s="301"/>
    </row>
    <row r="1367" spans="1:4" ht="15" customHeight="1">
      <c r="A1367" s="106"/>
      <c r="B1367" s="106"/>
      <c r="C1367" s="106"/>
      <c r="D1367" s="301"/>
    </row>
    <row r="1368" spans="1:4" ht="15" customHeight="1">
      <c r="A1368" s="106"/>
      <c r="B1368" s="106"/>
      <c r="C1368" s="106"/>
      <c r="D1368" s="301"/>
    </row>
    <row r="1369" spans="1:4" ht="15" customHeight="1">
      <c r="A1369" s="106"/>
      <c r="B1369" s="106"/>
      <c r="C1369" s="106"/>
      <c r="D1369" s="301"/>
    </row>
    <row r="1370" spans="1:4" ht="15" customHeight="1">
      <c r="A1370" s="106"/>
      <c r="B1370" s="106"/>
      <c r="C1370" s="106"/>
      <c r="D1370" s="301"/>
    </row>
    <row r="1371" spans="1:4" ht="15" customHeight="1">
      <c r="A1371" s="106"/>
      <c r="B1371" s="106"/>
      <c r="C1371" s="106"/>
      <c r="D1371" s="301"/>
    </row>
    <row r="1372" spans="1:4" ht="15" customHeight="1">
      <c r="A1372" s="106"/>
      <c r="B1372" s="106"/>
      <c r="C1372" s="106"/>
      <c r="D1372" s="301"/>
    </row>
    <row r="1373" spans="1:4" ht="15" customHeight="1">
      <c r="A1373" s="106"/>
      <c r="B1373" s="106"/>
      <c r="C1373" s="106"/>
      <c r="D1373" s="301"/>
    </row>
    <row r="1374" spans="1:4" ht="15" customHeight="1">
      <c r="A1374" s="106"/>
      <c r="B1374" s="106"/>
      <c r="C1374" s="106"/>
      <c r="D1374" s="301"/>
    </row>
    <row r="1375" spans="1:4" ht="15" customHeight="1">
      <c r="A1375" s="106"/>
      <c r="B1375" s="106"/>
      <c r="C1375" s="106"/>
      <c r="D1375" s="301"/>
    </row>
    <row r="1376" spans="1:4" ht="15" customHeight="1">
      <c r="A1376" s="106"/>
      <c r="B1376" s="106"/>
      <c r="C1376" s="106"/>
      <c r="D1376" s="301"/>
    </row>
    <row r="1377" spans="1:4" ht="15" customHeight="1">
      <c r="A1377" s="106"/>
      <c r="B1377" s="106"/>
      <c r="C1377" s="106"/>
      <c r="D1377" s="301"/>
    </row>
    <row r="1378" spans="1:4" ht="15" customHeight="1">
      <c r="A1378" s="106"/>
      <c r="B1378" s="106"/>
      <c r="C1378" s="106"/>
      <c r="D1378" s="301"/>
    </row>
    <row r="1379" spans="1:4" ht="15" customHeight="1">
      <c r="A1379" s="106"/>
      <c r="B1379" s="106"/>
      <c r="C1379" s="106"/>
      <c r="D1379" s="301"/>
    </row>
    <row r="1380" spans="1:4" ht="15" customHeight="1">
      <c r="A1380" s="106"/>
      <c r="B1380" s="106"/>
      <c r="C1380" s="106"/>
      <c r="D1380" s="301"/>
    </row>
    <row r="1381" spans="1:4" ht="15" customHeight="1">
      <c r="A1381" s="106"/>
      <c r="B1381" s="106"/>
      <c r="C1381" s="106"/>
      <c r="D1381" s="301"/>
    </row>
    <row r="1382" spans="1:4" ht="15" customHeight="1">
      <c r="A1382" s="106"/>
      <c r="B1382" s="106"/>
      <c r="C1382" s="106"/>
      <c r="D1382" s="301"/>
    </row>
    <row r="1383" spans="1:4" ht="15" customHeight="1">
      <c r="A1383" s="106"/>
      <c r="B1383" s="106"/>
      <c r="C1383" s="106"/>
      <c r="D1383" s="301"/>
    </row>
    <row r="1384" spans="1:4" ht="15" customHeight="1">
      <c r="A1384" s="106"/>
      <c r="B1384" s="106"/>
      <c r="C1384" s="106"/>
      <c r="D1384" s="301"/>
    </row>
    <row r="1385" spans="1:4" ht="15" customHeight="1">
      <c r="A1385" s="106"/>
      <c r="B1385" s="106"/>
      <c r="C1385" s="106"/>
      <c r="D1385" s="301"/>
    </row>
    <row r="1386" spans="1:4" ht="15" customHeight="1">
      <c r="A1386" s="106"/>
      <c r="B1386" s="106"/>
      <c r="C1386" s="106"/>
      <c r="D1386" s="301"/>
    </row>
    <row r="1387" spans="1:4" ht="15" customHeight="1">
      <c r="A1387" s="106"/>
      <c r="B1387" s="106"/>
      <c r="C1387" s="106"/>
      <c r="D1387" s="301"/>
    </row>
    <row r="1388" spans="1:4" ht="15" customHeight="1">
      <c r="A1388" s="106"/>
      <c r="B1388" s="106"/>
      <c r="C1388" s="106"/>
      <c r="D1388" s="301"/>
    </row>
    <row r="1389" spans="1:4" ht="15" customHeight="1">
      <c r="A1389" s="106"/>
      <c r="B1389" s="106"/>
      <c r="C1389" s="106"/>
      <c r="D1389" s="301"/>
    </row>
    <row r="1390" spans="1:4" ht="15" customHeight="1">
      <c r="A1390" s="106"/>
      <c r="B1390" s="106"/>
      <c r="C1390" s="106"/>
      <c r="D1390" s="301"/>
    </row>
    <row r="1391" spans="1:4" ht="15" customHeight="1">
      <c r="A1391" s="106"/>
      <c r="B1391" s="106"/>
      <c r="C1391" s="106"/>
      <c r="D1391" s="301"/>
    </row>
    <row r="1392" spans="1:4" ht="15" customHeight="1">
      <c r="A1392" s="106"/>
      <c r="B1392" s="106"/>
      <c r="C1392" s="106"/>
      <c r="D1392" s="301"/>
    </row>
    <row r="1393" spans="1:4" ht="15" customHeight="1">
      <c r="A1393" s="106"/>
      <c r="B1393" s="106"/>
      <c r="C1393" s="106"/>
      <c r="D1393" s="301"/>
    </row>
    <row r="1394" spans="1:4" ht="15" customHeight="1">
      <c r="A1394" s="106"/>
      <c r="B1394" s="106"/>
      <c r="C1394" s="106"/>
      <c r="D1394" s="301"/>
    </row>
    <row r="1395" spans="1:4" ht="15" customHeight="1">
      <c r="A1395" s="106"/>
      <c r="B1395" s="106"/>
      <c r="C1395" s="106"/>
      <c r="D1395" s="301"/>
    </row>
    <row r="1396" spans="1:4" ht="15" customHeight="1">
      <c r="A1396" s="106"/>
      <c r="B1396" s="106"/>
      <c r="C1396" s="106"/>
      <c r="D1396" s="301"/>
    </row>
    <row r="1397" spans="1:4" ht="15" customHeight="1">
      <c r="A1397" s="106"/>
      <c r="B1397" s="106"/>
      <c r="C1397" s="106"/>
      <c r="D1397" s="301"/>
    </row>
    <row r="1398" spans="1:4" ht="15" customHeight="1">
      <c r="A1398" s="106"/>
      <c r="B1398" s="106"/>
      <c r="C1398" s="106"/>
      <c r="D1398" s="301"/>
    </row>
    <row r="1399" spans="1:4" ht="15" customHeight="1">
      <c r="A1399" s="106"/>
      <c r="B1399" s="106"/>
      <c r="C1399" s="106"/>
      <c r="D1399" s="301"/>
    </row>
    <row r="1400" spans="1:4" ht="15" customHeight="1">
      <c r="A1400" s="106"/>
      <c r="B1400" s="106"/>
      <c r="C1400" s="106"/>
      <c r="D1400" s="301"/>
    </row>
    <row r="1401" spans="1:4" ht="15" customHeight="1">
      <c r="A1401" s="106"/>
      <c r="B1401" s="106"/>
      <c r="C1401" s="106"/>
      <c r="D1401" s="301"/>
    </row>
    <row r="1402" spans="1:4" ht="15" customHeight="1">
      <c r="A1402" s="106"/>
      <c r="B1402" s="106"/>
      <c r="C1402" s="106"/>
      <c r="D1402" s="301"/>
    </row>
    <row r="1403" spans="1:4" ht="15" customHeight="1">
      <c r="A1403" s="106"/>
      <c r="B1403" s="106"/>
      <c r="C1403" s="106"/>
      <c r="D1403" s="301"/>
    </row>
    <row r="1404" spans="1:4" ht="15" customHeight="1">
      <c r="A1404" s="106"/>
      <c r="B1404" s="106"/>
      <c r="C1404" s="106"/>
      <c r="D1404" s="301"/>
    </row>
    <row r="1405" spans="1:4" ht="15" customHeight="1">
      <c r="A1405" s="106"/>
      <c r="B1405" s="106"/>
      <c r="C1405" s="106"/>
      <c r="D1405" s="301"/>
    </row>
    <row r="1406" spans="1:4" ht="15" customHeight="1">
      <c r="A1406" s="106"/>
      <c r="B1406" s="106"/>
      <c r="C1406" s="106"/>
      <c r="D1406" s="301"/>
    </row>
    <row r="1407" spans="1:4" ht="15" customHeight="1">
      <c r="A1407" s="106"/>
      <c r="B1407" s="106"/>
      <c r="C1407" s="106"/>
      <c r="D1407" s="301"/>
    </row>
    <row r="1408" spans="1:4" ht="15" customHeight="1">
      <c r="A1408" s="106"/>
      <c r="B1408" s="106"/>
      <c r="C1408" s="106"/>
      <c r="D1408" s="301"/>
    </row>
    <row r="1409" spans="1:4" ht="15" customHeight="1">
      <c r="A1409" s="106"/>
      <c r="B1409" s="106"/>
      <c r="C1409" s="106"/>
      <c r="D1409" s="301"/>
    </row>
    <row r="1410" spans="1:4" ht="15" customHeight="1">
      <c r="A1410" s="106"/>
      <c r="B1410" s="106"/>
      <c r="C1410" s="106"/>
      <c r="D1410" s="301"/>
    </row>
    <row r="1411" spans="1:4" ht="15" customHeight="1">
      <c r="A1411" s="106"/>
      <c r="B1411" s="106"/>
      <c r="C1411" s="106"/>
      <c r="D1411" s="301"/>
    </row>
    <row r="1412" spans="1:4" ht="15" customHeight="1">
      <c r="A1412" s="106"/>
      <c r="B1412" s="106"/>
      <c r="C1412" s="106"/>
      <c r="D1412" s="301"/>
    </row>
    <row r="1413" spans="1:4" ht="15" customHeight="1">
      <c r="A1413" s="106"/>
      <c r="B1413" s="106"/>
      <c r="C1413" s="106"/>
      <c r="D1413" s="301"/>
    </row>
    <row r="1414" spans="1:4" ht="15" customHeight="1">
      <c r="A1414" s="106"/>
      <c r="B1414" s="106"/>
      <c r="C1414" s="106"/>
      <c r="D1414" s="301"/>
    </row>
    <row r="1415" spans="1:4" ht="15" customHeight="1">
      <c r="A1415" s="106"/>
      <c r="B1415" s="106"/>
      <c r="C1415" s="106"/>
      <c r="D1415" s="301"/>
    </row>
    <row r="1416" spans="1:4" ht="15" customHeight="1">
      <c r="A1416" s="106"/>
      <c r="B1416" s="106"/>
      <c r="C1416" s="106"/>
      <c r="D1416" s="301"/>
    </row>
    <row r="1417" spans="1:4" ht="15" customHeight="1">
      <c r="A1417" s="106"/>
      <c r="B1417" s="106"/>
      <c r="C1417" s="106"/>
      <c r="D1417" s="301"/>
    </row>
    <row r="1418" spans="1:4" ht="15" customHeight="1">
      <c r="A1418" s="106"/>
      <c r="B1418" s="106"/>
      <c r="C1418" s="106"/>
      <c r="D1418" s="301"/>
    </row>
    <row r="1419" spans="1:4" ht="15" customHeight="1">
      <c r="A1419" s="106"/>
      <c r="B1419" s="106"/>
      <c r="C1419" s="106"/>
      <c r="D1419" s="301"/>
    </row>
    <row r="1420" spans="1:4" ht="15" customHeight="1">
      <c r="A1420" s="106"/>
      <c r="B1420" s="106"/>
      <c r="C1420" s="106"/>
      <c r="D1420" s="301"/>
    </row>
    <row r="1421" spans="1:4" ht="15" customHeight="1">
      <c r="A1421" s="106"/>
      <c r="B1421" s="106"/>
      <c r="C1421" s="106"/>
      <c r="D1421" s="301"/>
    </row>
    <row r="1422" spans="1:4" ht="15" customHeight="1">
      <c r="A1422" s="106"/>
      <c r="B1422" s="106"/>
      <c r="C1422" s="106"/>
      <c r="D1422" s="301"/>
    </row>
    <row r="1423" spans="1:4" ht="15" customHeight="1">
      <c r="A1423" s="106"/>
      <c r="B1423" s="106"/>
      <c r="C1423" s="106"/>
      <c r="D1423" s="301"/>
    </row>
    <row r="1424" spans="1:4" ht="15" customHeight="1">
      <c r="A1424" s="106"/>
      <c r="B1424" s="106"/>
      <c r="C1424" s="106"/>
      <c r="D1424" s="301"/>
    </row>
    <row r="1425" spans="1:4" ht="15" customHeight="1">
      <c r="A1425" s="106"/>
      <c r="B1425" s="106"/>
      <c r="C1425" s="106"/>
      <c r="D1425" s="301"/>
    </row>
    <row r="1426" spans="1:4" ht="15" customHeight="1">
      <c r="A1426" s="106"/>
      <c r="B1426" s="106"/>
      <c r="C1426" s="106"/>
      <c r="D1426" s="301"/>
    </row>
    <row r="1427" spans="1:4" ht="15" customHeight="1">
      <c r="A1427" s="106"/>
      <c r="B1427" s="106"/>
      <c r="C1427" s="106"/>
      <c r="D1427" s="301"/>
    </row>
    <row r="1428" spans="1:4" ht="15" customHeight="1">
      <c r="A1428" s="106"/>
      <c r="B1428" s="106"/>
      <c r="C1428" s="106"/>
      <c r="D1428" s="301"/>
    </row>
    <row r="1429" spans="1:4" ht="15" customHeight="1">
      <c r="A1429" s="106"/>
      <c r="B1429" s="106"/>
      <c r="C1429" s="106"/>
      <c r="D1429" s="301"/>
    </row>
    <row r="1430" spans="1:4" ht="15" customHeight="1">
      <c r="A1430" s="106"/>
      <c r="B1430" s="106"/>
      <c r="C1430" s="106"/>
      <c r="D1430" s="301"/>
    </row>
    <row r="1431" spans="1:4" ht="15" customHeight="1">
      <c r="A1431" s="106"/>
      <c r="B1431" s="106"/>
      <c r="C1431" s="106"/>
      <c r="D1431" s="301"/>
    </row>
    <row r="1432" spans="1:4" ht="15" customHeight="1">
      <c r="A1432" s="106"/>
      <c r="B1432" s="106"/>
      <c r="C1432" s="106"/>
      <c r="D1432" s="301"/>
    </row>
    <row r="1433" spans="1:4" ht="15" customHeight="1">
      <c r="A1433" s="106"/>
      <c r="B1433" s="106"/>
      <c r="C1433" s="106"/>
      <c r="D1433" s="301"/>
    </row>
    <row r="1434" spans="1:4" ht="15" customHeight="1">
      <c r="A1434" s="106"/>
      <c r="B1434" s="106"/>
      <c r="C1434" s="106"/>
      <c r="D1434" s="301"/>
    </row>
    <row r="1435" spans="1:4" ht="15" customHeight="1">
      <c r="A1435" s="106"/>
      <c r="B1435" s="106"/>
      <c r="C1435" s="106"/>
      <c r="D1435" s="301"/>
    </row>
    <row r="1436" spans="1:4" ht="15" customHeight="1">
      <c r="A1436" s="106"/>
      <c r="B1436" s="106"/>
      <c r="C1436" s="106"/>
      <c r="D1436" s="301"/>
    </row>
    <row r="1437" spans="1:4" ht="15" customHeight="1">
      <c r="A1437" s="106"/>
      <c r="B1437" s="106"/>
      <c r="C1437" s="106"/>
      <c r="D1437" s="301"/>
    </row>
    <row r="1438" spans="1:4" ht="15" customHeight="1">
      <c r="A1438" s="106"/>
      <c r="B1438" s="106"/>
      <c r="C1438" s="106"/>
      <c r="D1438" s="301"/>
    </row>
    <row r="1439" spans="1:4" ht="15" customHeight="1">
      <c r="A1439" s="106"/>
      <c r="B1439" s="106"/>
      <c r="C1439" s="106"/>
      <c r="D1439" s="301"/>
    </row>
    <row r="1440" spans="1:4" ht="15" customHeight="1">
      <c r="A1440" s="106"/>
      <c r="B1440" s="106"/>
      <c r="C1440" s="106"/>
      <c r="D1440" s="301"/>
    </row>
    <row r="1441" spans="1:4" ht="15" customHeight="1">
      <c r="A1441" s="106"/>
      <c r="B1441" s="106"/>
      <c r="C1441" s="106"/>
      <c r="D1441" s="301"/>
    </row>
    <row r="1442" spans="1:4" ht="15" customHeight="1">
      <c r="A1442" s="106"/>
      <c r="B1442" s="106"/>
      <c r="C1442" s="106"/>
      <c r="D1442" s="301"/>
    </row>
    <row r="1443" spans="1:4" ht="15" customHeight="1">
      <c r="A1443" s="106"/>
      <c r="B1443" s="106"/>
      <c r="C1443" s="106"/>
      <c r="D1443" s="301"/>
    </row>
    <row r="1444" spans="1:4" ht="15" customHeight="1">
      <c r="A1444" s="106"/>
      <c r="B1444" s="106"/>
      <c r="C1444" s="106"/>
      <c r="D1444" s="301"/>
    </row>
    <row r="1445" spans="1:4" ht="15" customHeight="1">
      <c r="A1445" s="106"/>
      <c r="B1445" s="106"/>
      <c r="C1445" s="106"/>
      <c r="D1445" s="301"/>
    </row>
    <row r="1446" spans="1:4" ht="15" customHeight="1">
      <c r="A1446" s="106"/>
      <c r="B1446" s="106"/>
      <c r="C1446" s="106"/>
      <c r="D1446" s="301"/>
    </row>
    <row r="1447" spans="1:4" ht="15" customHeight="1">
      <c r="A1447" s="106"/>
      <c r="B1447" s="106"/>
      <c r="C1447" s="106"/>
      <c r="D1447" s="301"/>
    </row>
    <row r="1448" spans="1:4" ht="15" customHeight="1">
      <c r="A1448" s="106"/>
      <c r="B1448" s="106"/>
      <c r="C1448" s="106"/>
      <c r="D1448" s="301"/>
    </row>
    <row r="1449" spans="1:4" ht="15" customHeight="1">
      <c r="A1449" s="106"/>
      <c r="B1449" s="106"/>
      <c r="C1449" s="106"/>
      <c r="D1449" s="301"/>
    </row>
    <row r="1450" spans="1:4" ht="15" customHeight="1">
      <c r="A1450" s="106"/>
      <c r="B1450" s="106"/>
      <c r="C1450" s="106"/>
      <c r="D1450" s="301"/>
    </row>
    <row r="1451" spans="1:4" ht="15" customHeight="1">
      <c r="A1451" s="106"/>
      <c r="B1451" s="106"/>
      <c r="C1451" s="106"/>
      <c r="D1451" s="301"/>
    </row>
    <row r="1452" spans="1:4" ht="15" customHeight="1">
      <c r="A1452" s="106"/>
      <c r="B1452" s="106"/>
      <c r="C1452" s="106"/>
      <c r="D1452" s="301"/>
    </row>
    <row r="1453" spans="1:4" ht="15" customHeight="1">
      <c r="A1453" s="106"/>
      <c r="B1453" s="106"/>
      <c r="C1453" s="106"/>
      <c r="D1453" s="301"/>
    </row>
    <row r="1454" spans="1:4" ht="15" customHeight="1">
      <c r="A1454" s="106"/>
      <c r="B1454" s="106"/>
      <c r="C1454" s="106"/>
      <c r="D1454" s="301"/>
    </row>
    <row r="1455" spans="1:4" ht="15" customHeight="1">
      <c r="A1455" s="106"/>
      <c r="B1455" s="106"/>
      <c r="C1455" s="106"/>
      <c r="D1455" s="301"/>
    </row>
    <row r="1456" spans="1:4" ht="15" customHeight="1">
      <c r="A1456" s="106"/>
      <c r="B1456" s="106"/>
      <c r="C1456" s="106"/>
      <c r="D1456" s="301"/>
    </row>
    <row r="1457" spans="1:4" ht="15" customHeight="1">
      <c r="A1457" s="106"/>
      <c r="B1457" s="106"/>
      <c r="C1457" s="106"/>
      <c r="D1457" s="301"/>
    </row>
    <row r="1458" spans="1:4" ht="15" customHeight="1">
      <c r="A1458" s="106"/>
      <c r="B1458" s="106"/>
      <c r="C1458" s="106"/>
      <c r="D1458" s="301"/>
    </row>
    <row r="1459" spans="1:4" ht="15" customHeight="1">
      <c r="A1459" s="106"/>
      <c r="B1459" s="106"/>
      <c r="C1459" s="106"/>
      <c r="D1459" s="301"/>
    </row>
    <row r="1460" spans="1:4" ht="15" customHeight="1">
      <c r="A1460" s="106"/>
      <c r="B1460" s="106"/>
      <c r="C1460" s="106"/>
      <c r="D1460" s="301"/>
    </row>
    <row r="1461" spans="1:4" ht="15" customHeight="1">
      <c r="A1461" s="106"/>
      <c r="B1461" s="106"/>
      <c r="C1461" s="106"/>
      <c r="D1461" s="301"/>
    </row>
    <row r="1462" spans="1:4" ht="15" customHeight="1">
      <c r="A1462" s="106"/>
      <c r="B1462" s="106"/>
      <c r="C1462" s="106"/>
      <c r="D1462" s="301"/>
    </row>
    <row r="1463" spans="1:4" ht="15" customHeight="1">
      <c r="A1463" s="106"/>
      <c r="B1463" s="106"/>
      <c r="C1463" s="106"/>
      <c r="D1463" s="301"/>
    </row>
    <row r="1464" spans="1:4" ht="15" customHeight="1">
      <c r="A1464" s="106"/>
      <c r="B1464" s="106"/>
      <c r="C1464" s="106"/>
      <c r="D1464" s="301"/>
    </row>
    <row r="1465" spans="1:4" ht="15" customHeight="1">
      <c r="A1465" s="106"/>
      <c r="B1465" s="106"/>
      <c r="C1465" s="106"/>
      <c r="D1465" s="301"/>
    </row>
    <row r="1466" spans="1:4" ht="15" customHeight="1">
      <c r="A1466" s="106"/>
      <c r="B1466" s="106"/>
      <c r="C1466" s="106"/>
      <c r="D1466" s="301"/>
    </row>
    <row r="1467" spans="1:4" ht="15" customHeight="1">
      <c r="A1467" s="106"/>
      <c r="B1467" s="106"/>
      <c r="C1467" s="106"/>
      <c r="D1467" s="301"/>
    </row>
    <row r="1468" spans="1:4" ht="15" customHeight="1">
      <c r="A1468" s="106"/>
      <c r="B1468" s="106"/>
      <c r="C1468" s="106"/>
      <c r="D1468" s="301"/>
    </row>
    <row r="1469" spans="1:4" ht="15" customHeight="1">
      <c r="A1469" s="106"/>
      <c r="B1469" s="106"/>
      <c r="C1469" s="106"/>
      <c r="D1469" s="301"/>
    </row>
    <row r="1470" spans="1:4" ht="15" customHeight="1">
      <c r="A1470" s="106"/>
      <c r="B1470" s="106"/>
      <c r="C1470" s="106"/>
      <c r="D1470" s="301"/>
    </row>
    <row r="1471" spans="1:4" ht="15" customHeight="1">
      <c r="A1471" s="106"/>
      <c r="B1471" s="106"/>
      <c r="C1471" s="106"/>
      <c r="D1471" s="301"/>
    </row>
    <row r="1472" spans="1:4" ht="15" customHeight="1">
      <c r="A1472" s="106"/>
      <c r="B1472" s="106"/>
      <c r="C1472" s="106"/>
      <c r="D1472" s="301"/>
    </row>
    <row r="1473" spans="1:4" ht="15" customHeight="1">
      <c r="A1473" s="106"/>
      <c r="B1473" s="106"/>
      <c r="C1473" s="106"/>
      <c r="D1473" s="301"/>
    </row>
    <row r="1474" spans="1:4" ht="15" customHeight="1">
      <c r="A1474" s="106"/>
      <c r="B1474" s="106"/>
      <c r="C1474" s="106"/>
      <c r="D1474" s="301"/>
    </row>
    <row r="1475" spans="1:4" ht="15" customHeight="1">
      <c r="A1475" s="106"/>
      <c r="B1475" s="106"/>
      <c r="C1475" s="106"/>
      <c r="D1475" s="301"/>
    </row>
    <row r="1476" spans="1:4" ht="15" customHeight="1">
      <c r="A1476" s="106"/>
      <c r="B1476" s="106"/>
      <c r="C1476" s="106"/>
      <c r="D1476" s="301"/>
    </row>
    <row r="1477" spans="1:4" ht="15" customHeight="1">
      <c r="A1477" s="106"/>
      <c r="B1477" s="106"/>
      <c r="C1477" s="106"/>
      <c r="D1477" s="301"/>
    </row>
    <row r="1478" spans="1:4" ht="15" customHeight="1">
      <c r="A1478" s="106"/>
      <c r="B1478" s="106"/>
      <c r="C1478" s="106"/>
      <c r="D1478" s="301"/>
    </row>
    <row r="1479" spans="1:4" ht="15" customHeight="1">
      <c r="A1479" s="106"/>
      <c r="B1479" s="106"/>
      <c r="C1479" s="106"/>
      <c r="D1479" s="301"/>
    </row>
    <row r="1480" spans="1:4" ht="15" customHeight="1">
      <c r="A1480" s="106"/>
      <c r="B1480" s="106"/>
      <c r="C1480" s="106"/>
      <c r="D1480" s="301"/>
    </row>
    <row r="1481" spans="1:4" ht="15" customHeight="1">
      <c r="A1481" s="106"/>
      <c r="B1481" s="106"/>
      <c r="C1481" s="106"/>
      <c r="D1481" s="301"/>
    </row>
    <row r="1482" spans="1:4" ht="15" customHeight="1">
      <c r="A1482" s="106"/>
      <c r="B1482" s="106"/>
      <c r="C1482" s="106"/>
      <c r="D1482" s="301"/>
    </row>
    <row r="1483" spans="1:4" ht="15" customHeight="1">
      <c r="A1483" s="106"/>
      <c r="B1483" s="106"/>
      <c r="C1483" s="106"/>
      <c r="D1483" s="301"/>
    </row>
    <row r="1484" spans="1:4" ht="15" customHeight="1">
      <c r="A1484" s="106"/>
      <c r="B1484" s="106"/>
      <c r="C1484" s="106"/>
      <c r="D1484" s="301"/>
    </row>
    <row r="1485" spans="1:4" ht="15" customHeight="1">
      <c r="A1485" s="106"/>
      <c r="B1485" s="106"/>
      <c r="C1485" s="106"/>
      <c r="D1485" s="301"/>
    </row>
    <row r="1486" spans="1:4" ht="15" customHeight="1">
      <c r="A1486" s="106"/>
      <c r="B1486" s="106"/>
      <c r="C1486" s="106"/>
      <c r="D1486" s="301"/>
    </row>
    <row r="1487" spans="1:4" ht="15" customHeight="1">
      <c r="A1487" s="106"/>
      <c r="B1487" s="106"/>
      <c r="C1487" s="106"/>
      <c r="D1487" s="301"/>
    </row>
    <row r="1488" spans="1:4" ht="15" customHeight="1">
      <c r="A1488" s="106"/>
      <c r="B1488" s="106"/>
      <c r="C1488" s="106"/>
      <c r="D1488" s="301"/>
    </row>
    <row r="1489" spans="1:4" ht="15" customHeight="1">
      <c r="A1489" s="106"/>
      <c r="B1489" s="106"/>
      <c r="C1489" s="106"/>
      <c r="D1489" s="301"/>
    </row>
    <row r="1490" spans="1:4" ht="15" customHeight="1">
      <c r="A1490" s="106"/>
      <c r="B1490" s="106"/>
      <c r="C1490" s="106"/>
      <c r="D1490" s="301"/>
    </row>
    <row r="1491" spans="1:4" ht="15" customHeight="1">
      <c r="A1491" s="106"/>
      <c r="B1491" s="106"/>
      <c r="C1491" s="106"/>
      <c r="D1491" s="301"/>
    </row>
    <row r="1492" spans="1:4" ht="15" customHeight="1">
      <c r="A1492" s="106"/>
      <c r="B1492" s="106"/>
      <c r="C1492" s="106"/>
      <c r="D1492" s="301"/>
    </row>
    <row r="1493" spans="1:4" ht="15" customHeight="1">
      <c r="A1493" s="106"/>
      <c r="B1493" s="106"/>
      <c r="C1493" s="106"/>
      <c r="D1493" s="301"/>
    </row>
    <row r="1494" spans="1:4" ht="15" customHeight="1">
      <c r="A1494" s="106"/>
      <c r="B1494" s="106"/>
      <c r="C1494" s="106"/>
      <c r="D1494" s="301"/>
    </row>
    <row r="1495" spans="1:4" ht="15" customHeight="1">
      <c r="A1495" s="106"/>
      <c r="B1495" s="106"/>
      <c r="C1495" s="106"/>
      <c r="D1495" s="301"/>
    </row>
    <row r="1496" spans="1:4" ht="15" customHeight="1">
      <c r="A1496" s="106"/>
      <c r="B1496" s="106"/>
      <c r="C1496" s="106"/>
      <c r="D1496" s="301"/>
    </row>
    <row r="1497" spans="1:4" ht="15" customHeight="1">
      <c r="A1497" s="106"/>
      <c r="B1497" s="106"/>
      <c r="C1497" s="106"/>
      <c r="D1497" s="301"/>
    </row>
    <row r="1498" spans="1:4" ht="15" customHeight="1">
      <c r="A1498" s="106"/>
      <c r="B1498" s="106"/>
      <c r="C1498" s="106"/>
      <c r="D1498" s="301"/>
    </row>
    <row r="1499" spans="1:4" ht="15" customHeight="1">
      <c r="A1499" s="106"/>
      <c r="B1499" s="106"/>
      <c r="C1499" s="106"/>
      <c r="D1499" s="301"/>
    </row>
    <row r="1500" spans="1:4" ht="15" customHeight="1">
      <c r="A1500" s="106"/>
      <c r="B1500" s="106"/>
      <c r="C1500" s="106"/>
      <c r="D1500" s="301"/>
    </row>
    <row r="1501" spans="1:4" ht="15" customHeight="1">
      <c r="A1501" s="106"/>
      <c r="B1501" s="106"/>
      <c r="C1501" s="106"/>
      <c r="D1501" s="301"/>
    </row>
    <row r="1502" spans="1:4" ht="15" customHeight="1">
      <c r="A1502" s="106"/>
      <c r="B1502" s="106"/>
      <c r="C1502" s="106"/>
      <c r="D1502" s="301"/>
    </row>
    <row r="1503" spans="1:4" ht="15" customHeight="1">
      <c r="A1503" s="106"/>
      <c r="B1503" s="106"/>
      <c r="C1503" s="106"/>
      <c r="D1503" s="301"/>
    </row>
    <row r="1504" spans="1:4" ht="15" customHeight="1">
      <c r="A1504" s="106"/>
      <c r="B1504" s="106"/>
      <c r="C1504" s="106"/>
      <c r="D1504" s="301"/>
    </row>
    <row r="1505" spans="1:4" ht="15" customHeight="1">
      <c r="A1505" s="106"/>
      <c r="B1505" s="106"/>
      <c r="C1505" s="106"/>
      <c r="D1505" s="301"/>
    </row>
    <row r="1506" spans="1:4" ht="15" customHeight="1">
      <c r="A1506" s="106"/>
      <c r="B1506" s="106"/>
      <c r="C1506" s="106"/>
      <c r="D1506" s="301"/>
    </row>
    <row r="1507" spans="1:4" ht="15" customHeight="1">
      <c r="A1507" s="106"/>
      <c r="B1507" s="106"/>
      <c r="C1507" s="106"/>
      <c r="D1507" s="301"/>
    </row>
    <row r="1508" spans="1:4" ht="15" customHeight="1">
      <c r="A1508" s="106"/>
      <c r="B1508" s="106"/>
      <c r="C1508" s="106"/>
      <c r="D1508" s="301"/>
    </row>
    <row r="1509" spans="1:4" ht="15" customHeight="1">
      <c r="A1509" s="106"/>
      <c r="B1509" s="106"/>
      <c r="C1509" s="106"/>
      <c r="D1509" s="301"/>
    </row>
    <row r="1510" spans="1:4" ht="15" customHeight="1">
      <c r="A1510" s="106"/>
      <c r="B1510" s="106"/>
      <c r="C1510" s="106"/>
      <c r="D1510" s="301"/>
    </row>
    <row r="1511" spans="1:4" ht="15" customHeight="1">
      <c r="A1511" s="106"/>
      <c r="B1511" s="106"/>
      <c r="C1511" s="106"/>
      <c r="D1511" s="301"/>
    </row>
    <row r="1512" spans="1:4" ht="15" customHeight="1">
      <c r="A1512" s="106"/>
      <c r="B1512" s="106"/>
      <c r="C1512" s="106"/>
      <c r="D1512" s="301"/>
    </row>
    <row r="1513" spans="1:4" ht="15" customHeight="1">
      <c r="A1513" s="106"/>
      <c r="B1513" s="106"/>
      <c r="C1513" s="106"/>
      <c r="D1513" s="301"/>
    </row>
    <row r="1514" spans="1:4" ht="15" customHeight="1">
      <c r="A1514" s="106"/>
      <c r="B1514" s="106"/>
      <c r="C1514" s="106"/>
      <c r="D1514" s="301"/>
    </row>
    <row r="1515" spans="1:4" ht="15" customHeight="1">
      <c r="A1515" s="106"/>
      <c r="B1515" s="106"/>
      <c r="C1515" s="106"/>
      <c r="D1515" s="301"/>
    </row>
    <row r="1516" spans="1:4" ht="15" customHeight="1">
      <c r="A1516" s="106"/>
      <c r="B1516" s="106"/>
      <c r="C1516" s="106"/>
      <c r="D1516" s="301"/>
    </row>
    <row r="1517" spans="1:4" ht="15" customHeight="1">
      <c r="A1517" s="106"/>
      <c r="B1517" s="106"/>
      <c r="C1517" s="106"/>
      <c r="D1517" s="301"/>
    </row>
    <row r="1518" spans="1:4" ht="15" customHeight="1">
      <c r="A1518" s="106"/>
      <c r="B1518" s="106"/>
      <c r="C1518" s="106"/>
      <c r="D1518" s="301"/>
    </row>
    <row r="1519" spans="1:4" ht="15" customHeight="1">
      <c r="A1519" s="106"/>
      <c r="B1519" s="106"/>
      <c r="C1519" s="106"/>
      <c r="D1519" s="301"/>
    </row>
    <row r="1520" spans="1:4" ht="15" customHeight="1">
      <c r="A1520" s="106"/>
      <c r="B1520" s="106"/>
      <c r="C1520" s="106"/>
      <c r="D1520" s="301"/>
    </row>
    <row r="1521" spans="1:4" ht="15" customHeight="1">
      <c r="A1521" s="106"/>
      <c r="B1521" s="106"/>
      <c r="C1521" s="106"/>
      <c r="D1521" s="301"/>
    </row>
    <row r="1522" spans="1:4" ht="15" customHeight="1">
      <c r="A1522" s="106"/>
      <c r="B1522" s="106"/>
      <c r="C1522" s="106"/>
      <c r="D1522" s="301"/>
    </row>
    <row r="1523" spans="1:4" ht="15" customHeight="1">
      <c r="A1523" s="106"/>
      <c r="B1523" s="106"/>
      <c r="C1523" s="106"/>
      <c r="D1523" s="301"/>
    </row>
    <row r="1524" spans="1:4" ht="15" customHeight="1">
      <c r="A1524" s="106"/>
      <c r="B1524" s="106"/>
      <c r="C1524" s="106"/>
      <c r="D1524" s="301"/>
    </row>
    <row r="1525" spans="1:4" ht="15" customHeight="1">
      <c r="A1525" s="106"/>
      <c r="B1525" s="106"/>
      <c r="C1525" s="106"/>
      <c r="D1525" s="301"/>
    </row>
    <row r="1526" spans="1:4" ht="15" customHeight="1">
      <c r="A1526" s="106"/>
      <c r="B1526" s="106"/>
      <c r="C1526" s="106"/>
      <c r="D1526" s="301"/>
    </row>
    <row r="1527" spans="1:4" ht="15" customHeight="1">
      <c r="A1527" s="106"/>
      <c r="B1527" s="106"/>
      <c r="C1527" s="106"/>
      <c r="D1527" s="301"/>
    </row>
    <row r="1528" spans="1:4" ht="15" customHeight="1">
      <c r="A1528" s="106"/>
      <c r="B1528" s="106"/>
      <c r="C1528" s="106"/>
      <c r="D1528" s="301"/>
    </row>
    <row r="1529" spans="1:4" ht="15" customHeight="1">
      <c r="A1529" s="106"/>
      <c r="B1529" s="106"/>
      <c r="C1529" s="106"/>
      <c r="D1529" s="301"/>
    </row>
    <row r="1530" spans="1:4" ht="15" customHeight="1">
      <c r="A1530" s="106"/>
      <c r="B1530" s="106"/>
      <c r="C1530" s="106"/>
      <c r="D1530" s="301"/>
    </row>
    <row r="1531" spans="1:4" ht="15" customHeight="1">
      <c r="A1531" s="106"/>
      <c r="B1531" s="106"/>
      <c r="C1531" s="106"/>
      <c r="D1531" s="301"/>
    </row>
    <row r="1532" spans="1:4" ht="15" customHeight="1">
      <c r="A1532" s="106"/>
      <c r="B1532" s="106"/>
      <c r="C1532" s="106"/>
      <c r="D1532" s="301"/>
    </row>
    <row r="1533" spans="1:4" ht="15" customHeight="1">
      <c r="A1533" s="106"/>
      <c r="B1533" s="106"/>
      <c r="C1533" s="106"/>
      <c r="D1533" s="301"/>
    </row>
    <row r="1534" spans="1:4" ht="15" customHeight="1">
      <c r="A1534" s="106"/>
      <c r="B1534" s="106"/>
      <c r="C1534" s="106"/>
      <c r="D1534" s="301"/>
    </row>
    <row r="1535" spans="1:4" ht="15" customHeight="1">
      <c r="A1535" s="106"/>
      <c r="B1535" s="106"/>
      <c r="C1535" s="106"/>
      <c r="D1535" s="301"/>
    </row>
    <row r="1536" spans="1:4" ht="15" customHeight="1">
      <c r="A1536" s="106"/>
      <c r="B1536" s="106"/>
      <c r="C1536" s="106"/>
      <c r="D1536" s="301"/>
    </row>
    <row r="1537" spans="1:4" ht="15" customHeight="1">
      <c r="A1537" s="106"/>
      <c r="B1537" s="106"/>
      <c r="C1537" s="106"/>
      <c r="D1537" s="301"/>
    </row>
    <row r="1538" spans="1:4" ht="15" customHeight="1">
      <c r="A1538" s="106"/>
      <c r="B1538" s="106"/>
      <c r="C1538" s="106"/>
      <c r="D1538" s="301"/>
    </row>
    <row r="1539" spans="1:4" ht="15" customHeight="1">
      <c r="A1539" s="106"/>
      <c r="B1539" s="106"/>
      <c r="C1539" s="106"/>
      <c r="D1539" s="301"/>
    </row>
    <row r="1540" spans="1:4" ht="15" customHeight="1">
      <c r="A1540" s="106"/>
      <c r="B1540" s="106"/>
      <c r="C1540" s="106"/>
      <c r="D1540" s="301"/>
    </row>
    <row r="1541" spans="1:4" ht="15" customHeight="1">
      <c r="A1541" s="106"/>
      <c r="B1541" s="106"/>
      <c r="C1541" s="106"/>
      <c r="D1541" s="301"/>
    </row>
    <row r="1542" spans="1:4" ht="15" customHeight="1">
      <c r="A1542" s="106"/>
      <c r="B1542" s="106"/>
      <c r="C1542" s="106"/>
      <c r="D1542" s="301"/>
    </row>
    <row r="1543" spans="1:4" ht="15" customHeight="1">
      <c r="A1543" s="106"/>
      <c r="B1543" s="106"/>
      <c r="C1543" s="106"/>
      <c r="D1543" s="301"/>
    </row>
    <row r="1544" spans="1:4" ht="15" customHeight="1">
      <c r="A1544" s="106"/>
      <c r="B1544" s="106"/>
      <c r="C1544" s="106"/>
      <c r="D1544" s="301"/>
    </row>
    <row r="1545" spans="1:4" ht="15" customHeight="1">
      <c r="A1545" s="106"/>
      <c r="B1545" s="106"/>
      <c r="C1545" s="106"/>
      <c r="D1545" s="301"/>
    </row>
    <row r="1546" spans="1:4" ht="15" customHeight="1">
      <c r="A1546" s="106"/>
      <c r="B1546" s="106"/>
      <c r="C1546" s="106"/>
      <c r="D1546" s="301"/>
    </row>
    <row r="1547" spans="1:4" ht="15" customHeight="1">
      <c r="A1547" s="106"/>
      <c r="B1547" s="106"/>
      <c r="C1547" s="106"/>
      <c r="D1547" s="301"/>
    </row>
    <row r="1548" spans="1:4" ht="15" customHeight="1">
      <c r="A1548" s="106"/>
      <c r="B1548" s="106"/>
      <c r="C1548" s="106"/>
      <c r="D1548" s="301"/>
    </row>
    <row r="1549" spans="1:4" ht="15" customHeight="1">
      <c r="A1549" s="106"/>
      <c r="B1549" s="106"/>
      <c r="C1549" s="106"/>
      <c r="D1549" s="301"/>
    </row>
    <row r="1550" spans="1:4" ht="15" customHeight="1">
      <c r="A1550" s="106"/>
      <c r="B1550" s="106"/>
      <c r="C1550" s="106"/>
      <c r="D1550" s="301"/>
    </row>
    <row r="1551" spans="1:4" ht="15" customHeight="1">
      <c r="A1551" s="106"/>
      <c r="B1551" s="106"/>
      <c r="C1551" s="106"/>
      <c r="D1551" s="301"/>
    </row>
    <row r="1552" spans="1:4" ht="15" customHeight="1">
      <c r="A1552" s="106"/>
      <c r="B1552" s="106"/>
      <c r="C1552" s="106"/>
      <c r="D1552" s="301"/>
    </row>
    <row r="1553" spans="1:4" ht="15" customHeight="1">
      <c r="A1553" s="106"/>
      <c r="B1553" s="106"/>
      <c r="C1553" s="106"/>
      <c r="D1553" s="301"/>
    </row>
    <row r="1554" spans="1:4" ht="15" customHeight="1">
      <c r="A1554" s="106"/>
      <c r="B1554" s="106"/>
      <c r="C1554" s="106"/>
      <c r="D1554" s="301"/>
    </row>
    <row r="1555" spans="1:4" ht="15" customHeight="1">
      <c r="A1555" s="106"/>
      <c r="B1555" s="106"/>
      <c r="C1555" s="106"/>
      <c r="D1555" s="301"/>
    </row>
    <row r="1556" spans="1:4" ht="15" customHeight="1">
      <c r="A1556" s="106"/>
      <c r="B1556" s="106"/>
      <c r="C1556" s="106"/>
      <c r="D1556" s="301"/>
    </row>
    <row r="1557" spans="1:4" ht="15" customHeight="1">
      <c r="A1557" s="106"/>
      <c r="B1557" s="106"/>
      <c r="C1557" s="106"/>
      <c r="D1557" s="301"/>
    </row>
    <row r="1558" spans="1:4" ht="15" customHeight="1">
      <c r="A1558" s="106"/>
      <c r="B1558" s="106"/>
      <c r="C1558" s="106"/>
      <c r="D1558" s="301"/>
    </row>
    <row r="1559" spans="1:4" ht="15" customHeight="1">
      <c r="A1559" s="106"/>
      <c r="B1559" s="106"/>
      <c r="C1559" s="106"/>
      <c r="D1559" s="301"/>
    </row>
    <row r="1560" spans="1:4" ht="15" customHeight="1">
      <c r="A1560" s="106"/>
      <c r="B1560" s="106"/>
      <c r="C1560" s="106"/>
      <c r="D1560" s="301"/>
    </row>
    <row r="1561" spans="1:4" ht="15" customHeight="1">
      <c r="A1561" s="106"/>
      <c r="B1561" s="106"/>
      <c r="C1561" s="106"/>
      <c r="D1561" s="301"/>
    </row>
    <row r="1562" spans="1:4" ht="15" customHeight="1">
      <c r="A1562" s="106"/>
      <c r="B1562" s="106"/>
      <c r="C1562" s="106"/>
      <c r="D1562" s="301"/>
    </row>
    <row r="1563" spans="1:4" ht="15" customHeight="1">
      <c r="A1563" s="106"/>
      <c r="B1563" s="106"/>
      <c r="C1563" s="106"/>
      <c r="D1563" s="301"/>
    </row>
    <row r="1564" spans="1:4" ht="15" customHeight="1">
      <c r="A1564" s="106"/>
      <c r="B1564" s="106"/>
      <c r="C1564" s="106"/>
      <c r="D1564" s="301"/>
    </row>
    <row r="1565" spans="1:4" ht="15" customHeight="1">
      <c r="A1565" s="106"/>
      <c r="B1565" s="106"/>
      <c r="C1565" s="106"/>
      <c r="D1565" s="301"/>
    </row>
    <row r="1566" spans="1:4" ht="15" customHeight="1">
      <c r="A1566" s="106"/>
      <c r="B1566" s="106"/>
      <c r="C1566" s="106"/>
      <c r="D1566" s="301"/>
    </row>
    <row r="1567" spans="1:4" ht="15" customHeight="1">
      <c r="A1567" s="106"/>
      <c r="B1567" s="106"/>
      <c r="C1567" s="106"/>
      <c r="D1567" s="301"/>
    </row>
    <row r="1568" spans="1:4" ht="15" customHeight="1">
      <c r="A1568" s="106"/>
      <c r="B1568" s="106"/>
      <c r="C1568" s="106"/>
      <c r="D1568" s="301"/>
    </row>
    <row r="1569" spans="1:4" ht="15" customHeight="1">
      <c r="A1569" s="106"/>
      <c r="B1569" s="106"/>
      <c r="C1569" s="106"/>
      <c r="D1569" s="301"/>
    </row>
    <row r="1570" spans="1:4" ht="15" customHeight="1">
      <c r="A1570" s="106"/>
      <c r="B1570" s="106"/>
      <c r="C1570" s="106"/>
      <c r="D1570" s="301"/>
    </row>
    <row r="1571" spans="1:4" ht="15" customHeight="1">
      <c r="A1571" s="106"/>
      <c r="B1571" s="106"/>
      <c r="C1571" s="106"/>
      <c r="D1571" s="301"/>
    </row>
    <row r="1572" spans="1:4" ht="15" customHeight="1">
      <c r="A1572" s="106"/>
      <c r="B1572" s="106"/>
      <c r="C1572" s="106"/>
      <c r="D1572" s="301"/>
    </row>
    <row r="1573" spans="1:4" ht="15" customHeight="1">
      <c r="A1573" s="106"/>
      <c r="B1573" s="106"/>
      <c r="C1573" s="106"/>
      <c r="D1573" s="301"/>
    </row>
    <row r="1574" spans="1:4" ht="15" customHeight="1">
      <c r="A1574" s="106"/>
      <c r="B1574" s="106"/>
      <c r="C1574" s="106"/>
      <c r="D1574" s="301"/>
    </row>
    <row r="1575" spans="1:4" ht="15" customHeight="1">
      <c r="A1575" s="106"/>
      <c r="B1575" s="106"/>
      <c r="C1575" s="106"/>
      <c r="D1575" s="301"/>
    </row>
    <row r="1576" spans="1:4" ht="15" customHeight="1">
      <c r="A1576" s="106"/>
      <c r="B1576" s="106"/>
      <c r="C1576" s="106"/>
      <c r="D1576" s="301"/>
    </row>
    <row r="1577" spans="1:4" ht="15" customHeight="1">
      <c r="A1577" s="106"/>
      <c r="B1577" s="106"/>
      <c r="C1577" s="106"/>
      <c r="D1577" s="301"/>
    </row>
    <row r="1578" spans="1:4" ht="15" customHeight="1">
      <c r="A1578" s="106"/>
      <c r="B1578" s="106"/>
      <c r="C1578" s="106"/>
      <c r="D1578" s="301"/>
    </row>
    <row r="1579" spans="1:4" ht="15" customHeight="1">
      <c r="A1579" s="106"/>
      <c r="B1579" s="106"/>
      <c r="C1579" s="106"/>
      <c r="D1579" s="301"/>
    </row>
    <row r="1580" spans="1:4" ht="15" customHeight="1">
      <c r="A1580" s="106"/>
      <c r="B1580" s="106"/>
      <c r="C1580" s="106"/>
      <c r="D1580" s="301"/>
    </row>
    <row r="1581" spans="1:4" ht="15" customHeight="1">
      <c r="A1581" s="106"/>
      <c r="B1581" s="106"/>
      <c r="C1581" s="106"/>
      <c r="D1581" s="301"/>
    </row>
    <row r="1582" spans="1:4" ht="15" customHeight="1">
      <c r="A1582" s="106"/>
      <c r="B1582" s="106"/>
      <c r="C1582" s="106"/>
      <c r="D1582" s="301"/>
    </row>
    <row r="1583" spans="1:4" ht="15" customHeight="1">
      <c r="A1583" s="106"/>
      <c r="B1583" s="106"/>
      <c r="C1583" s="106"/>
      <c r="D1583" s="301"/>
    </row>
    <row r="1584" spans="1:4" ht="15" customHeight="1">
      <c r="A1584" s="106"/>
      <c r="B1584" s="106"/>
      <c r="C1584" s="106"/>
      <c r="D1584" s="301"/>
    </row>
    <row r="1585" spans="1:4" ht="15" customHeight="1">
      <c r="A1585" s="106"/>
      <c r="B1585" s="106"/>
      <c r="C1585" s="106"/>
      <c r="D1585" s="301"/>
    </row>
    <row r="1586" spans="1:4" ht="15" customHeight="1">
      <c r="A1586" s="106"/>
      <c r="B1586" s="106"/>
      <c r="C1586" s="106"/>
      <c r="D1586" s="301"/>
    </row>
    <row r="1587" spans="1:4" ht="15" customHeight="1">
      <c r="A1587" s="106"/>
      <c r="B1587" s="106"/>
      <c r="C1587" s="106"/>
      <c r="D1587" s="301"/>
    </row>
    <row r="1588" spans="1:4" ht="15" customHeight="1">
      <c r="A1588" s="106"/>
      <c r="B1588" s="106"/>
      <c r="C1588" s="106"/>
      <c r="D1588" s="301"/>
    </row>
    <row r="1589" spans="1:4" ht="15" customHeight="1">
      <c r="A1589" s="106"/>
      <c r="B1589" s="106"/>
      <c r="C1589" s="106"/>
      <c r="D1589" s="301"/>
    </row>
    <row r="1590" spans="1:4" ht="15" customHeight="1">
      <c r="A1590" s="106"/>
      <c r="B1590" s="106"/>
      <c r="C1590" s="106"/>
      <c r="D1590" s="301"/>
    </row>
    <row r="1591" spans="1:4" ht="15" customHeight="1">
      <c r="A1591" s="106"/>
      <c r="B1591" s="106"/>
      <c r="C1591" s="106"/>
      <c r="D1591" s="301"/>
    </row>
    <row r="1592" spans="1:4" ht="15" customHeight="1">
      <c r="A1592" s="106"/>
      <c r="B1592" s="106"/>
      <c r="C1592" s="106"/>
      <c r="D1592" s="301"/>
    </row>
    <row r="1593" spans="1:4" ht="15" customHeight="1">
      <c r="A1593" s="106"/>
      <c r="B1593" s="106"/>
      <c r="C1593" s="106"/>
      <c r="D1593" s="301"/>
    </row>
    <row r="1594" spans="1:4" ht="15" customHeight="1">
      <c r="A1594" s="106"/>
      <c r="B1594" s="106"/>
      <c r="C1594" s="106"/>
      <c r="D1594" s="301"/>
    </row>
    <row r="1595" spans="1:4" ht="15" customHeight="1">
      <c r="A1595" s="106"/>
      <c r="B1595" s="106"/>
      <c r="C1595" s="106"/>
      <c r="D1595" s="301"/>
    </row>
    <row r="1596" spans="1:4" ht="15" customHeight="1">
      <c r="A1596" s="106"/>
      <c r="B1596" s="106"/>
      <c r="C1596" s="106"/>
      <c r="D1596" s="301"/>
    </row>
    <row r="1597" spans="1:4" ht="15" customHeight="1">
      <c r="A1597" s="106"/>
      <c r="B1597" s="106"/>
      <c r="C1597" s="106"/>
      <c r="D1597" s="301"/>
    </row>
    <row r="1598" spans="1:4" ht="15" customHeight="1">
      <c r="A1598" s="106"/>
      <c r="B1598" s="106"/>
      <c r="C1598" s="106"/>
      <c r="D1598" s="301"/>
    </row>
    <row r="1599" spans="1:4" ht="15" customHeight="1">
      <c r="A1599" s="106"/>
      <c r="B1599" s="106"/>
      <c r="C1599" s="106"/>
      <c r="D1599" s="301"/>
    </row>
    <row r="1600" spans="1:4" ht="15" customHeight="1">
      <c r="A1600" s="106"/>
      <c r="B1600" s="106"/>
      <c r="C1600" s="106"/>
      <c r="D1600" s="301"/>
    </row>
    <row r="1601" spans="1:4" ht="15" customHeight="1">
      <c r="A1601" s="106"/>
      <c r="B1601" s="106"/>
      <c r="C1601" s="106"/>
      <c r="D1601" s="301"/>
    </row>
    <row r="1602" spans="1:4" ht="15" customHeight="1">
      <c r="A1602" s="106"/>
      <c r="B1602" s="106"/>
      <c r="C1602" s="106"/>
      <c r="D1602" s="301"/>
    </row>
    <row r="1603" spans="1:4" ht="15" customHeight="1">
      <c r="A1603" s="106"/>
      <c r="B1603" s="106"/>
      <c r="C1603" s="106"/>
      <c r="D1603" s="301"/>
    </row>
    <row r="1604" spans="1:4" ht="15" customHeight="1">
      <c r="A1604" s="106"/>
      <c r="B1604" s="106"/>
      <c r="C1604" s="106"/>
      <c r="D1604" s="301"/>
    </row>
    <row r="1605" spans="1:4" ht="15" customHeight="1">
      <c r="A1605" s="106"/>
      <c r="B1605" s="106"/>
      <c r="C1605" s="106"/>
      <c r="D1605" s="301"/>
    </row>
    <row r="1606" spans="1:4" ht="15" customHeight="1">
      <c r="A1606" s="106"/>
      <c r="B1606" s="106"/>
      <c r="C1606" s="106"/>
      <c r="D1606" s="301"/>
    </row>
    <row r="1607" spans="1:4" ht="15" customHeight="1">
      <c r="A1607" s="106"/>
      <c r="B1607" s="106"/>
      <c r="C1607" s="106"/>
      <c r="D1607" s="301"/>
    </row>
    <row r="1608" spans="1:4" ht="15" customHeight="1">
      <c r="A1608" s="106"/>
      <c r="B1608" s="106"/>
      <c r="C1608" s="106"/>
      <c r="D1608" s="301"/>
    </row>
    <row r="1609" spans="1:4" ht="15" customHeight="1">
      <c r="A1609" s="106"/>
      <c r="B1609" s="106"/>
      <c r="C1609" s="106"/>
      <c r="D1609" s="301"/>
    </row>
    <row r="1610" spans="1:4" ht="15" customHeight="1">
      <c r="A1610" s="106"/>
      <c r="B1610" s="106"/>
      <c r="C1610" s="106"/>
      <c r="D1610" s="301"/>
    </row>
    <row r="1611" spans="1:4" ht="15" customHeight="1">
      <c r="A1611" s="106"/>
      <c r="B1611" s="106"/>
      <c r="C1611" s="106"/>
      <c r="D1611" s="301"/>
    </row>
    <row r="1612" spans="1:4" ht="15" customHeight="1">
      <c r="A1612" s="106"/>
      <c r="B1612" s="106"/>
      <c r="C1612" s="106"/>
      <c r="D1612" s="301"/>
    </row>
    <row r="1613" spans="1:4" ht="15" customHeight="1">
      <c r="A1613" s="106"/>
      <c r="B1613" s="106"/>
      <c r="C1613" s="106"/>
      <c r="D1613" s="301"/>
    </row>
    <row r="1614" spans="1:4" ht="15" customHeight="1">
      <c r="A1614" s="106"/>
      <c r="B1614" s="106"/>
      <c r="C1614" s="106"/>
      <c r="D1614" s="301"/>
    </row>
    <row r="1615" spans="1:4" ht="15" customHeight="1">
      <c r="A1615" s="106"/>
      <c r="B1615" s="106"/>
      <c r="C1615" s="106"/>
      <c r="D1615" s="301"/>
    </row>
    <row r="1616" spans="1:4" ht="15" customHeight="1">
      <c r="A1616" s="106"/>
      <c r="B1616" s="106"/>
      <c r="C1616" s="106"/>
      <c r="D1616" s="301"/>
    </row>
    <row r="1617" spans="1:4" ht="15" customHeight="1">
      <c r="A1617" s="106"/>
      <c r="B1617" s="106"/>
      <c r="C1617" s="106"/>
      <c r="D1617" s="301"/>
    </row>
    <row r="1618" spans="1:4" ht="15" customHeight="1">
      <c r="A1618" s="106"/>
      <c r="B1618" s="106"/>
      <c r="C1618" s="106"/>
      <c r="D1618" s="301"/>
    </row>
    <row r="1619" spans="1:4" ht="15" customHeight="1">
      <c r="A1619" s="106"/>
      <c r="B1619" s="106"/>
      <c r="C1619" s="106"/>
      <c r="D1619" s="301"/>
    </row>
    <row r="1620" spans="1:4" ht="15" customHeight="1">
      <c r="A1620" s="301"/>
      <c r="B1620" s="301"/>
      <c r="C1620" s="530"/>
      <c r="D1620" s="301"/>
    </row>
  </sheetData>
  <mergeCells count="1">
    <mergeCell ref="A2:B2"/>
  </mergeCell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212"/>
  <sheetViews>
    <sheetView topLeftCell="B1475" zoomScale="70" zoomScaleNormal="70" workbookViewId="0">
      <selection activeCell="C1506" sqref="C1506"/>
    </sheetView>
  </sheetViews>
  <sheetFormatPr defaultRowHeight="15"/>
  <cols>
    <col min="1" max="1" width="28.640625" style="501" customWidth="1"/>
    <col min="2" max="2" width="15.78515625" style="502" customWidth="1"/>
    <col min="3" max="3" width="255.640625" bestFit="1" customWidth="1"/>
    <col min="4" max="4" width="10.0703125" bestFit="1" customWidth="1"/>
  </cols>
  <sheetData>
    <row r="1" spans="1:5" ht="15.9">
      <c r="A1" s="750" t="s">
        <v>5847</v>
      </c>
      <c r="B1" s="751" t="s">
        <v>5918</v>
      </c>
      <c r="C1" s="729" t="s">
        <v>5192</v>
      </c>
      <c r="D1" s="752" t="s">
        <v>5848</v>
      </c>
      <c r="E1" s="753" t="s">
        <v>5849</v>
      </c>
    </row>
    <row r="2" spans="1:5" ht="15.9">
      <c r="A2" s="754" t="s">
        <v>4448</v>
      </c>
      <c r="B2" s="732" t="s">
        <v>5912</v>
      </c>
      <c r="C2" s="731" t="s">
        <v>5722</v>
      </c>
      <c r="D2" s="752" t="s">
        <v>3486</v>
      </c>
      <c r="E2" s="754">
        <v>0</v>
      </c>
    </row>
    <row r="3" spans="1:5" ht="16.3" customHeight="1">
      <c r="A3" s="754" t="s">
        <v>4448</v>
      </c>
      <c r="B3" s="732" t="s">
        <v>5912</v>
      </c>
      <c r="C3" s="731" t="s">
        <v>2676</v>
      </c>
      <c r="D3" s="752" t="s">
        <v>3486</v>
      </c>
      <c r="E3" s="754">
        <v>0</v>
      </c>
    </row>
    <row r="4" spans="1:5" ht="16.3" customHeight="1">
      <c r="A4" s="754" t="s">
        <v>4448</v>
      </c>
      <c r="B4" s="733" t="s">
        <v>5914</v>
      </c>
      <c r="C4" s="731" t="s">
        <v>5724</v>
      </c>
      <c r="D4" s="752" t="s">
        <v>3452</v>
      </c>
      <c r="E4" s="754">
        <v>0</v>
      </c>
    </row>
    <row r="5" spans="1:5" ht="16.3" customHeight="1">
      <c r="A5" s="754" t="s">
        <v>4448</v>
      </c>
      <c r="B5" s="733" t="s">
        <v>5914</v>
      </c>
      <c r="C5" s="731" t="s">
        <v>2680</v>
      </c>
      <c r="D5" s="752" t="s">
        <v>3452</v>
      </c>
      <c r="E5" s="754">
        <v>0</v>
      </c>
    </row>
    <row r="6" spans="1:5" ht="16.3" customHeight="1">
      <c r="A6" s="754" t="s">
        <v>4448</v>
      </c>
      <c r="B6" s="758" t="s">
        <v>5913</v>
      </c>
      <c r="C6" s="731" t="s">
        <v>2678</v>
      </c>
      <c r="D6" s="752" t="s">
        <v>5850</v>
      </c>
      <c r="E6" s="754">
        <v>0</v>
      </c>
    </row>
    <row r="7" spans="1:5" ht="16.3" customHeight="1">
      <c r="A7" s="754" t="s">
        <v>4448</v>
      </c>
      <c r="B7" s="758" t="s">
        <v>5913</v>
      </c>
      <c r="C7" s="731" t="s">
        <v>2679</v>
      </c>
      <c r="D7" s="752" t="s">
        <v>5850</v>
      </c>
      <c r="E7" s="754">
        <v>0</v>
      </c>
    </row>
    <row r="8" spans="1:5" ht="16.3" customHeight="1">
      <c r="A8" s="754" t="s">
        <v>4448</v>
      </c>
      <c r="B8" s="758" t="s">
        <v>5913</v>
      </c>
      <c r="C8" s="731" t="s">
        <v>2680</v>
      </c>
      <c r="D8" s="752" t="s">
        <v>5850</v>
      </c>
      <c r="E8" s="754">
        <v>0</v>
      </c>
    </row>
    <row r="9" spans="1:5" ht="16.3" customHeight="1">
      <c r="A9" s="754" t="s">
        <v>4448</v>
      </c>
      <c r="B9" s="759" t="s">
        <v>5915</v>
      </c>
      <c r="C9" s="731" t="s">
        <v>2682</v>
      </c>
      <c r="D9" s="752" t="s">
        <v>5851</v>
      </c>
      <c r="E9" s="754">
        <v>0</v>
      </c>
    </row>
    <row r="10" spans="1:5" ht="16.3" customHeight="1">
      <c r="A10" s="754" t="s">
        <v>4448</v>
      </c>
      <c r="B10" s="759" t="s">
        <v>5915</v>
      </c>
      <c r="C10" s="731" t="s">
        <v>2683</v>
      </c>
      <c r="D10" s="752" t="s">
        <v>5851</v>
      </c>
      <c r="E10" s="754">
        <v>0</v>
      </c>
    </row>
    <row r="11" spans="1:5" ht="16.3" customHeight="1">
      <c r="A11" s="754" t="s">
        <v>4448</v>
      </c>
      <c r="B11" s="759" t="s">
        <v>5915</v>
      </c>
      <c r="C11" s="731" t="s">
        <v>2684</v>
      </c>
      <c r="D11" s="752" t="s">
        <v>5851</v>
      </c>
      <c r="E11" s="754">
        <v>0</v>
      </c>
    </row>
    <row r="12" spans="1:5" ht="16.3" customHeight="1">
      <c r="A12" s="754" t="s">
        <v>4448</v>
      </c>
      <c r="B12" s="759" t="s">
        <v>5915</v>
      </c>
      <c r="C12" s="736" t="s">
        <v>2685</v>
      </c>
      <c r="D12" s="752" t="s">
        <v>5851</v>
      </c>
      <c r="E12" s="754">
        <v>0</v>
      </c>
    </row>
    <row r="13" spans="1:5" ht="16.3" customHeight="1">
      <c r="A13" s="754" t="s">
        <v>4448</v>
      </c>
      <c r="B13" s="767" t="s">
        <v>5916</v>
      </c>
      <c r="C13" s="731" t="s">
        <v>2687</v>
      </c>
      <c r="D13" s="752" t="s">
        <v>5852</v>
      </c>
      <c r="E13" s="754">
        <v>0</v>
      </c>
    </row>
    <row r="14" spans="1:5" ht="16.3" customHeight="1">
      <c r="A14" s="754" t="s">
        <v>4448</v>
      </c>
      <c r="B14" s="767" t="s">
        <v>5916</v>
      </c>
      <c r="C14" s="731" t="s">
        <v>2688</v>
      </c>
      <c r="D14" s="752" t="s">
        <v>5852</v>
      </c>
      <c r="E14" s="754">
        <v>0</v>
      </c>
    </row>
    <row r="15" spans="1:5" ht="16.3" customHeight="1">
      <c r="A15" s="754" t="s">
        <v>4448</v>
      </c>
      <c r="B15" s="767" t="s">
        <v>5916</v>
      </c>
      <c r="C15" s="731" t="s">
        <v>2689</v>
      </c>
      <c r="D15" s="752" t="s">
        <v>5852</v>
      </c>
      <c r="E15" s="754">
        <v>0</v>
      </c>
    </row>
    <row r="16" spans="1:5" ht="16.3" customHeight="1">
      <c r="A16" s="754" t="s">
        <v>4448</v>
      </c>
      <c r="B16" s="767" t="s">
        <v>5916</v>
      </c>
      <c r="C16" s="731" t="s">
        <v>2690</v>
      </c>
      <c r="D16" s="752" t="s">
        <v>5852</v>
      </c>
      <c r="E16" s="754">
        <v>0</v>
      </c>
    </row>
    <row r="17" spans="1:5" ht="16.3" customHeight="1">
      <c r="A17" s="754" t="s">
        <v>4448</v>
      </c>
      <c r="B17" s="767" t="s">
        <v>5916</v>
      </c>
      <c r="C17" s="731" t="s">
        <v>2680</v>
      </c>
      <c r="D17" s="752" t="s">
        <v>5852</v>
      </c>
      <c r="E17" s="754">
        <v>0</v>
      </c>
    </row>
    <row r="18" spans="1:5" ht="16.3" customHeight="1">
      <c r="A18" s="754" t="s">
        <v>4448</v>
      </c>
      <c r="B18" s="761" t="s">
        <v>5917</v>
      </c>
      <c r="C18" s="731" t="s">
        <v>2692</v>
      </c>
      <c r="D18" s="752" t="s">
        <v>5853</v>
      </c>
      <c r="E18" s="754">
        <v>0</v>
      </c>
    </row>
    <row r="19" spans="1:5" ht="16.3" customHeight="1">
      <c r="A19" s="754" t="s">
        <v>4448</v>
      </c>
      <c r="B19" s="761" t="s">
        <v>5917</v>
      </c>
      <c r="C19" s="731" t="s">
        <v>5725</v>
      </c>
      <c r="D19" s="752" t="s">
        <v>5853</v>
      </c>
      <c r="E19" s="754">
        <v>0</v>
      </c>
    </row>
    <row r="20" spans="1:5" ht="16.3" customHeight="1">
      <c r="A20" s="754" t="s">
        <v>4448</v>
      </c>
      <c r="B20" s="732" t="s">
        <v>5912</v>
      </c>
      <c r="C20" s="731" t="s">
        <v>2695</v>
      </c>
      <c r="D20" s="752" t="s">
        <v>3486</v>
      </c>
      <c r="E20" s="754">
        <v>0</v>
      </c>
    </row>
    <row r="21" spans="1:5" ht="16.3" customHeight="1">
      <c r="A21" s="754" t="s">
        <v>4448</v>
      </c>
      <c r="B21" s="732" t="s">
        <v>5912</v>
      </c>
      <c r="C21" s="731" t="s">
        <v>2696</v>
      </c>
      <c r="D21" s="752" t="s">
        <v>3486</v>
      </c>
      <c r="E21" s="754">
        <v>0</v>
      </c>
    </row>
    <row r="22" spans="1:5" ht="16.3" customHeight="1">
      <c r="A22" s="754" t="s">
        <v>4448</v>
      </c>
      <c r="B22" s="733" t="s">
        <v>5914</v>
      </c>
      <c r="C22" s="731" t="s">
        <v>5726</v>
      </c>
      <c r="D22" s="752" t="s">
        <v>3452</v>
      </c>
      <c r="E22" s="754">
        <v>0</v>
      </c>
    </row>
    <row r="23" spans="1:5" ht="16.3" customHeight="1">
      <c r="A23" s="754" t="s">
        <v>4448</v>
      </c>
      <c r="B23" s="733" t="s">
        <v>5914</v>
      </c>
      <c r="C23" s="731" t="s">
        <v>5727</v>
      </c>
      <c r="D23" s="752" t="s">
        <v>3452</v>
      </c>
      <c r="E23" s="754">
        <v>0</v>
      </c>
    </row>
    <row r="24" spans="1:5" ht="16.3" customHeight="1">
      <c r="A24" s="754" t="s">
        <v>4448</v>
      </c>
      <c r="B24" s="758" t="s">
        <v>5913</v>
      </c>
      <c r="C24" s="731" t="s">
        <v>2697</v>
      </c>
      <c r="D24" s="752" t="s">
        <v>5850</v>
      </c>
      <c r="E24" s="754">
        <v>0</v>
      </c>
    </row>
    <row r="25" spans="1:5" ht="16.3" customHeight="1">
      <c r="A25" s="754" t="s">
        <v>4448</v>
      </c>
      <c r="B25" s="758" t="s">
        <v>5913</v>
      </c>
      <c r="C25" s="731" t="s">
        <v>2698</v>
      </c>
      <c r="D25" s="752" t="s">
        <v>5850</v>
      </c>
      <c r="E25" s="754">
        <v>0</v>
      </c>
    </row>
    <row r="26" spans="1:5" ht="16.3" customHeight="1">
      <c r="A26" s="754" t="s">
        <v>4448</v>
      </c>
      <c r="B26" s="758" t="s">
        <v>5913</v>
      </c>
      <c r="C26" s="731" t="s">
        <v>2699</v>
      </c>
      <c r="D26" s="752" t="s">
        <v>5850</v>
      </c>
      <c r="E26" s="754">
        <v>0</v>
      </c>
    </row>
    <row r="27" spans="1:5" ht="16.3" customHeight="1">
      <c r="A27" s="754" t="s">
        <v>4448</v>
      </c>
      <c r="B27" s="759" t="s">
        <v>5915</v>
      </c>
      <c r="C27" s="731" t="s">
        <v>2700</v>
      </c>
      <c r="D27" s="752" t="s">
        <v>5851</v>
      </c>
      <c r="E27" s="754">
        <v>0</v>
      </c>
    </row>
    <row r="28" spans="1:5" ht="16.3" customHeight="1">
      <c r="A28" s="754" t="s">
        <v>4448</v>
      </c>
      <c r="B28" s="759" t="s">
        <v>5915</v>
      </c>
      <c r="C28" s="731" t="s">
        <v>2701</v>
      </c>
      <c r="D28" s="752" t="s">
        <v>5851</v>
      </c>
      <c r="E28" s="754">
        <v>0</v>
      </c>
    </row>
    <row r="29" spans="1:5" ht="16.3" customHeight="1">
      <c r="A29" s="754" t="s">
        <v>4448</v>
      </c>
      <c r="B29" s="759" t="s">
        <v>5915</v>
      </c>
      <c r="C29" s="731" t="s">
        <v>2680</v>
      </c>
      <c r="D29" s="752" t="s">
        <v>5851</v>
      </c>
      <c r="E29" s="754">
        <v>0</v>
      </c>
    </row>
    <row r="30" spans="1:5" ht="16.3" customHeight="1">
      <c r="A30" s="754" t="s">
        <v>4448</v>
      </c>
      <c r="B30" s="759" t="s">
        <v>5915</v>
      </c>
      <c r="C30" s="731" t="s">
        <v>2680</v>
      </c>
      <c r="D30" s="752" t="s">
        <v>5851</v>
      </c>
      <c r="E30" s="754">
        <v>0</v>
      </c>
    </row>
    <row r="31" spans="1:5" ht="16.3" customHeight="1">
      <c r="A31" s="754" t="s">
        <v>4448</v>
      </c>
      <c r="B31" s="767" t="s">
        <v>5916</v>
      </c>
      <c r="C31" s="731" t="s">
        <v>2702</v>
      </c>
      <c r="D31" s="752" t="s">
        <v>5852</v>
      </c>
      <c r="E31" s="754">
        <v>0</v>
      </c>
    </row>
    <row r="32" spans="1:5" ht="16.3" customHeight="1">
      <c r="A32" s="754" t="s">
        <v>4448</v>
      </c>
      <c r="B32" s="767" t="s">
        <v>5916</v>
      </c>
      <c r="C32" s="731" t="s">
        <v>2703</v>
      </c>
      <c r="D32" s="752" t="s">
        <v>5852</v>
      </c>
      <c r="E32" s="754">
        <v>0</v>
      </c>
    </row>
    <row r="33" spans="1:5" ht="16.3" customHeight="1">
      <c r="A33" s="754" t="s">
        <v>4448</v>
      </c>
      <c r="B33" s="767" t="s">
        <v>5916</v>
      </c>
      <c r="C33" s="731" t="s">
        <v>2704</v>
      </c>
      <c r="D33" s="752" t="s">
        <v>5852</v>
      </c>
      <c r="E33" s="754">
        <v>0</v>
      </c>
    </row>
    <row r="34" spans="1:5" ht="16.3" customHeight="1">
      <c r="A34" s="754" t="s">
        <v>4448</v>
      </c>
      <c r="B34" s="767" t="s">
        <v>5916</v>
      </c>
      <c r="C34" s="731" t="s">
        <v>2680</v>
      </c>
      <c r="D34" s="752" t="s">
        <v>5852</v>
      </c>
      <c r="E34" s="754">
        <v>0</v>
      </c>
    </row>
    <row r="35" spans="1:5" ht="16.3" customHeight="1">
      <c r="A35" s="754" t="s">
        <v>4448</v>
      </c>
      <c r="B35" s="767" t="s">
        <v>5916</v>
      </c>
      <c r="C35" s="731" t="s">
        <v>2680</v>
      </c>
      <c r="D35" s="752" t="s">
        <v>5852</v>
      </c>
      <c r="E35" s="754">
        <v>0</v>
      </c>
    </row>
    <row r="36" spans="1:5" ht="16.3" customHeight="1">
      <c r="A36" s="754" t="s">
        <v>4448</v>
      </c>
      <c r="B36" s="761" t="s">
        <v>5917</v>
      </c>
      <c r="C36" s="731" t="s">
        <v>2705</v>
      </c>
      <c r="D36" s="752" t="s">
        <v>5853</v>
      </c>
      <c r="E36" s="754">
        <v>0</v>
      </c>
    </row>
    <row r="37" spans="1:5" ht="16.3" customHeight="1">
      <c r="A37" s="754" t="s">
        <v>4448</v>
      </c>
      <c r="B37" s="761" t="s">
        <v>5917</v>
      </c>
      <c r="C37" s="731" t="s">
        <v>2680</v>
      </c>
      <c r="D37" s="752" t="s">
        <v>5853</v>
      </c>
      <c r="E37" s="754">
        <v>0</v>
      </c>
    </row>
    <row r="38" spans="1:5" ht="16.3" customHeight="1">
      <c r="A38" s="754" t="s">
        <v>4448</v>
      </c>
      <c r="B38" s="732" t="s">
        <v>5912</v>
      </c>
      <c r="C38" s="731" t="s">
        <v>2708</v>
      </c>
      <c r="D38" s="752" t="s">
        <v>3486</v>
      </c>
      <c r="E38" s="754">
        <v>0</v>
      </c>
    </row>
    <row r="39" spans="1:5" ht="16.3" customHeight="1">
      <c r="A39" s="754" t="s">
        <v>4448</v>
      </c>
      <c r="B39" s="732" t="s">
        <v>5912</v>
      </c>
      <c r="C39" s="731" t="s">
        <v>2680</v>
      </c>
      <c r="D39" s="752" t="s">
        <v>3486</v>
      </c>
      <c r="E39" s="754">
        <v>0</v>
      </c>
    </row>
    <row r="40" spans="1:5" ht="16.3" customHeight="1">
      <c r="A40" s="754" t="s">
        <v>4448</v>
      </c>
      <c r="B40" s="733" t="s">
        <v>5914</v>
      </c>
      <c r="C40" s="731" t="s">
        <v>5728</v>
      </c>
      <c r="D40" s="752" t="s">
        <v>3452</v>
      </c>
      <c r="E40" s="754">
        <v>0</v>
      </c>
    </row>
    <row r="41" spans="1:5" ht="16.3" customHeight="1">
      <c r="A41" s="754" t="s">
        <v>4448</v>
      </c>
      <c r="B41" s="733" t="s">
        <v>5914</v>
      </c>
      <c r="C41" s="731" t="s">
        <v>2680</v>
      </c>
      <c r="D41" s="752" t="s">
        <v>3452</v>
      </c>
      <c r="E41" s="754">
        <v>0</v>
      </c>
    </row>
    <row r="42" spans="1:5" ht="16.3" customHeight="1">
      <c r="A42" s="754" t="s">
        <v>4448</v>
      </c>
      <c r="B42" s="758" t="s">
        <v>5913</v>
      </c>
      <c r="C42" s="731" t="s">
        <v>2709</v>
      </c>
      <c r="D42" s="752" t="s">
        <v>5850</v>
      </c>
      <c r="E42" s="754">
        <v>0</v>
      </c>
    </row>
    <row r="43" spans="1:5" ht="16.3" customHeight="1">
      <c r="A43" s="754" t="s">
        <v>4448</v>
      </c>
      <c r="B43" s="758" t="s">
        <v>5913</v>
      </c>
      <c r="C43" s="731" t="s">
        <v>2710</v>
      </c>
      <c r="D43" s="752" t="s">
        <v>5850</v>
      </c>
      <c r="E43" s="754">
        <v>0</v>
      </c>
    </row>
    <row r="44" spans="1:5" ht="16.3" customHeight="1">
      <c r="A44" s="754" t="s">
        <v>4448</v>
      </c>
      <c r="B44" s="758" t="s">
        <v>5913</v>
      </c>
      <c r="C44" s="731" t="s">
        <v>2680</v>
      </c>
      <c r="D44" s="752" t="s">
        <v>5850</v>
      </c>
      <c r="E44" s="754">
        <v>0</v>
      </c>
    </row>
    <row r="45" spans="1:5" ht="16.3" customHeight="1">
      <c r="A45" s="754" t="s">
        <v>4448</v>
      </c>
      <c r="B45" s="759" t="s">
        <v>5915</v>
      </c>
      <c r="C45" s="731" t="s">
        <v>2711</v>
      </c>
      <c r="D45" s="752" t="s">
        <v>5851</v>
      </c>
      <c r="E45" s="754">
        <v>0</v>
      </c>
    </row>
    <row r="46" spans="1:5" ht="16.3" customHeight="1">
      <c r="A46" s="754" t="s">
        <v>4448</v>
      </c>
      <c r="B46" s="759" t="s">
        <v>5915</v>
      </c>
      <c r="C46" s="731" t="s">
        <v>2712</v>
      </c>
      <c r="D46" s="752" t="s">
        <v>5851</v>
      </c>
      <c r="E46" s="754">
        <v>0</v>
      </c>
    </row>
    <row r="47" spans="1:5" ht="16.3" customHeight="1">
      <c r="A47" s="754" t="s">
        <v>4448</v>
      </c>
      <c r="B47" s="759" t="s">
        <v>5915</v>
      </c>
      <c r="C47" s="731" t="s">
        <v>2680</v>
      </c>
      <c r="D47" s="752" t="s">
        <v>5851</v>
      </c>
      <c r="E47" s="754">
        <v>0</v>
      </c>
    </row>
    <row r="48" spans="1:5" ht="16.3" customHeight="1">
      <c r="A48" s="754" t="s">
        <v>4448</v>
      </c>
      <c r="B48" s="759" t="s">
        <v>5915</v>
      </c>
      <c r="C48" s="731" t="s">
        <v>2680</v>
      </c>
      <c r="D48" s="752" t="s">
        <v>5851</v>
      </c>
      <c r="E48" s="754">
        <v>0</v>
      </c>
    </row>
    <row r="49" spans="1:5" ht="16.3" customHeight="1">
      <c r="A49" s="754" t="s">
        <v>4448</v>
      </c>
      <c r="B49" s="767" t="s">
        <v>5916</v>
      </c>
      <c r="C49" s="731" t="s">
        <v>2713</v>
      </c>
      <c r="D49" s="752" t="s">
        <v>5852</v>
      </c>
      <c r="E49" s="754">
        <v>0</v>
      </c>
    </row>
    <row r="50" spans="1:5" ht="16.3" customHeight="1">
      <c r="A50" s="754" t="s">
        <v>4448</v>
      </c>
      <c r="B50" s="767" t="s">
        <v>5916</v>
      </c>
      <c r="C50" s="731" t="s">
        <v>2714</v>
      </c>
      <c r="D50" s="752" t="s">
        <v>5852</v>
      </c>
      <c r="E50" s="754">
        <v>0</v>
      </c>
    </row>
    <row r="51" spans="1:5" ht="16.3" customHeight="1">
      <c r="A51" s="754" t="s">
        <v>4448</v>
      </c>
      <c r="B51" s="767" t="s">
        <v>5916</v>
      </c>
      <c r="C51" s="731" t="s">
        <v>2680</v>
      </c>
      <c r="D51" s="752" t="s">
        <v>5852</v>
      </c>
      <c r="E51" s="754">
        <v>0</v>
      </c>
    </row>
    <row r="52" spans="1:5" ht="16.3" customHeight="1">
      <c r="A52" s="754" t="s">
        <v>4448</v>
      </c>
      <c r="B52" s="767" t="s">
        <v>5916</v>
      </c>
      <c r="C52" s="731" t="s">
        <v>2680</v>
      </c>
      <c r="D52" s="752" t="s">
        <v>5852</v>
      </c>
      <c r="E52" s="754">
        <v>0</v>
      </c>
    </row>
    <row r="53" spans="1:5" ht="16.3" customHeight="1">
      <c r="A53" s="754" t="s">
        <v>4448</v>
      </c>
      <c r="B53" s="767" t="s">
        <v>5916</v>
      </c>
      <c r="C53" s="731" t="s">
        <v>2680</v>
      </c>
      <c r="D53" s="752" t="s">
        <v>5852</v>
      </c>
      <c r="E53" s="754">
        <v>0</v>
      </c>
    </row>
    <row r="54" spans="1:5" ht="16.3" customHeight="1">
      <c r="A54" s="754" t="s">
        <v>4448</v>
      </c>
      <c r="B54" s="761" t="s">
        <v>5917</v>
      </c>
      <c r="C54" s="731" t="s">
        <v>2680</v>
      </c>
      <c r="D54" s="752" t="s">
        <v>5853</v>
      </c>
      <c r="E54" s="754">
        <v>0</v>
      </c>
    </row>
    <row r="55" spans="1:5" ht="16.3" customHeight="1">
      <c r="A55" s="754" t="s">
        <v>4448</v>
      </c>
      <c r="B55" s="761" t="s">
        <v>5917</v>
      </c>
      <c r="C55" s="731" t="s">
        <v>2680</v>
      </c>
      <c r="D55" s="752" t="s">
        <v>5853</v>
      </c>
      <c r="E55" s="754">
        <v>0</v>
      </c>
    </row>
    <row r="56" spans="1:5" ht="16.3" customHeight="1">
      <c r="A56" s="754" t="s">
        <v>4448</v>
      </c>
      <c r="B56" s="732" t="s">
        <v>5912</v>
      </c>
      <c r="C56" s="731" t="s">
        <v>2680</v>
      </c>
      <c r="D56" s="752" t="s">
        <v>3486</v>
      </c>
      <c r="E56" s="754">
        <v>0</v>
      </c>
    </row>
    <row r="57" spans="1:5" ht="16.3" customHeight="1">
      <c r="A57" s="754" t="s">
        <v>4448</v>
      </c>
      <c r="B57" s="732" t="s">
        <v>5912</v>
      </c>
      <c r="C57" s="731" t="s">
        <v>2716</v>
      </c>
      <c r="D57" s="752" t="s">
        <v>3486</v>
      </c>
      <c r="E57" s="754">
        <v>0</v>
      </c>
    </row>
    <row r="58" spans="1:5" ht="16.3" customHeight="1">
      <c r="A58" s="754" t="s">
        <v>4448</v>
      </c>
      <c r="B58" s="733" t="s">
        <v>5914</v>
      </c>
      <c r="C58" s="731" t="s">
        <v>5729</v>
      </c>
      <c r="D58" s="752" t="s">
        <v>3452</v>
      </c>
      <c r="E58" s="754">
        <v>0</v>
      </c>
    </row>
    <row r="59" spans="1:5" ht="16.3" customHeight="1">
      <c r="A59" s="754" t="s">
        <v>4448</v>
      </c>
      <c r="B59" s="733" t="s">
        <v>5914</v>
      </c>
      <c r="C59" s="731" t="s">
        <v>2680</v>
      </c>
      <c r="D59" s="752" t="s">
        <v>3452</v>
      </c>
      <c r="E59" s="754">
        <v>0</v>
      </c>
    </row>
    <row r="60" spans="1:5" ht="16.3" customHeight="1">
      <c r="A60" s="754" t="s">
        <v>4448</v>
      </c>
      <c r="B60" s="758" t="s">
        <v>5913</v>
      </c>
      <c r="C60" s="731" t="s">
        <v>5730</v>
      </c>
      <c r="D60" s="752" t="s">
        <v>5850</v>
      </c>
      <c r="E60" s="754">
        <v>0</v>
      </c>
    </row>
    <row r="61" spans="1:5" ht="16.3" customHeight="1">
      <c r="A61" s="754" t="s">
        <v>4448</v>
      </c>
      <c r="B61" s="758" t="s">
        <v>5913</v>
      </c>
      <c r="C61" s="731" t="s">
        <v>5731</v>
      </c>
      <c r="D61" s="752" t="s">
        <v>5850</v>
      </c>
      <c r="E61" s="754">
        <v>0</v>
      </c>
    </row>
    <row r="62" spans="1:5" ht="16.3" customHeight="1">
      <c r="A62" s="754" t="s">
        <v>4448</v>
      </c>
      <c r="B62" s="758" t="s">
        <v>5913</v>
      </c>
      <c r="C62" s="731" t="s">
        <v>2680</v>
      </c>
      <c r="D62" s="752" t="s">
        <v>5850</v>
      </c>
      <c r="E62" s="754">
        <v>0</v>
      </c>
    </row>
    <row r="63" spans="1:5" ht="16.3" customHeight="1">
      <c r="A63" s="754" t="s">
        <v>4448</v>
      </c>
      <c r="B63" s="759" t="s">
        <v>5915</v>
      </c>
      <c r="C63" s="731" t="s">
        <v>2717</v>
      </c>
      <c r="D63" s="752" t="s">
        <v>5851</v>
      </c>
      <c r="E63" s="754">
        <v>0</v>
      </c>
    </row>
    <row r="64" spans="1:5" ht="16.3" customHeight="1">
      <c r="A64" s="754" t="s">
        <v>4448</v>
      </c>
      <c r="B64" s="759" t="s">
        <v>5915</v>
      </c>
      <c r="C64" s="731" t="s">
        <v>2680</v>
      </c>
      <c r="D64" s="752" t="s">
        <v>5851</v>
      </c>
      <c r="E64" s="754">
        <v>0</v>
      </c>
    </row>
    <row r="65" spans="1:5" ht="16.3" customHeight="1">
      <c r="A65" s="754" t="s">
        <v>4448</v>
      </c>
      <c r="B65" s="759" t="s">
        <v>5915</v>
      </c>
      <c r="C65" s="731" t="s">
        <v>2680</v>
      </c>
      <c r="D65" s="752" t="s">
        <v>5851</v>
      </c>
      <c r="E65" s="754">
        <v>0</v>
      </c>
    </row>
    <row r="66" spans="1:5" ht="16.3" customHeight="1">
      <c r="A66" s="754" t="s">
        <v>4448</v>
      </c>
      <c r="B66" s="759" t="s">
        <v>5915</v>
      </c>
      <c r="C66" s="731" t="s">
        <v>2680</v>
      </c>
      <c r="D66" s="752" t="s">
        <v>5851</v>
      </c>
      <c r="E66" s="754">
        <v>0</v>
      </c>
    </row>
    <row r="67" spans="1:5" ht="16.3" customHeight="1">
      <c r="A67" s="754" t="s">
        <v>4448</v>
      </c>
      <c r="B67" s="767" t="s">
        <v>5916</v>
      </c>
      <c r="C67" s="731" t="s">
        <v>5732</v>
      </c>
      <c r="D67" s="752" t="s">
        <v>5852</v>
      </c>
      <c r="E67" s="754">
        <v>0</v>
      </c>
    </row>
    <row r="68" spans="1:5" ht="16.3" customHeight="1">
      <c r="A68" s="754" t="s">
        <v>4448</v>
      </c>
      <c r="B68" s="767" t="s">
        <v>5916</v>
      </c>
      <c r="C68" s="731" t="s">
        <v>2680</v>
      </c>
      <c r="D68" s="752" t="s">
        <v>5852</v>
      </c>
      <c r="E68" s="754">
        <v>0</v>
      </c>
    </row>
    <row r="69" spans="1:5" ht="16.3" customHeight="1">
      <c r="A69" s="754" t="s">
        <v>4448</v>
      </c>
      <c r="B69" s="767" t="s">
        <v>5916</v>
      </c>
      <c r="C69" s="731" t="s">
        <v>2718</v>
      </c>
      <c r="D69" s="752" t="s">
        <v>5852</v>
      </c>
      <c r="E69" s="754">
        <v>0</v>
      </c>
    </row>
    <row r="70" spans="1:5" ht="16.3" customHeight="1">
      <c r="A70" s="754" t="s">
        <v>4448</v>
      </c>
      <c r="B70" s="767" t="s">
        <v>5916</v>
      </c>
      <c r="C70" s="731" t="s">
        <v>2680</v>
      </c>
      <c r="D70" s="752" t="s">
        <v>5852</v>
      </c>
      <c r="E70" s="754">
        <v>0</v>
      </c>
    </row>
    <row r="71" spans="1:5" ht="16.3" customHeight="1">
      <c r="A71" s="754" t="s">
        <v>4448</v>
      </c>
      <c r="B71" s="767" t="s">
        <v>5916</v>
      </c>
      <c r="C71" s="731" t="s">
        <v>2680</v>
      </c>
      <c r="D71" s="752" t="s">
        <v>5852</v>
      </c>
      <c r="E71" s="754">
        <v>0</v>
      </c>
    </row>
    <row r="72" spans="1:5" ht="16.3" customHeight="1">
      <c r="A72" s="754" t="s">
        <v>4448</v>
      </c>
      <c r="B72" s="761" t="s">
        <v>5917</v>
      </c>
      <c r="C72" s="731" t="s">
        <v>2719</v>
      </c>
      <c r="D72" s="752" t="s">
        <v>5853</v>
      </c>
      <c r="E72" s="754">
        <v>0</v>
      </c>
    </row>
    <row r="73" spans="1:5" ht="16.3" customHeight="1">
      <c r="A73" s="754" t="s">
        <v>4448</v>
      </c>
      <c r="B73" s="761" t="s">
        <v>5917</v>
      </c>
      <c r="C73" s="731" t="s">
        <v>2720</v>
      </c>
      <c r="D73" s="752" t="s">
        <v>5853</v>
      </c>
      <c r="E73" s="754">
        <v>0</v>
      </c>
    </row>
    <row r="74" spans="1:5" ht="16.3" customHeight="1">
      <c r="A74" s="754" t="s">
        <v>4448</v>
      </c>
      <c r="B74" s="732" t="s">
        <v>5912</v>
      </c>
      <c r="C74" s="731" t="s">
        <v>2723</v>
      </c>
      <c r="D74" s="752" t="s">
        <v>3486</v>
      </c>
      <c r="E74" s="754">
        <v>0</v>
      </c>
    </row>
    <row r="75" spans="1:5" ht="16.3" customHeight="1">
      <c r="A75" s="754" t="s">
        <v>4448</v>
      </c>
      <c r="B75" s="732" t="s">
        <v>5912</v>
      </c>
      <c r="C75" s="731" t="s">
        <v>2724</v>
      </c>
      <c r="D75" s="752" t="s">
        <v>3486</v>
      </c>
      <c r="E75" s="754">
        <v>0</v>
      </c>
    </row>
    <row r="76" spans="1:5" ht="16.3" customHeight="1">
      <c r="A76" s="754" t="s">
        <v>4448</v>
      </c>
      <c r="B76" s="733" t="s">
        <v>5914</v>
      </c>
      <c r="C76" s="731" t="s">
        <v>5733</v>
      </c>
      <c r="D76" s="752" t="s">
        <v>3452</v>
      </c>
      <c r="E76" s="754">
        <v>0</v>
      </c>
    </row>
    <row r="77" spans="1:5" ht="16.3" customHeight="1">
      <c r="A77" s="754" t="s">
        <v>4448</v>
      </c>
      <c r="B77" s="733" t="s">
        <v>5914</v>
      </c>
      <c r="C77" s="731" t="s">
        <v>2680</v>
      </c>
      <c r="D77" s="752" t="s">
        <v>3452</v>
      </c>
      <c r="E77" s="754">
        <v>0</v>
      </c>
    </row>
    <row r="78" spans="1:5" ht="16.3" customHeight="1">
      <c r="A78" s="754" t="s">
        <v>4448</v>
      </c>
      <c r="B78" s="758" t="s">
        <v>5913</v>
      </c>
      <c r="C78" s="731" t="s">
        <v>2725</v>
      </c>
      <c r="D78" s="752" t="s">
        <v>5850</v>
      </c>
      <c r="E78" s="754">
        <v>0</v>
      </c>
    </row>
    <row r="79" spans="1:5" ht="16.3" customHeight="1">
      <c r="A79" s="754" t="s">
        <v>4448</v>
      </c>
      <c r="B79" s="758" t="s">
        <v>5913</v>
      </c>
      <c r="C79" s="731" t="s">
        <v>2726</v>
      </c>
      <c r="D79" s="752" t="s">
        <v>5850</v>
      </c>
      <c r="E79" s="754">
        <v>0</v>
      </c>
    </row>
    <row r="80" spans="1:5" ht="16.3" customHeight="1">
      <c r="A80" s="754" t="s">
        <v>4448</v>
      </c>
      <c r="B80" s="758" t="s">
        <v>5913</v>
      </c>
      <c r="C80" s="731" t="s">
        <v>2680</v>
      </c>
      <c r="D80" s="752" t="s">
        <v>5850</v>
      </c>
      <c r="E80" s="754">
        <v>0</v>
      </c>
    </row>
    <row r="81" spans="1:5" ht="16.3" customHeight="1">
      <c r="A81" s="754" t="s">
        <v>4448</v>
      </c>
      <c r="B81" s="759" t="s">
        <v>5915</v>
      </c>
      <c r="C81" s="731" t="s">
        <v>2727</v>
      </c>
      <c r="D81" s="752" t="s">
        <v>5851</v>
      </c>
      <c r="E81" s="754">
        <v>0</v>
      </c>
    </row>
    <row r="82" spans="1:5" ht="16.3" customHeight="1">
      <c r="A82" s="754" t="s">
        <v>4448</v>
      </c>
      <c r="B82" s="759" t="s">
        <v>5915</v>
      </c>
      <c r="C82" s="731" t="s">
        <v>2728</v>
      </c>
      <c r="D82" s="752" t="s">
        <v>5851</v>
      </c>
      <c r="E82" s="754">
        <v>0</v>
      </c>
    </row>
    <row r="83" spans="1:5" ht="16.3" customHeight="1">
      <c r="A83" s="754" t="s">
        <v>4448</v>
      </c>
      <c r="B83" s="759" t="s">
        <v>5915</v>
      </c>
      <c r="C83" s="731" t="s">
        <v>2680</v>
      </c>
      <c r="D83" s="752" t="s">
        <v>5851</v>
      </c>
      <c r="E83" s="754">
        <v>0</v>
      </c>
    </row>
    <row r="84" spans="1:5" ht="16.3" customHeight="1">
      <c r="A84" s="754" t="s">
        <v>4448</v>
      </c>
      <c r="B84" s="759" t="s">
        <v>5915</v>
      </c>
      <c r="C84" s="731" t="s">
        <v>2680</v>
      </c>
      <c r="D84" s="752" t="s">
        <v>5851</v>
      </c>
      <c r="E84" s="754">
        <v>0</v>
      </c>
    </row>
    <row r="85" spans="1:5" ht="16.3" customHeight="1">
      <c r="A85" s="754" t="s">
        <v>4448</v>
      </c>
      <c r="B85" s="767" t="s">
        <v>5916</v>
      </c>
      <c r="C85" s="731" t="s">
        <v>2729</v>
      </c>
      <c r="D85" s="752" t="s">
        <v>5852</v>
      </c>
      <c r="E85" s="754">
        <v>0</v>
      </c>
    </row>
    <row r="86" spans="1:5" ht="16.3" customHeight="1">
      <c r="A86" s="754" t="s">
        <v>4448</v>
      </c>
      <c r="B86" s="767" t="s">
        <v>5916</v>
      </c>
      <c r="C86" s="731" t="s">
        <v>2730</v>
      </c>
      <c r="D86" s="752" t="s">
        <v>5852</v>
      </c>
      <c r="E86" s="754">
        <v>0</v>
      </c>
    </row>
    <row r="87" spans="1:5" ht="16.3" customHeight="1">
      <c r="A87" s="754" t="s">
        <v>4448</v>
      </c>
      <c r="B87" s="767" t="s">
        <v>5916</v>
      </c>
      <c r="C87" s="731" t="s">
        <v>2680</v>
      </c>
      <c r="D87" s="752" t="s">
        <v>5852</v>
      </c>
      <c r="E87" s="754">
        <v>0</v>
      </c>
    </row>
    <row r="88" spans="1:5" ht="16.3" customHeight="1">
      <c r="A88" s="754" t="s">
        <v>4448</v>
      </c>
      <c r="B88" s="767" t="s">
        <v>5916</v>
      </c>
      <c r="C88" s="731" t="s">
        <v>2680</v>
      </c>
      <c r="D88" s="752" t="s">
        <v>5852</v>
      </c>
      <c r="E88" s="754">
        <v>0</v>
      </c>
    </row>
    <row r="89" spans="1:5" ht="16.3" customHeight="1">
      <c r="A89" s="754" t="s">
        <v>4448</v>
      </c>
      <c r="B89" s="767" t="s">
        <v>5916</v>
      </c>
      <c r="C89" s="731" t="s">
        <v>2680</v>
      </c>
      <c r="D89" s="752" t="s">
        <v>5852</v>
      </c>
      <c r="E89" s="754">
        <v>0</v>
      </c>
    </row>
    <row r="90" spans="1:5" ht="16.3" customHeight="1">
      <c r="A90" s="754" t="s">
        <v>4448</v>
      </c>
      <c r="B90" s="761" t="s">
        <v>5917</v>
      </c>
      <c r="C90" s="731" t="s">
        <v>2731</v>
      </c>
      <c r="D90" s="752" t="s">
        <v>5853</v>
      </c>
      <c r="E90" s="754">
        <v>0</v>
      </c>
    </row>
    <row r="91" spans="1:5" ht="16.3" customHeight="1">
      <c r="A91" s="754" t="s">
        <v>4448</v>
      </c>
      <c r="B91" s="761" t="s">
        <v>5917</v>
      </c>
      <c r="C91" s="731" t="s">
        <v>2680</v>
      </c>
      <c r="D91" s="752" t="s">
        <v>5853</v>
      </c>
      <c r="E91" s="754">
        <v>0</v>
      </c>
    </row>
    <row r="92" spans="1:5" ht="16.3" customHeight="1">
      <c r="A92" s="754" t="s">
        <v>4448</v>
      </c>
      <c r="B92" s="732" t="s">
        <v>5912</v>
      </c>
      <c r="C92" s="731" t="s">
        <v>2733</v>
      </c>
      <c r="D92" s="752" t="s">
        <v>3486</v>
      </c>
      <c r="E92" s="754">
        <v>0</v>
      </c>
    </row>
    <row r="93" spans="1:5" ht="16.3" customHeight="1">
      <c r="A93" s="754" t="s">
        <v>4448</v>
      </c>
      <c r="B93" s="732" t="s">
        <v>5912</v>
      </c>
      <c r="C93" s="731" t="s">
        <v>2680</v>
      </c>
      <c r="D93" s="752" t="s">
        <v>3486</v>
      </c>
      <c r="E93" s="754">
        <v>0</v>
      </c>
    </row>
    <row r="94" spans="1:5" ht="16.3" customHeight="1">
      <c r="A94" s="754" t="s">
        <v>4448</v>
      </c>
      <c r="B94" s="733" t="s">
        <v>5914</v>
      </c>
      <c r="C94" s="731" t="s">
        <v>5734</v>
      </c>
      <c r="D94" s="752" t="s">
        <v>3452</v>
      </c>
      <c r="E94" s="754">
        <v>0</v>
      </c>
    </row>
    <row r="95" spans="1:5" ht="16.3" customHeight="1">
      <c r="A95" s="754" t="s">
        <v>4448</v>
      </c>
      <c r="B95" s="733" t="s">
        <v>5914</v>
      </c>
      <c r="C95" s="731" t="s">
        <v>2680</v>
      </c>
      <c r="D95" s="752" t="s">
        <v>3452</v>
      </c>
      <c r="E95" s="754">
        <v>0</v>
      </c>
    </row>
    <row r="96" spans="1:5" ht="16.3" customHeight="1">
      <c r="A96" s="754" t="s">
        <v>4448</v>
      </c>
      <c r="B96" s="758" t="s">
        <v>5913</v>
      </c>
      <c r="C96" s="731" t="s">
        <v>2734</v>
      </c>
      <c r="D96" s="752" t="s">
        <v>5850</v>
      </c>
      <c r="E96" s="754">
        <v>0</v>
      </c>
    </row>
    <row r="97" spans="1:5" ht="16.3" customHeight="1">
      <c r="A97" s="754" t="s">
        <v>4448</v>
      </c>
      <c r="B97" s="758" t="s">
        <v>5913</v>
      </c>
      <c r="C97" s="731" t="s">
        <v>2735</v>
      </c>
      <c r="D97" s="752" t="s">
        <v>5850</v>
      </c>
      <c r="E97" s="754">
        <v>0</v>
      </c>
    </row>
    <row r="98" spans="1:5" ht="16.3" customHeight="1">
      <c r="A98" s="754" t="s">
        <v>4448</v>
      </c>
      <c r="B98" s="758" t="s">
        <v>5913</v>
      </c>
      <c r="C98" s="731" t="s">
        <v>2680</v>
      </c>
      <c r="D98" s="752" t="s">
        <v>5850</v>
      </c>
      <c r="E98" s="754">
        <v>0</v>
      </c>
    </row>
    <row r="99" spans="1:5" ht="16.3" customHeight="1">
      <c r="A99" s="754" t="s">
        <v>4448</v>
      </c>
      <c r="B99" s="759" t="s">
        <v>5915</v>
      </c>
      <c r="C99" s="731" t="s">
        <v>2736</v>
      </c>
      <c r="D99" s="752" t="s">
        <v>5851</v>
      </c>
      <c r="E99" s="754">
        <v>0</v>
      </c>
    </row>
    <row r="100" spans="1:5" ht="16.3" customHeight="1">
      <c r="A100" s="754" t="s">
        <v>4448</v>
      </c>
      <c r="B100" s="759" t="s">
        <v>5915</v>
      </c>
      <c r="C100" s="731" t="s">
        <v>2737</v>
      </c>
      <c r="D100" s="752" t="s">
        <v>5851</v>
      </c>
      <c r="E100" s="754">
        <v>0</v>
      </c>
    </row>
    <row r="101" spans="1:5" ht="16.3" customHeight="1">
      <c r="A101" s="754" t="s">
        <v>4448</v>
      </c>
      <c r="B101" s="759" t="s">
        <v>5915</v>
      </c>
      <c r="C101" s="731" t="s">
        <v>2680</v>
      </c>
      <c r="D101" s="752" t="s">
        <v>5851</v>
      </c>
      <c r="E101" s="754">
        <v>0</v>
      </c>
    </row>
    <row r="102" spans="1:5" ht="16.3" customHeight="1">
      <c r="A102" s="754" t="s">
        <v>4448</v>
      </c>
      <c r="B102" s="759" t="s">
        <v>5915</v>
      </c>
      <c r="C102" s="731" t="s">
        <v>2680</v>
      </c>
      <c r="D102" s="752" t="s">
        <v>5851</v>
      </c>
      <c r="E102" s="754">
        <v>0</v>
      </c>
    </row>
    <row r="103" spans="1:5" ht="16.3" customHeight="1">
      <c r="A103" s="754" t="s">
        <v>4448</v>
      </c>
      <c r="B103" s="767" t="s">
        <v>5916</v>
      </c>
      <c r="C103" s="731" t="s">
        <v>2738</v>
      </c>
      <c r="D103" s="752" t="s">
        <v>5852</v>
      </c>
      <c r="E103" s="754">
        <v>0</v>
      </c>
    </row>
    <row r="104" spans="1:5" ht="16.3" customHeight="1">
      <c r="A104" s="754" t="s">
        <v>4448</v>
      </c>
      <c r="B104" s="767" t="s">
        <v>5916</v>
      </c>
      <c r="C104" s="731" t="s">
        <v>2739</v>
      </c>
      <c r="D104" s="752" t="s">
        <v>5852</v>
      </c>
      <c r="E104" s="754">
        <v>0</v>
      </c>
    </row>
    <row r="105" spans="1:5" ht="16.3" customHeight="1">
      <c r="A105" s="754" t="s">
        <v>4448</v>
      </c>
      <c r="B105" s="767" t="s">
        <v>5916</v>
      </c>
      <c r="C105" s="731" t="s">
        <v>2680</v>
      </c>
      <c r="D105" s="752" t="s">
        <v>5852</v>
      </c>
      <c r="E105" s="754">
        <v>0</v>
      </c>
    </row>
    <row r="106" spans="1:5" ht="16.3" customHeight="1">
      <c r="A106" s="754" t="s">
        <v>4448</v>
      </c>
      <c r="B106" s="767" t="s">
        <v>5916</v>
      </c>
      <c r="C106" s="731" t="s">
        <v>2680</v>
      </c>
      <c r="D106" s="752" t="s">
        <v>5852</v>
      </c>
      <c r="E106" s="754">
        <v>0</v>
      </c>
    </row>
    <row r="107" spans="1:5" ht="16.3" customHeight="1">
      <c r="A107" s="754" t="s">
        <v>4448</v>
      </c>
      <c r="B107" s="767" t="s">
        <v>5916</v>
      </c>
      <c r="C107" s="731" t="s">
        <v>2680</v>
      </c>
      <c r="D107" s="752" t="s">
        <v>5852</v>
      </c>
      <c r="E107" s="754">
        <v>0</v>
      </c>
    </row>
    <row r="108" spans="1:5" ht="16.3" customHeight="1">
      <c r="A108" s="754" t="s">
        <v>4448</v>
      </c>
      <c r="B108" s="761" t="s">
        <v>5917</v>
      </c>
      <c r="C108" s="731" t="s">
        <v>2740</v>
      </c>
      <c r="D108" s="752" t="s">
        <v>5853</v>
      </c>
      <c r="E108" s="754">
        <v>0</v>
      </c>
    </row>
    <row r="109" spans="1:5" ht="16.3" customHeight="1">
      <c r="A109" s="754" t="s">
        <v>4448</v>
      </c>
      <c r="B109" s="761" t="s">
        <v>5917</v>
      </c>
      <c r="C109" s="731" t="s">
        <v>2680</v>
      </c>
      <c r="D109" s="752" t="s">
        <v>5853</v>
      </c>
      <c r="E109" s="754">
        <v>0</v>
      </c>
    </row>
    <row r="110" spans="1:5" ht="16.3" customHeight="1">
      <c r="A110" s="754" t="s">
        <v>4448</v>
      </c>
      <c r="B110" s="732" t="s">
        <v>5912</v>
      </c>
      <c r="C110" s="731" t="s">
        <v>2743</v>
      </c>
      <c r="D110" s="752" t="s">
        <v>3486</v>
      </c>
      <c r="E110" s="754">
        <v>0</v>
      </c>
    </row>
    <row r="111" spans="1:5" ht="16.3" customHeight="1">
      <c r="A111" s="754" t="s">
        <v>4448</v>
      </c>
      <c r="B111" s="732" t="s">
        <v>5912</v>
      </c>
      <c r="C111" s="731" t="s">
        <v>2680</v>
      </c>
      <c r="D111" s="752" t="s">
        <v>3486</v>
      </c>
      <c r="E111" s="754">
        <v>0</v>
      </c>
    </row>
    <row r="112" spans="1:5" ht="16.3" customHeight="1">
      <c r="A112" s="754" t="s">
        <v>4448</v>
      </c>
      <c r="B112" s="733" t="s">
        <v>5914</v>
      </c>
      <c r="C112" s="731" t="s">
        <v>5735</v>
      </c>
      <c r="D112" s="752" t="s">
        <v>3452</v>
      </c>
      <c r="E112" s="754">
        <v>0</v>
      </c>
    </row>
    <row r="113" spans="1:5" ht="16.3" customHeight="1">
      <c r="A113" s="754" t="s">
        <v>4448</v>
      </c>
      <c r="B113" s="733" t="s">
        <v>5914</v>
      </c>
      <c r="C113" s="731" t="s">
        <v>2680</v>
      </c>
      <c r="D113" s="752" t="s">
        <v>3452</v>
      </c>
      <c r="E113" s="754">
        <v>0</v>
      </c>
    </row>
    <row r="114" spans="1:5" ht="16.3" customHeight="1">
      <c r="A114" s="754" t="s">
        <v>4448</v>
      </c>
      <c r="B114" s="758" t="s">
        <v>5913</v>
      </c>
      <c r="C114" s="731" t="s">
        <v>2680</v>
      </c>
      <c r="D114" s="752" t="s">
        <v>5850</v>
      </c>
      <c r="E114" s="754">
        <v>0</v>
      </c>
    </row>
    <row r="115" spans="1:5" ht="16.3" customHeight="1">
      <c r="A115" s="754" t="s">
        <v>4448</v>
      </c>
      <c r="B115" s="758" t="s">
        <v>5913</v>
      </c>
      <c r="C115" s="731" t="s">
        <v>2744</v>
      </c>
      <c r="D115" s="752" t="s">
        <v>5850</v>
      </c>
      <c r="E115" s="754">
        <v>0</v>
      </c>
    </row>
    <row r="116" spans="1:5" ht="16.3" customHeight="1">
      <c r="A116" s="754" t="s">
        <v>4448</v>
      </c>
      <c r="B116" s="758" t="s">
        <v>5913</v>
      </c>
      <c r="C116" s="731" t="s">
        <v>2680</v>
      </c>
      <c r="D116" s="752" t="s">
        <v>5850</v>
      </c>
      <c r="E116" s="754">
        <v>0</v>
      </c>
    </row>
    <row r="117" spans="1:5" ht="16.3" customHeight="1">
      <c r="A117" s="754" t="s">
        <v>4448</v>
      </c>
      <c r="B117" s="759" t="s">
        <v>5915</v>
      </c>
      <c r="C117" s="731" t="s">
        <v>2745</v>
      </c>
      <c r="D117" s="752" t="s">
        <v>5851</v>
      </c>
      <c r="E117" s="754">
        <v>0</v>
      </c>
    </row>
    <row r="118" spans="1:5" ht="16.3" customHeight="1">
      <c r="A118" s="754" t="s">
        <v>4448</v>
      </c>
      <c r="B118" s="759" t="s">
        <v>5915</v>
      </c>
      <c r="C118" s="731" t="s">
        <v>2680</v>
      </c>
      <c r="D118" s="752" t="s">
        <v>5851</v>
      </c>
      <c r="E118" s="754">
        <v>0</v>
      </c>
    </row>
    <row r="119" spans="1:5" ht="16.3" customHeight="1">
      <c r="A119" s="754" t="s">
        <v>4448</v>
      </c>
      <c r="B119" s="759" t="s">
        <v>5915</v>
      </c>
      <c r="C119" s="731" t="s">
        <v>2680</v>
      </c>
      <c r="D119" s="752" t="s">
        <v>5851</v>
      </c>
      <c r="E119" s="754">
        <v>0</v>
      </c>
    </row>
    <row r="120" spans="1:5" ht="16.3" customHeight="1">
      <c r="A120" s="754" t="s">
        <v>4448</v>
      </c>
      <c r="B120" s="759" t="s">
        <v>5915</v>
      </c>
      <c r="C120" s="731" t="s">
        <v>2680</v>
      </c>
      <c r="D120" s="752" t="s">
        <v>5851</v>
      </c>
      <c r="E120" s="754">
        <v>0</v>
      </c>
    </row>
    <row r="121" spans="1:5" ht="16.3" customHeight="1">
      <c r="A121" s="754" t="s">
        <v>4448</v>
      </c>
      <c r="B121" s="767" t="s">
        <v>5916</v>
      </c>
      <c r="C121" s="731" t="s">
        <v>2746</v>
      </c>
      <c r="D121" s="752" t="s">
        <v>5852</v>
      </c>
      <c r="E121" s="754">
        <v>0</v>
      </c>
    </row>
    <row r="122" spans="1:5" ht="16.3" customHeight="1">
      <c r="A122" s="754" t="s">
        <v>4448</v>
      </c>
      <c r="B122" s="767" t="s">
        <v>5916</v>
      </c>
      <c r="C122" s="731" t="s">
        <v>2680</v>
      </c>
      <c r="D122" s="752" t="s">
        <v>5852</v>
      </c>
      <c r="E122" s="754">
        <v>0</v>
      </c>
    </row>
    <row r="123" spans="1:5" ht="16.3" customHeight="1">
      <c r="A123" s="754" t="s">
        <v>4448</v>
      </c>
      <c r="B123" s="767" t="s">
        <v>5916</v>
      </c>
      <c r="C123" s="731" t="s">
        <v>2680</v>
      </c>
      <c r="D123" s="752" t="s">
        <v>5852</v>
      </c>
      <c r="E123" s="754">
        <v>0</v>
      </c>
    </row>
    <row r="124" spans="1:5" ht="16.3" customHeight="1">
      <c r="A124" s="754" t="s">
        <v>4448</v>
      </c>
      <c r="B124" s="767" t="s">
        <v>5916</v>
      </c>
      <c r="C124" s="731" t="s">
        <v>2680</v>
      </c>
      <c r="D124" s="752" t="s">
        <v>5852</v>
      </c>
      <c r="E124" s="754">
        <v>0</v>
      </c>
    </row>
    <row r="125" spans="1:5" ht="16.3" customHeight="1">
      <c r="A125" s="754" t="s">
        <v>4448</v>
      </c>
      <c r="B125" s="767" t="s">
        <v>5916</v>
      </c>
      <c r="C125" s="731" t="s">
        <v>2680</v>
      </c>
      <c r="D125" s="752" t="s">
        <v>5852</v>
      </c>
      <c r="E125" s="754">
        <v>0</v>
      </c>
    </row>
    <row r="126" spans="1:5" ht="16.3" customHeight="1">
      <c r="A126" s="754" t="s">
        <v>4448</v>
      </c>
      <c r="B126" s="761" t="s">
        <v>5917</v>
      </c>
      <c r="C126" s="731" t="s">
        <v>2680</v>
      </c>
      <c r="D126" s="752" t="s">
        <v>5853</v>
      </c>
      <c r="E126" s="754">
        <v>0</v>
      </c>
    </row>
    <row r="127" spans="1:5" ht="16.3" customHeight="1">
      <c r="A127" s="754" t="s">
        <v>4448</v>
      </c>
      <c r="B127" s="761" t="s">
        <v>5917</v>
      </c>
      <c r="C127" s="731" t="s">
        <v>2680</v>
      </c>
      <c r="D127" s="752" t="s">
        <v>5853</v>
      </c>
      <c r="E127" s="754">
        <v>0</v>
      </c>
    </row>
    <row r="128" spans="1:5" ht="16.3" customHeight="1">
      <c r="A128" s="754" t="s">
        <v>4448</v>
      </c>
      <c r="B128" s="732" t="s">
        <v>5912</v>
      </c>
      <c r="C128" s="731" t="s">
        <v>2680</v>
      </c>
      <c r="D128" s="752" t="s">
        <v>3486</v>
      </c>
      <c r="E128" s="754">
        <v>0</v>
      </c>
    </row>
    <row r="129" spans="1:5" ht="16.3" customHeight="1">
      <c r="A129" s="754" t="s">
        <v>4448</v>
      </c>
      <c r="B129" s="732" t="s">
        <v>5912</v>
      </c>
      <c r="C129" s="731" t="s">
        <v>2748</v>
      </c>
      <c r="D129" s="752" t="s">
        <v>3486</v>
      </c>
      <c r="E129" s="754">
        <v>0</v>
      </c>
    </row>
    <row r="130" spans="1:5" ht="16.3" customHeight="1">
      <c r="A130" s="754" t="s">
        <v>4448</v>
      </c>
      <c r="B130" s="733" t="s">
        <v>5914</v>
      </c>
      <c r="C130" s="731" t="s">
        <v>5736</v>
      </c>
      <c r="D130" s="752" t="s">
        <v>3452</v>
      </c>
      <c r="E130" s="754">
        <v>0</v>
      </c>
    </row>
    <row r="131" spans="1:5" ht="16.3" customHeight="1">
      <c r="A131" s="754" t="s">
        <v>4448</v>
      </c>
      <c r="B131" s="733" t="s">
        <v>5914</v>
      </c>
      <c r="C131" s="731" t="s">
        <v>2680</v>
      </c>
      <c r="D131" s="752" t="s">
        <v>3452</v>
      </c>
      <c r="E131" s="754">
        <v>0</v>
      </c>
    </row>
    <row r="132" spans="1:5" ht="16.3" customHeight="1">
      <c r="A132" s="754" t="s">
        <v>4448</v>
      </c>
      <c r="B132" s="758" t="s">
        <v>5913</v>
      </c>
      <c r="C132" s="731" t="s">
        <v>2680</v>
      </c>
      <c r="D132" s="752" t="s">
        <v>5850</v>
      </c>
      <c r="E132" s="754">
        <v>0</v>
      </c>
    </row>
    <row r="133" spans="1:5" ht="16.3" customHeight="1">
      <c r="A133" s="754" t="s">
        <v>4448</v>
      </c>
      <c r="B133" s="758" t="s">
        <v>5913</v>
      </c>
      <c r="C133" s="731" t="s">
        <v>2680</v>
      </c>
      <c r="D133" s="752" t="s">
        <v>5850</v>
      </c>
      <c r="E133" s="754">
        <v>0</v>
      </c>
    </row>
    <row r="134" spans="1:5" ht="16.3" customHeight="1">
      <c r="A134" s="754" t="s">
        <v>4448</v>
      </c>
      <c r="B134" s="758" t="s">
        <v>5913</v>
      </c>
      <c r="C134" s="731" t="s">
        <v>5737</v>
      </c>
      <c r="D134" s="752" t="s">
        <v>5850</v>
      </c>
      <c r="E134" s="754">
        <v>0</v>
      </c>
    </row>
    <row r="135" spans="1:5" ht="16.3" customHeight="1">
      <c r="A135" s="754" t="s">
        <v>4448</v>
      </c>
      <c r="B135" s="759" t="s">
        <v>5915</v>
      </c>
      <c r="C135" s="731" t="s">
        <v>2680</v>
      </c>
      <c r="D135" s="752" t="s">
        <v>5851</v>
      </c>
      <c r="E135" s="754">
        <v>0</v>
      </c>
    </row>
    <row r="136" spans="1:5" ht="16.3" customHeight="1">
      <c r="A136" s="754" t="s">
        <v>4448</v>
      </c>
      <c r="B136" s="759" t="s">
        <v>5915</v>
      </c>
      <c r="C136" s="731" t="s">
        <v>2749</v>
      </c>
      <c r="D136" s="752" t="s">
        <v>5851</v>
      </c>
      <c r="E136" s="754">
        <v>0</v>
      </c>
    </row>
    <row r="137" spans="1:5" ht="16.3" customHeight="1">
      <c r="A137" s="754" t="s">
        <v>4448</v>
      </c>
      <c r="B137" s="759" t="s">
        <v>5915</v>
      </c>
      <c r="C137" s="731" t="s">
        <v>2680</v>
      </c>
      <c r="D137" s="752" t="s">
        <v>5851</v>
      </c>
      <c r="E137" s="754">
        <v>0</v>
      </c>
    </row>
    <row r="138" spans="1:5" ht="16.3" customHeight="1">
      <c r="A138" s="754" t="s">
        <v>4448</v>
      </c>
      <c r="B138" s="759" t="s">
        <v>5915</v>
      </c>
      <c r="C138" s="731" t="s">
        <v>2680</v>
      </c>
      <c r="D138" s="752" t="s">
        <v>5851</v>
      </c>
      <c r="E138" s="754">
        <v>0</v>
      </c>
    </row>
    <row r="139" spans="1:5" ht="16.3" customHeight="1">
      <c r="A139" s="754" t="s">
        <v>4448</v>
      </c>
      <c r="B139" s="767" t="s">
        <v>5916</v>
      </c>
      <c r="C139" s="731" t="s">
        <v>2680</v>
      </c>
      <c r="D139" s="752" t="s">
        <v>5852</v>
      </c>
      <c r="E139" s="754">
        <v>0</v>
      </c>
    </row>
    <row r="140" spans="1:5" ht="16.3" customHeight="1">
      <c r="A140" s="754" t="s">
        <v>4448</v>
      </c>
      <c r="B140" s="767" t="s">
        <v>5916</v>
      </c>
      <c r="C140" s="731" t="s">
        <v>2750</v>
      </c>
      <c r="D140" s="752" t="s">
        <v>5852</v>
      </c>
      <c r="E140" s="754">
        <v>0</v>
      </c>
    </row>
    <row r="141" spans="1:5" ht="16.3" customHeight="1">
      <c r="A141" s="754" t="s">
        <v>4448</v>
      </c>
      <c r="B141" s="767" t="s">
        <v>5916</v>
      </c>
      <c r="C141" s="731" t="s">
        <v>2751</v>
      </c>
      <c r="D141" s="752" t="s">
        <v>5852</v>
      </c>
      <c r="E141" s="754">
        <v>0</v>
      </c>
    </row>
    <row r="142" spans="1:5" ht="16.3" customHeight="1">
      <c r="A142" s="754" t="s">
        <v>4448</v>
      </c>
      <c r="B142" s="767" t="s">
        <v>5916</v>
      </c>
      <c r="C142" s="731" t="s">
        <v>2680</v>
      </c>
      <c r="D142" s="752" t="s">
        <v>5852</v>
      </c>
      <c r="E142" s="754">
        <v>0</v>
      </c>
    </row>
    <row r="143" spans="1:5" ht="16.3" customHeight="1">
      <c r="A143" s="754" t="s">
        <v>4448</v>
      </c>
      <c r="B143" s="767" t="s">
        <v>5916</v>
      </c>
      <c r="C143" s="731" t="s">
        <v>2680</v>
      </c>
      <c r="D143" s="752" t="s">
        <v>5852</v>
      </c>
      <c r="E143" s="754">
        <v>0</v>
      </c>
    </row>
    <row r="144" spans="1:5" ht="16.3" customHeight="1">
      <c r="A144" s="754" t="s">
        <v>4448</v>
      </c>
      <c r="B144" s="761" t="s">
        <v>5917</v>
      </c>
      <c r="C144" s="731" t="s">
        <v>2680</v>
      </c>
      <c r="D144" s="752" t="s">
        <v>5853</v>
      </c>
      <c r="E144" s="754">
        <v>0</v>
      </c>
    </row>
    <row r="145" spans="1:5" ht="16.3" customHeight="1">
      <c r="A145" s="754" t="s">
        <v>4448</v>
      </c>
      <c r="B145" s="761" t="s">
        <v>5917</v>
      </c>
      <c r="C145" s="731" t="s">
        <v>2752</v>
      </c>
      <c r="D145" s="752" t="s">
        <v>5853</v>
      </c>
      <c r="E145" s="754">
        <v>0</v>
      </c>
    </row>
    <row r="146" spans="1:5" ht="16.3" customHeight="1">
      <c r="A146" s="754" t="s">
        <v>4448</v>
      </c>
      <c r="B146" s="732" t="s">
        <v>5912</v>
      </c>
      <c r="C146" s="731" t="s">
        <v>2754</v>
      </c>
      <c r="D146" s="752" t="s">
        <v>3486</v>
      </c>
      <c r="E146" s="754">
        <v>0</v>
      </c>
    </row>
    <row r="147" spans="1:5" ht="16.3" customHeight="1">
      <c r="A147" s="754" t="s">
        <v>4448</v>
      </c>
      <c r="B147" s="732" t="s">
        <v>5912</v>
      </c>
      <c r="C147" s="731" t="s">
        <v>2680</v>
      </c>
      <c r="D147" s="752" t="s">
        <v>3486</v>
      </c>
      <c r="E147" s="754">
        <v>0</v>
      </c>
    </row>
    <row r="148" spans="1:5" ht="16.3" customHeight="1">
      <c r="A148" s="754" t="s">
        <v>4448</v>
      </c>
      <c r="B148" s="733" t="s">
        <v>5914</v>
      </c>
      <c r="C148" s="731" t="s">
        <v>5738</v>
      </c>
      <c r="D148" s="752" t="s">
        <v>3452</v>
      </c>
      <c r="E148" s="754">
        <v>0</v>
      </c>
    </row>
    <row r="149" spans="1:5" ht="16.3" customHeight="1">
      <c r="A149" s="754" t="s">
        <v>4448</v>
      </c>
      <c r="B149" s="733" t="s">
        <v>5914</v>
      </c>
      <c r="C149" s="731" t="s">
        <v>2680</v>
      </c>
      <c r="D149" s="752" t="s">
        <v>3452</v>
      </c>
      <c r="E149" s="754">
        <v>0</v>
      </c>
    </row>
    <row r="150" spans="1:5" ht="16.3" customHeight="1">
      <c r="A150" s="754" t="s">
        <v>4448</v>
      </c>
      <c r="B150" s="758" t="s">
        <v>5913</v>
      </c>
      <c r="C150" s="731" t="s">
        <v>2680</v>
      </c>
      <c r="D150" s="752" t="s">
        <v>5850</v>
      </c>
      <c r="E150" s="754">
        <v>0</v>
      </c>
    </row>
    <row r="151" spans="1:5" ht="16.3" customHeight="1">
      <c r="A151" s="754" t="s">
        <v>4448</v>
      </c>
      <c r="B151" s="758" t="s">
        <v>5913</v>
      </c>
      <c r="C151" s="731" t="s">
        <v>2755</v>
      </c>
      <c r="D151" s="752" t="s">
        <v>5850</v>
      </c>
      <c r="E151" s="754">
        <v>0</v>
      </c>
    </row>
    <row r="152" spans="1:5" ht="16.3" customHeight="1">
      <c r="A152" s="754" t="s">
        <v>4448</v>
      </c>
      <c r="B152" s="758" t="s">
        <v>5913</v>
      </c>
      <c r="C152" s="731" t="s">
        <v>2680</v>
      </c>
      <c r="D152" s="752" t="s">
        <v>5850</v>
      </c>
      <c r="E152" s="754">
        <v>0</v>
      </c>
    </row>
    <row r="153" spans="1:5" ht="16.3" customHeight="1">
      <c r="A153" s="754" t="s">
        <v>4448</v>
      </c>
      <c r="B153" s="759" t="s">
        <v>5915</v>
      </c>
      <c r="C153" s="731" t="s">
        <v>2680</v>
      </c>
      <c r="D153" s="752" t="s">
        <v>5851</v>
      </c>
      <c r="E153" s="754">
        <v>0</v>
      </c>
    </row>
    <row r="154" spans="1:5" ht="16.3" customHeight="1">
      <c r="A154" s="754" t="s">
        <v>4448</v>
      </c>
      <c r="B154" s="759" t="s">
        <v>5915</v>
      </c>
      <c r="C154" s="731" t="s">
        <v>2756</v>
      </c>
      <c r="D154" s="752" t="s">
        <v>5851</v>
      </c>
      <c r="E154" s="754">
        <v>0</v>
      </c>
    </row>
    <row r="155" spans="1:5" ht="16.3" customHeight="1">
      <c r="A155" s="754" t="s">
        <v>4448</v>
      </c>
      <c r="B155" s="759" t="s">
        <v>5915</v>
      </c>
      <c r="C155" s="731" t="s">
        <v>2680</v>
      </c>
      <c r="D155" s="752" t="s">
        <v>5851</v>
      </c>
      <c r="E155" s="754">
        <v>0</v>
      </c>
    </row>
    <row r="156" spans="1:5" ht="16.3" customHeight="1">
      <c r="A156" s="754" t="s">
        <v>4448</v>
      </c>
      <c r="B156" s="759" t="s">
        <v>5915</v>
      </c>
      <c r="C156" s="731" t="s">
        <v>2757</v>
      </c>
      <c r="D156" s="752" t="s">
        <v>5851</v>
      </c>
      <c r="E156" s="754">
        <v>0</v>
      </c>
    </row>
    <row r="157" spans="1:5" ht="16.3" customHeight="1">
      <c r="A157" s="754" t="s">
        <v>4448</v>
      </c>
      <c r="B157" s="767" t="s">
        <v>5916</v>
      </c>
      <c r="C157" s="731" t="s">
        <v>2680</v>
      </c>
      <c r="D157" s="752" t="s">
        <v>5852</v>
      </c>
      <c r="E157" s="754">
        <v>0</v>
      </c>
    </row>
    <row r="158" spans="1:5" ht="16.3" customHeight="1">
      <c r="A158" s="754" t="s">
        <v>4448</v>
      </c>
      <c r="B158" s="767" t="s">
        <v>5916</v>
      </c>
      <c r="C158" s="731" t="s">
        <v>2680</v>
      </c>
      <c r="D158" s="752" t="s">
        <v>5852</v>
      </c>
      <c r="E158" s="754">
        <v>0</v>
      </c>
    </row>
    <row r="159" spans="1:5" ht="16.3" customHeight="1">
      <c r="A159" s="754" t="s">
        <v>4448</v>
      </c>
      <c r="B159" s="767" t="s">
        <v>5916</v>
      </c>
      <c r="C159" s="731" t="s">
        <v>2680</v>
      </c>
      <c r="D159" s="752" t="s">
        <v>5852</v>
      </c>
      <c r="E159" s="754">
        <v>0</v>
      </c>
    </row>
    <row r="160" spans="1:5" ht="16.3" customHeight="1">
      <c r="A160" s="754" t="s">
        <v>4448</v>
      </c>
      <c r="B160" s="767" t="s">
        <v>5916</v>
      </c>
      <c r="C160" s="731" t="s">
        <v>2680</v>
      </c>
      <c r="D160" s="752" t="s">
        <v>5852</v>
      </c>
      <c r="E160" s="754">
        <v>0</v>
      </c>
    </row>
    <row r="161" spans="1:5" ht="16.3" customHeight="1">
      <c r="A161" s="754" t="s">
        <v>4448</v>
      </c>
      <c r="B161" s="767" t="s">
        <v>5916</v>
      </c>
      <c r="C161" s="731" t="s">
        <v>2758</v>
      </c>
      <c r="D161" s="752" t="s">
        <v>5852</v>
      </c>
      <c r="E161" s="754">
        <v>0</v>
      </c>
    </row>
    <row r="162" spans="1:5" ht="16.3" customHeight="1">
      <c r="A162" s="754" t="s">
        <v>4448</v>
      </c>
      <c r="B162" s="761" t="s">
        <v>5917</v>
      </c>
      <c r="C162" s="731" t="s">
        <v>2680</v>
      </c>
      <c r="D162" s="752" t="s">
        <v>5853</v>
      </c>
      <c r="E162" s="754">
        <v>0</v>
      </c>
    </row>
    <row r="163" spans="1:5" ht="16.3" customHeight="1">
      <c r="A163" s="754" t="s">
        <v>4448</v>
      </c>
      <c r="B163" s="761" t="s">
        <v>5917</v>
      </c>
      <c r="C163" s="731" t="s">
        <v>2680</v>
      </c>
      <c r="D163" s="752" t="s">
        <v>5853</v>
      </c>
      <c r="E163" s="754">
        <v>0</v>
      </c>
    </row>
    <row r="164" spans="1:5" ht="16.3" customHeight="1">
      <c r="A164" s="754" t="s">
        <v>4448</v>
      </c>
      <c r="B164" s="732" t="s">
        <v>5912</v>
      </c>
      <c r="C164" s="731" t="s">
        <v>2760</v>
      </c>
      <c r="D164" s="752" t="s">
        <v>3486</v>
      </c>
      <c r="E164" s="754">
        <v>0</v>
      </c>
    </row>
    <row r="165" spans="1:5" ht="16.3" customHeight="1">
      <c r="A165" s="754" t="s">
        <v>4448</v>
      </c>
      <c r="B165" s="732" t="s">
        <v>5912</v>
      </c>
      <c r="C165" s="731" t="s">
        <v>2680</v>
      </c>
      <c r="D165" s="752" t="s">
        <v>3486</v>
      </c>
      <c r="E165" s="754">
        <v>0</v>
      </c>
    </row>
    <row r="166" spans="1:5" ht="16.3" customHeight="1">
      <c r="A166" s="754" t="s">
        <v>4448</v>
      </c>
      <c r="B166" s="733" t="s">
        <v>5914</v>
      </c>
      <c r="C166" s="731" t="s">
        <v>5739</v>
      </c>
      <c r="D166" s="752" t="s">
        <v>3452</v>
      </c>
      <c r="E166" s="754">
        <v>0</v>
      </c>
    </row>
    <row r="167" spans="1:5" ht="16.3" customHeight="1">
      <c r="A167" s="754" t="s">
        <v>4448</v>
      </c>
      <c r="B167" s="733" t="s">
        <v>5914</v>
      </c>
      <c r="C167" s="731" t="s">
        <v>2680</v>
      </c>
      <c r="D167" s="752" t="s">
        <v>3452</v>
      </c>
      <c r="E167" s="754">
        <v>0</v>
      </c>
    </row>
    <row r="168" spans="1:5" ht="16.3" customHeight="1">
      <c r="A168" s="754" t="s">
        <v>4448</v>
      </c>
      <c r="B168" s="758" t="s">
        <v>5913</v>
      </c>
      <c r="C168" s="731" t="s">
        <v>2761</v>
      </c>
      <c r="D168" s="752" t="s">
        <v>5850</v>
      </c>
      <c r="E168" s="754">
        <v>0</v>
      </c>
    </row>
    <row r="169" spans="1:5" ht="16.3" customHeight="1">
      <c r="A169" s="754" t="s">
        <v>4448</v>
      </c>
      <c r="B169" s="758" t="s">
        <v>5913</v>
      </c>
      <c r="C169" s="731" t="s">
        <v>2762</v>
      </c>
      <c r="D169" s="752" t="s">
        <v>5850</v>
      </c>
      <c r="E169" s="754">
        <v>0</v>
      </c>
    </row>
    <row r="170" spans="1:5" ht="16.3" customHeight="1">
      <c r="A170" s="754" t="s">
        <v>4448</v>
      </c>
      <c r="B170" s="758" t="s">
        <v>5913</v>
      </c>
      <c r="C170" s="731" t="s">
        <v>2680</v>
      </c>
      <c r="D170" s="752" t="s">
        <v>5850</v>
      </c>
      <c r="E170" s="754">
        <v>0</v>
      </c>
    </row>
    <row r="171" spans="1:5" ht="16.3" customHeight="1">
      <c r="A171" s="754" t="s">
        <v>4448</v>
      </c>
      <c r="B171" s="759" t="s">
        <v>5915</v>
      </c>
      <c r="C171" s="731" t="s">
        <v>2763</v>
      </c>
      <c r="D171" s="752" t="s">
        <v>5851</v>
      </c>
      <c r="E171" s="754">
        <v>0</v>
      </c>
    </row>
    <row r="172" spans="1:5" ht="16.3" customHeight="1">
      <c r="A172" s="754" t="s">
        <v>4448</v>
      </c>
      <c r="B172" s="759" t="s">
        <v>5915</v>
      </c>
      <c r="C172" s="731" t="s">
        <v>2680</v>
      </c>
      <c r="D172" s="752" t="s">
        <v>5851</v>
      </c>
      <c r="E172" s="754">
        <v>0</v>
      </c>
    </row>
    <row r="173" spans="1:5" ht="16.3" customHeight="1">
      <c r="A173" s="754" t="s">
        <v>4448</v>
      </c>
      <c r="B173" s="759" t="s">
        <v>5915</v>
      </c>
      <c r="C173" s="731" t="s">
        <v>2680</v>
      </c>
      <c r="D173" s="752" t="s">
        <v>5851</v>
      </c>
      <c r="E173" s="754">
        <v>0</v>
      </c>
    </row>
    <row r="174" spans="1:5" ht="16.3" customHeight="1">
      <c r="A174" s="754" t="s">
        <v>4448</v>
      </c>
      <c r="B174" s="759" t="s">
        <v>5915</v>
      </c>
      <c r="C174" s="731" t="s">
        <v>2680</v>
      </c>
      <c r="D174" s="752" t="s">
        <v>5851</v>
      </c>
      <c r="E174" s="754">
        <v>0</v>
      </c>
    </row>
    <row r="175" spans="1:5" ht="16.3" customHeight="1">
      <c r="A175" s="754" t="s">
        <v>4448</v>
      </c>
      <c r="B175" s="767" t="s">
        <v>5916</v>
      </c>
      <c r="C175" s="731" t="s">
        <v>2764</v>
      </c>
      <c r="D175" s="752" t="s">
        <v>5852</v>
      </c>
      <c r="E175" s="754">
        <v>0</v>
      </c>
    </row>
    <row r="176" spans="1:5" ht="16.3" customHeight="1">
      <c r="A176" s="754" t="s">
        <v>4448</v>
      </c>
      <c r="B176" s="767" t="s">
        <v>5916</v>
      </c>
      <c r="C176" s="731" t="s">
        <v>2765</v>
      </c>
      <c r="D176" s="752" t="s">
        <v>5852</v>
      </c>
      <c r="E176" s="754">
        <v>0</v>
      </c>
    </row>
    <row r="177" spans="1:5" ht="16.3" customHeight="1">
      <c r="A177" s="754" t="s">
        <v>4448</v>
      </c>
      <c r="B177" s="767" t="s">
        <v>5916</v>
      </c>
      <c r="C177" s="731" t="s">
        <v>2766</v>
      </c>
      <c r="D177" s="752" t="s">
        <v>5852</v>
      </c>
      <c r="E177" s="754">
        <v>0</v>
      </c>
    </row>
    <row r="178" spans="1:5" ht="16.3" customHeight="1">
      <c r="A178" s="754" t="s">
        <v>4448</v>
      </c>
      <c r="B178" s="767" t="s">
        <v>5916</v>
      </c>
      <c r="C178" s="731" t="s">
        <v>2767</v>
      </c>
      <c r="D178" s="752" t="s">
        <v>5852</v>
      </c>
      <c r="E178" s="754">
        <v>0</v>
      </c>
    </row>
    <row r="179" spans="1:5" ht="16.3" customHeight="1">
      <c r="A179" s="754" t="s">
        <v>4448</v>
      </c>
      <c r="B179" s="767" t="s">
        <v>5916</v>
      </c>
      <c r="C179" s="731" t="s">
        <v>2680</v>
      </c>
      <c r="D179" s="752" t="s">
        <v>5852</v>
      </c>
      <c r="E179" s="754">
        <v>0</v>
      </c>
    </row>
    <row r="180" spans="1:5" ht="16.3" customHeight="1">
      <c r="A180" s="754" t="s">
        <v>4448</v>
      </c>
      <c r="B180" s="761" t="s">
        <v>5917</v>
      </c>
      <c r="C180" s="731" t="s">
        <v>5740</v>
      </c>
      <c r="D180" s="752" t="s">
        <v>5853</v>
      </c>
      <c r="E180" s="754">
        <v>0</v>
      </c>
    </row>
    <row r="181" spans="1:5" ht="16.3" customHeight="1">
      <c r="A181" s="754" t="s">
        <v>4448</v>
      </c>
      <c r="B181" s="761" t="s">
        <v>5917</v>
      </c>
      <c r="C181" s="731" t="s">
        <v>2680</v>
      </c>
      <c r="D181" s="752" t="s">
        <v>5853</v>
      </c>
      <c r="E181" s="754">
        <v>0</v>
      </c>
    </row>
    <row r="182" spans="1:5" ht="16.3" customHeight="1">
      <c r="A182" s="754" t="s">
        <v>4448</v>
      </c>
      <c r="B182" s="732" t="s">
        <v>5912</v>
      </c>
      <c r="C182" s="731" t="s">
        <v>2769</v>
      </c>
      <c r="D182" s="752" t="s">
        <v>3486</v>
      </c>
      <c r="E182" s="754">
        <v>0</v>
      </c>
    </row>
    <row r="183" spans="1:5" ht="16.3" customHeight="1">
      <c r="A183" s="754" t="s">
        <v>4448</v>
      </c>
      <c r="B183" s="732" t="s">
        <v>5912</v>
      </c>
      <c r="C183" s="731" t="s">
        <v>2680</v>
      </c>
      <c r="D183" s="752" t="s">
        <v>3486</v>
      </c>
      <c r="E183" s="754">
        <v>0</v>
      </c>
    </row>
    <row r="184" spans="1:5" ht="16.3" customHeight="1">
      <c r="A184" s="754" t="s">
        <v>4448</v>
      </c>
      <c r="B184" s="733" t="s">
        <v>5914</v>
      </c>
      <c r="C184" s="731" t="s">
        <v>2680</v>
      </c>
      <c r="D184" s="752" t="s">
        <v>3452</v>
      </c>
      <c r="E184" s="754">
        <v>0</v>
      </c>
    </row>
    <row r="185" spans="1:5" ht="16.3" customHeight="1">
      <c r="A185" s="754" t="s">
        <v>4448</v>
      </c>
      <c r="B185" s="733" t="s">
        <v>5914</v>
      </c>
      <c r="C185" s="731" t="s">
        <v>2680</v>
      </c>
      <c r="D185" s="752" t="s">
        <v>3452</v>
      </c>
      <c r="E185" s="754">
        <v>0</v>
      </c>
    </row>
    <row r="186" spans="1:5" ht="16.3" customHeight="1">
      <c r="A186" s="754" t="s">
        <v>4448</v>
      </c>
      <c r="B186" s="758" t="s">
        <v>5913</v>
      </c>
      <c r="C186" s="731" t="s">
        <v>2770</v>
      </c>
      <c r="D186" s="752" t="s">
        <v>5850</v>
      </c>
      <c r="E186" s="754">
        <v>0</v>
      </c>
    </row>
    <row r="187" spans="1:5" ht="16.3" customHeight="1">
      <c r="A187" s="754" t="s">
        <v>4448</v>
      </c>
      <c r="B187" s="758" t="s">
        <v>5913</v>
      </c>
      <c r="C187" s="731" t="s">
        <v>2680</v>
      </c>
      <c r="D187" s="752" t="s">
        <v>5850</v>
      </c>
      <c r="E187" s="754">
        <v>0</v>
      </c>
    </row>
    <row r="188" spans="1:5" ht="16.3" customHeight="1">
      <c r="A188" s="754" t="s">
        <v>4448</v>
      </c>
      <c r="B188" s="758" t="s">
        <v>5913</v>
      </c>
      <c r="C188" s="731" t="s">
        <v>2680</v>
      </c>
      <c r="D188" s="752" t="s">
        <v>5850</v>
      </c>
      <c r="E188" s="754">
        <v>0</v>
      </c>
    </row>
    <row r="189" spans="1:5" ht="16.3" customHeight="1">
      <c r="A189" s="754" t="s">
        <v>4448</v>
      </c>
      <c r="B189" s="759" t="s">
        <v>5915</v>
      </c>
      <c r="C189" s="731" t="s">
        <v>2771</v>
      </c>
      <c r="D189" s="752" t="s">
        <v>5851</v>
      </c>
      <c r="E189" s="754">
        <v>0</v>
      </c>
    </row>
    <row r="190" spans="1:5" ht="16.3" customHeight="1">
      <c r="A190" s="754" t="s">
        <v>4448</v>
      </c>
      <c r="B190" s="759" t="s">
        <v>5915</v>
      </c>
      <c r="C190" s="731" t="s">
        <v>2680</v>
      </c>
      <c r="D190" s="752" t="s">
        <v>5851</v>
      </c>
      <c r="E190" s="754">
        <v>0</v>
      </c>
    </row>
    <row r="191" spans="1:5" ht="16.3" customHeight="1">
      <c r="A191" s="754" t="s">
        <v>4448</v>
      </c>
      <c r="B191" s="759" t="s">
        <v>5915</v>
      </c>
      <c r="C191" s="731" t="s">
        <v>2680</v>
      </c>
      <c r="D191" s="752" t="s">
        <v>5851</v>
      </c>
      <c r="E191" s="754">
        <v>0</v>
      </c>
    </row>
    <row r="192" spans="1:5" ht="16.3" customHeight="1">
      <c r="A192" s="754" t="s">
        <v>4448</v>
      </c>
      <c r="B192" s="759" t="s">
        <v>5915</v>
      </c>
      <c r="C192" s="731" t="s">
        <v>2680</v>
      </c>
      <c r="D192" s="752" t="s">
        <v>5851</v>
      </c>
      <c r="E192" s="754">
        <v>0</v>
      </c>
    </row>
    <row r="193" spans="1:5" ht="16.3" customHeight="1">
      <c r="A193" s="754" t="s">
        <v>4448</v>
      </c>
      <c r="B193" s="767" t="s">
        <v>5916</v>
      </c>
      <c r="C193" s="731" t="s">
        <v>2772</v>
      </c>
      <c r="D193" s="752" t="s">
        <v>5852</v>
      </c>
      <c r="E193" s="754">
        <v>0</v>
      </c>
    </row>
    <row r="194" spans="1:5" ht="16.3" customHeight="1">
      <c r="A194" s="754" t="s">
        <v>4448</v>
      </c>
      <c r="B194" s="767" t="s">
        <v>5916</v>
      </c>
      <c r="C194" s="731" t="s">
        <v>5741</v>
      </c>
      <c r="D194" s="752" t="s">
        <v>5852</v>
      </c>
      <c r="E194" s="754">
        <v>0</v>
      </c>
    </row>
    <row r="195" spans="1:5" ht="16.3" customHeight="1">
      <c r="A195" s="754" t="s">
        <v>4448</v>
      </c>
      <c r="B195" s="767" t="s">
        <v>5916</v>
      </c>
      <c r="C195" s="731" t="s">
        <v>2680</v>
      </c>
      <c r="D195" s="752" t="s">
        <v>5852</v>
      </c>
      <c r="E195" s="754">
        <v>0</v>
      </c>
    </row>
    <row r="196" spans="1:5" ht="16.3" customHeight="1">
      <c r="A196" s="754" t="s">
        <v>4448</v>
      </c>
      <c r="B196" s="767" t="s">
        <v>5916</v>
      </c>
      <c r="C196" s="731" t="s">
        <v>2680</v>
      </c>
      <c r="D196" s="752" t="s">
        <v>5852</v>
      </c>
      <c r="E196" s="754">
        <v>0</v>
      </c>
    </row>
    <row r="197" spans="1:5" ht="16.3" customHeight="1">
      <c r="A197" s="754" t="s">
        <v>4448</v>
      </c>
      <c r="B197" s="767" t="s">
        <v>5916</v>
      </c>
      <c r="C197" s="731" t="s">
        <v>2680</v>
      </c>
      <c r="D197" s="752" t="s">
        <v>5852</v>
      </c>
      <c r="E197" s="754">
        <v>0</v>
      </c>
    </row>
    <row r="198" spans="1:5" ht="16.3" customHeight="1">
      <c r="A198" s="754" t="s">
        <v>4448</v>
      </c>
      <c r="B198" s="761" t="s">
        <v>5917</v>
      </c>
      <c r="C198" s="731" t="s">
        <v>2680</v>
      </c>
      <c r="D198" s="752" t="s">
        <v>5853</v>
      </c>
      <c r="E198" s="754">
        <v>0</v>
      </c>
    </row>
    <row r="199" spans="1:5" ht="16.3" customHeight="1">
      <c r="A199" s="754" t="s">
        <v>4448</v>
      </c>
      <c r="B199" s="761" t="s">
        <v>5917</v>
      </c>
      <c r="C199" s="731" t="s">
        <v>2680</v>
      </c>
      <c r="D199" s="752" t="s">
        <v>5853</v>
      </c>
      <c r="E199" s="754">
        <v>0</v>
      </c>
    </row>
    <row r="200" spans="1:5" ht="16.3" customHeight="1">
      <c r="A200" s="754" t="s">
        <v>4448</v>
      </c>
      <c r="B200" s="732" t="s">
        <v>5912</v>
      </c>
      <c r="C200" s="731" t="s">
        <v>2774</v>
      </c>
      <c r="D200" s="752" t="s">
        <v>3486</v>
      </c>
      <c r="E200" s="754">
        <v>0</v>
      </c>
    </row>
    <row r="201" spans="1:5" ht="16.3" customHeight="1">
      <c r="A201" s="754" t="s">
        <v>4448</v>
      </c>
      <c r="B201" s="732" t="s">
        <v>5912</v>
      </c>
      <c r="C201" s="731" t="s">
        <v>2775</v>
      </c>
      <c r="D201" s="752" t="s">
        <v>3486</v>
      </c>
      <c r="E201" s="754">
        <v>0</v>
      </c>
    </row>
    <row r="202" spans="1:5" ht="16.3" customHeight="1">
      <c r="A202" s="754" t="s">
        <v>4448</v>
      </c>
      <c r="B202" s="733" t="s">
        <v>5914</v>
      </c>
      <c r="C202" s="731" t="s">
        <v>5742</v>
      </c>
      <c r="D202" s="752" t="s">
        <v>3452</v>
      </c>
      <c r="E202" s="754">
        <v>0</v>
      </c>
    </row>
    <row r="203" spans="1:5" ht="16.3" customHeight="1">
      <c r="A203" s="754" t="s">
        <v>4448</v>
      </c>
      <c r="B203" s="733" t="s">
        <v>5914</v>
      </c>
      <c r="C203" s="731" t="s">
        <v>2680</v>
      </c>
      <c r="D203" s="752" t="s">
        <v>3452</v>
      </c>
      <c r="E203" s="754">
        <v>0</v>
      </c>
    </row>
    <row r="204" spans="1:5" ht="16.3" customHeight="1">
      <c r="A204" s="754" t="s">
        <v>4448</v>
      </c>
      <c r="B204" s="758" t="s">
        <v>5913</v>
      </c>
      <c r="C204" s="731" t="s">
        <v>2776</v>
      </c>
      <c r="D204" s="752" t="s">
        <v>5850</v>
      </c>
      <c r="E204" s="754">
        <v>0</v>
      </c>
    </row>
    <row r="205" spans="1:5" ht="16.3" customHeight="1">
      <c r="A205" s="754" t="s">
        <v>4448</v>
      </c>
      <c r="B205" s="758" t="s">
        <v>5913</v>
      </c>
      <c r="C205" s="731" t="s">
        <v>2777</v>
      </c>
      <c r="D205" s="752" t="s">
        <v>5850</v>
      </c>
      <c r="E205" s="754">
        <v>0</v>
      </c>
    </row>
    <row r="206" spans="1:5" ht="16.3" customHeight="1">
      <c r="A206" s="754" t="s">
        <v>4448</v>
      </c>
      <c r="B206" s="758" t="s">
        <v>5913</v>
      </c>
      <c r="C206" s="731" t="s">
        <v>2680</v>
      </c>
      <c r="D206" s="752" t="s">
        <v>5850</v>
      </c>
      <c r="E206" s="754">
        <v>0</v>
      </c>
    </row>
    <row r="207" spans="1:5" ht="16.3" customHeight="1">
      <c r="A207" s="754" t="s">
        <v>4448</v>
      </c>
      <c r="B207" s="759" t="s">
        <v>5915</v>
      </c>
      <c r="C207" s="731" t="s">
        <v>2778</v>
      </c>
      <c r="D207" s="752" t="s">
        <v>5851</v>
      </c>
      <c r="E207" s="754">
        <v>0</v>
      </c>
    </row>
    <row r="208" spans="1:5" ht="16.3" customHeight="1">
      <c r="A208" s="754" t="s">
        <v>4448</v>
      </c>
      <c r="B208" s="759" t="s">
        <v>5915</v>
      </c>
      <c r="C208" s="731" t="s">
        <v>2779</v>
      </c>
      <c r="D208" s="752" t="s">
        <v>5851</v>
      </c>
      <c r="E208" s="754">
        <v>0</v>
      </c>
    </row>
    <row r="209" spans="1:5" ht="16.3" customHeight="1">
      <c r="A209" s="754" t="s">
        <v>4448</v>
      </c>
      <c r="B209" s="759" t="s">
        <v>5915</v>
      </c>
      <c r="C209" s="731" t="s">
        <v>2680</v>
      </c>
      <c r="D209" s="752" t="s">
        <v>5851</v>
      </c>
      <c r="E209" s="754">
        <v>0</v>
      </c>
    </row>
    <row r="210" spans="1:5" ht="16.3" customHeight="1">
      <c r="A210" s="754" t="s">
        <v>4448</v>
      </c>
      <c r="B210" s="759" t="s">
        <v>5915</v>
      </c>
      <c r="C210" s="731" t="s">
        <v>2680</v>
      </c>
      <c r="D210" s="752" t="s">
        <v>5851</v>
      </c>
      <c r="E210" s="754">
        <v>0</v>
      </c>
    </row>
    <row r="211" spans="1:5" ht="16.3" customHeight="1">
      <c r="A211" s="754" t="s">
        <v>4448</v>
      </c>
      <c r="B211" s="767" t="s">
        <v>5916</v>
      </c>
      <c r="C211" s="731" t="s">
        <v>5743</v>
      </c>
      <c r="D211" s="752" t="s">
        <v>5852</v>
      </c>
      <c r="E211" s="754">
        <v>0</v>
      </c>
    </row>
    <row r="212" spans="1:5" ht="16.3" customHeight="1">
      <c r="A212" s="754" t="s">
        <v>4448</v>
      </c>
      <c r="B212" s="767" t="s">
        <v>5916</v>
      </c>
      <c r="C212" s="731" t="s">
        <v>2680</v>
      </c>
      <c r="D212" s="752" t="s">
        <v>5852</v>
      </c>
      <c r="E212" s="754">
        <v>0</v>
      </c>
    </row>
    <row r="213" spans="1:5" ht="16.3" customHeight="1">
      <c r="A213" s="754" t="s">
        <v>4448</v>
      </c>
      <c r="B213" s="767" t="s">
        <v>5916</v>
      </c>
      <c r="C213" s="731" t="s">
        <v>2780</v>
      </c>
      <c r="D213" s="752" t="s">
        <v>5852</v>
      </c>
      <c r="E213" s="754">
        <v>0</v>
      </c>
    </row>
    <row r="214" spans="1:5" ht="16.3" customHeight="1">
      <c r="A214" s="754" t="s">
        <v>4448</v>
      </c>
      <c r="B214" s="767" t="s">
        <v>5916</v>
      </c>
      <c r="C214" s="731" t="s">
        <v>2680</v>
      </c>
      <c r="D214" s="752" t="s">
        <v>5852</v>
      </c>
      <c r="E214" s="754">
        <v>0</v>
      </c>
    </row>
    <row r="215" spans="1:5" ht="16.3" customHeight="1">
      <c r="A215" s="754" t="s">
        <v>4448</v>
      </c>
      <c r="B215" s="767" t="s">
        <v>5916</v>
      </c>
      <c r="C215" s="731" t="s">
        <v>2680</v>
      </c>
      <c r="D215" s="752" t="s">
        <v>5852</v>
      </c>
      <c r="E215" s="754">
        <v>0</v>
      </c>
    </row>
    <row r="216" spans="1:5" ht="16.3" customHeight="1">
      <c r="A216" s="754" t="s">
        <v>4448</v>
      </c>
      <c r="B216" s="761" t="s">
        <v>5917</v>
      </c>
      <c r="C216" s="731" t="s">
        <v>2781</v>
      </c>
      <c r="D216" s="752" t="s">
        <v>5853</v>
      </c>
      <c r="E216" s="754">
        <v>0</v>
      </c>
    </row>
    <row r="217" spans="1:5" ht="16.3" customHeight="1">
      <c r="A217" s="754" t="s">
        <v>4448</v>
      </c>
      <c r="B217" s="761" t="s">
        <v>5917</v>
      </c>
      <c r="C217" s="731" t="s">
        <v>2782</v>
      </c>
      <c r="D217" s="752" t="s">
        <v>5853</v>
      </c>
      <c r="E217" s="754">
        <v>0</v>
      </c>
    </row>
    <row r="218" spans="1:5" ht="16.3" customHeight="1">
      <c r="A218" s="754" t="s">
        <v>4448</v>
      </c>
      <c r="B218" s="732" t="s">
        <v>5912</v>
      </c>
      <c r="C218" s="731" t="s">
        <v>2785</v>
      </c>
      <c r="D218" s="752" t="s">
        <v>3486</v>
      </c>
      <c r="E218" s="754">
        <v>0</v>
      </c>
    </row>
    <row r="219" spans="1:5" ht="16.3" customHeight="1">
      <c r="A219" s="754" t="s">
        <v>4448</v>
      </c>
      <c r="B219" s="732" t="s">
        <v>5912</v>
      </c>
      <c r="C219" s="731" t="s">
        <v>2680</v>
      </c>
      <c r="D219" s="752" t="s">
        <v>3486</v>
      </c>
      <c r="E219" s="754">
        <v>0</v>
      </c>
    </row>
    <row r="220" spans="1:5" ht="16.3" customHeight="1">
      <c r="A220" s="754" t="s">
        <v>4448</v>
      </c>
      <c r="B220" s="733" t="s">
        <v>5914</v>
      </c>
      <c r="C220" s="731" t="s">
        <v>5744</v>
      </c>
      <c r="D220" s="752" t="s">
        <v>3452</v>
      </c>
      <c r="E220" s="754">
        <v>0</v>
      </c>
    </row>
    <row r="221" spans="1:5" ht="16.3" customHeight="1">
      <c r="A221" s="754" t="s">
        <v>4448</v>
      </c>
      <c r="B221" s="733" t="s">
        <v>5914</v>
      </c>
      <c r="C221" s="731" t="s">
        <v>2680</v>
      </c>
      <c r="D221" s="752" t="s">
        <v>3452</v>
      </c>
      <c r="E221" s="754">
        <v>0</v>
      </c>
    </row>
    <row r="222" spans="1:5" ht="16.3" customHeight="1">
      <c r="A222" s="754" t="s">
        <v>4448</v>
      </c>
      <c r="B222" s="758" t="s">
        <v>5913</v>
      </c>
      <c r="C222" s="731" t="s">
        <v>2786</v>
      </c>
      <c r="D222" s="752" t="s">
        <v>5850</v>
      </c>
      <c r="E222" s="754">
        <v>0</v>
      </c>
    </row>
    <row r="223" spans="1:5" ht="16.3" customHeight="1">
      <c r="A223" s="754" t="s">
        <v>4448</v>
      </c>
      <c r="B223" s="758" t="s">
        <v>5913</v>
      </c>
      <c r="C223" s="731" t="s">
        <v>2787</v>
      </c>
      <c r="D223" s="752" t="s">
        <v>5850</v>
      </c>
      <c r="E223" s="754">
        <v>0</v>
      </c>
    </row>
    <row r="224" spans="1:5" ht="16.3" customHeight="1">
      <c r="A224" s="754" t="s">
        <v>4448</v>
      </c>
      <c r="B224" s="758" t="s">
        <v>5913</v>
      </c>
      <c r="C224" s="731" t="s">
        <v>2680</v>
      </c>
      <c r="D224" s="752" t="s">
        <v>5850</v>
      </c>
      <c r="E224" s="754">
        <v>0</v>
      </c>
    </row>
    <row r="225" spans="1:5" ht="16.3" customHeight="1">
      <c r="A225" s="754" t="s">
        <v>4448</v>
      </c>
      <c r="B225" s="759" t="s">
        <v>5915</v>
      </c>
      <c r="C225" s="731" t="s">
        <v>2788</v>
      </c>
      <c r="D225" s="752" t="s">
        <v>5851</v>
      </c>
      <c r="E225" s="754">
        <v>0</v>
      </c>
    </row>
    <row r="226" spans="1:5" ht="16.3" customHeight="1">
      <c r="A226" s="754" t="s">
        <v>4448</v>
      </c>
      <c r="B226" s="759" t="s">
        <v>5915</v>
      </c>
      <c r="C226" s="731" t="s">
        <v>2680</v>
      </c>
      <c r="D226" s="752" t="s">
        <v>5851</v>
      </c>
      <c r="E226" s="754">
        <v>0</v>
      </c>
    </row>
    <row r="227" spans="1:5" ht="16.3" customHeight="1">
      <c r="A227" s="754" t="s">
        <v>4448</v>
      </c>
      <c r="B227" s="759" t="s">
        <v>5915</v>
      </c>
      <c r="C227" s="731" t="s">
        <v>2680</v>
      </c>
      <c r="D227" s="752" t="s">
        <v>5851</v>
      </c>
      <c r="E227" s="754">
        <v>0</v>
      </c>
    </row>
    <row r="228" spans="1:5" ht="16.3" customHeight="1">
      <c r="A228" s="754" t="s">
        <v>4448</v>
      </c>
      <c r="B228" s="759" t="s">
        <v>5915</v>
      </c>
      <c r="C228" s="731" t="s">
        <v>2680</v>
      </c>
      <c r="D228" s="752" t="s">
        <v>5851</v>
      </c>
      <c r="E228" s="754">
        <v>0</v>
      </c>
    </row>
    <row r="229" spans="1:5" ht="16.3" customHeight="1">
      <c r="A229" s="754" t="s">
        <v>4448</v>
      </c>
      <c r="B229" s="767" t="s">
        <v>5916</v>
      </c>
      <c r="C229" s="731" t="s">
        <v>2789</v>
      </c>
      <c r="D229" s="752" t="s">
        <v>5852</v>
      </c>
      <c r="E229" s="754">
        <v>0</v>
      </c>
    </row>
    <row r="230" spans="1:5" ht="16.3" customHeight="1">
      <c r="A230" s="754" t="s">
        <v>4448</v>
      </c>
      <c r="B230" s="767" t="s">
        <v>5916</v>
      </c>
      <c r="C230" s="731" t="s">
        <v>2680</v>
      </c>
      <c r="D230" s="752" t="s">
        <v>5852</v>
      </c>
      <c r="E230" s="754">
        <v>0</v>
      </c>
    </row>
    <row r="231" spans="1:5" ht="16.3" customHeight="1">
      <c r="A231" s="754" t="s">
        <v>4448</v>
      </c>
      <c r="B231" s="767" t="s">
        <v>5916</v>
      </c>
      <c r="C231" s="731" t="s">
        <v>2680</v>
      </c>
      <c r="D231" s="752" t="s">
        <v>5852</v>
      </c>
      <c r="E231" s="754">
        <v>0</v>
      </c>
    </row>
    <row r="232" spans="1:5" ht="16.3" customHeight="1">
      <c r="A232" s="754" t="s">
        <v>4448</v>
      </c>
      <c r="B232" s="767" t="s">
        <v>5916</v>
      </c>
      <c r="C232" s="731" t="s">
        <v>2680</v>
      </c>
      <c r="D232" s="752" t="s">
        <v>5852</v>
      </c>
      <c r="E232" s="754">
        <v>0</v>
      </c>
    </row>
    <row r="233" spans="1:5" ht="16.3" customHeight="1">
      <c r="A233" s="754" t="s">
        <v>4448</v>
      </c>
      <c r="B233" s="767" t="s">
        <v>5916</v>
      </c>
      <c r="C233" s="731" t="s">
        <v>2680</v>
      </c>
      <c r="D233" s="752" t="s">
        <v>5852</v>
      </c>
      <c r="E233" s="754">
        <v>0</v>
      </c>
    </row>
    <row r="234" spans="1:5" ht="16.3" customHeight="1">
      <c r="A234" s="754" t="s">
        <v>4448</v>
      </c>
      <c r="B234" s="761" t="s">
        <v>5917</v>
      </c>
      <c r="C234" s="731" t="s">
        <v>2680</v>
      </c>
      <c r="D234" s="752" t="s">
        <v>5853</v>
      </c>
      <c r="E234" s="754">
        <v>0</v>
      </c>
    </row>
    <row r="235" spans="1:5" ht="16.3" customHeight="1">
      <c r="A235" s="754" t="s">
        <v>4448</v>
      </c>
      <c r="B235" s="761" t="s">
        <v>5917</v>
      </c>
      <c r="C235" s="731" t="s">
        <v>2680</v>
      </c>
      <c r="D235" s="752" t="s">
        <v>5853</v>
      </c>
      <c r="E235" s="754">
        <v>0</v>
      </c>
    </row>
    <row r="236" spans="1:5" ht="16.3" customHeight="1">
      <c r="A236" s="754" t="s">
        <v>4448</v>
      </c>
      <c r="B236" s="732" t="s">
        <v>5912</v>
      </c>
      <c r="C236" s="731" t="s">
        <v>2791</v>
      </c>
      <c r="D236" s="752" t="s">
        <v>3486</v>
      </c>
      <c r="E236" s="754">
        <v>0</v>
      </c>
    </row>
    <row r="237" spans="1:5" ht="16.3" customHeight="1">
      <c r="A237" s="754" t="s">
        <v>4448</v>
      </c>
      <c r="B237" s="732" t="s">
        <v>5912</v>
      </c>
      <c r="C237" s="731" t="s">
        <v>2680</v>
      </c>
      <c r="D237" s="752" t="s">
        <v>3486</v>
      </c>
      <c r="E237" s="754">
        <v>0</v>
      </c>
    </row>
    <row r="238" spans="1:5" ht="16.3" customHeight="1">
      <c r="A238" s="754" t="s">
        <v>4448</v>
      </c>
      <c r="B238" s="733" t="s">
        <v>5914</v>
      </c>
      <c r="C238" s="731" t="s">
        <v>5745</v>
      </c>
      <c r="D238" s="752" t="s">
        <v>3452</v>
      </c>
      <c r="E238" s="754">
        <v>0</v>
      </c>
    </row>
    <row r="239" spans="1:5" ht="16.3" customHeight="1">
      <c r="A239" s="754" t="s">
        <v>4448</v>
      </c>
      <c r="B239" s="733" t="s">
        <v>5914</v>
      </c>
      <c r="C239" s="731" t="s">
        <v>2680</v>
      </c>
      <c r="D239" s="752" t="s">
        <v>3452</v>
      </c>
      <c r="E239" s="754">
        <v>0</v>
      </c>
    </row>
    <row r="240" spans="1:5" ht="16.3" customHeight="1">
      <c r="A240" s="754" t="s">
        <v>4448</v>
      </c>
      <c r="B240" s="758" t="s">
        <v>5913</v>
      </c>
      <c r="C240" s="731" t="s">
        <v>5746</v>
      </c>
      <c r="D240" s="752" t="s">
        <v>5850</v>
      </c>
      <c r="E240" s="754">
        <v>0</v>
      </c>
    </row>
    <row r="241" spans="1:5" ht="16.3" customHeight="1">
      <c r="A241" s="754" t="s">
        <v>4448</v>
      </c>
      <c r="B241" s="758" t="s">
        <v>5913</v>
      </c>
      <c r="C241" s="731" t="s">
        <v>2792</v>
      </c>
      <c r="D241" s="752" t="s">
        <v>5850</v>
      </c>
      <c r="E241" s="754">
        <v>0</v>
      </c>
    </row>
    <row r="242" spans="1:5" ht="16.3" customHeight="1">
      <c r="A242" s="754" t="s">
        <v>4448</v>
      </c>
      <c r="B242" s="758" t="s">
        <v>5913</v>
      </c>
      <c r="C242" s="731" t="s">
        <v>2680</v>
      </c>
      <c r="D242" s="752" t="s">
        <v>5850</v>
      </c>
      <c r="E242" s="754">
        <v>0</v>
      </c>
    </row>
    <row r="243" spans="1:5" ht="16.3" customHeight="1">
      <c r="A243" s="754" t="s">
        <v>4448</v>
      </c>
      <c r="B243" s="759" t="s">
        <v>5915</v>
      </c>
      <c r="C243" s="731" t="s">
        <v>2793</v>
      </c>
      <c r="D243" s="752" t="s">
        <v>5851</v>
      </c>
      <c r="E243" s="754">
        <v>0</v>
      </c>
    </row>
    <row r="244" spans="1:5" ht="16.3" customHeight="1">
      <c r="A244" s="754" t="s">
        <v>4448</v>
      </c>
      <c r="B244" s="759" t="s">
        <v>5915</v>
      </c>
      <c r="C244" s="731" t="s">
        <v>2680</v>
      </c>
      <c r="D244" s="752" t="s">
        <v>5851</v>
      </c>
      <c r="E244" s="754">
        <v>0</v>
      </c>
    </row>
    <row r="245" spans="1:5" ht="16.3" customHeight="1">
      <c r="A245" s="754" t="s">
        <v>4448</v>
      </c>
      <c r="B245" s="759" t="s">
        <v>5915</v>
      </c>
      <c r="C245" s="731" t="s">
        <v>2680</v>
      </c>
      <c r="D245" s="752" t="s">
        <v>5851</v>
      </c>
      <c r="E245" s="754">
        <v>0</v>
      </c>
    </row>
    <row r="246" spans="1:5" ht="16.3" customHeight="1">
      <c r="A246" s="754" t="s">
        <v>4448</v>
      </c>
      <c r="B246" s="759" t="s">
        <v>5915</v>
      </c>
      <c r="C246" s="731" t="s">
        <v>2680</v>
      </c>
      <c r="D246" s="752" t="s">
        <v>5851</v>
      </c>
      <c r="E246" s="754">
        <v>0</v>
      </c>
    </row>
    <row r="247" spans="1:5" ht="16.3" customHeight="1">
      <c r="A247" s="754" t="s">
        <v>4448</v>
      </c>
      <c r="B247" s="767" t="s">
        <v>5916</v>
      </c>
      <c r="C247" s="731" t="s">
        <v>2794</v>
      </c>
      <c r="D247" s="752" t="s">
        <v>5852</v>
      </c>
      <c r="E247" s="754">
        <v>0</v>
      </c>
    </row>
    <row r="248" spans="1:5" ht="16.3" customHeight="1">
      <c r="A248" s="754" t="s">
        <v>4448</v>
      </c>
      <c r="B248" s="767" t="s">
        <v>5916</v>
      </c>
      <c r="C248" s="731" t="s">
        <v>2680</v>
      </c>
      <c r="D248" s="752" t="s">
        <v>5852</v>
      </c>
      <c r="E248" s="754">
        <v>0</v>
      </c>
    </row>
    <row r="249" spans="1:5" ht="16.3" customHeight="1">
      <c r="A249" s="754" t="s">
        <v>4448</v>
      </c>
      <c r="B249" s="767" t="s">
        <v>5916</v>
      </c>
      <c r="C249" s="731" t="s">
        <v>2680</v>
      </c>
      <c r="D249" s="752" t="s">
        <v>5852</v>
      </c>
      <c r="E249" s="754">
        <v>0</v>
      </c>
    </row>
    <row r="250" spans="1:5" ht="16.3" customHeight="1">
      <c r="A250" s="754" t="s">
        <v>4448</v>
      </c>
      <c r="B250" s="767" t="s">
        <v>5916</v>
      </c>
      <c r="C250" s="731" t="s">
        <v>2680</v>
      </c>
      <c r="D250" s="752" t="s">
        <v>5852</v>
      </c>
      <c r="E250" s="754">
        <v>0</v>
      </c>
    </row>
    <row r="251" spans="1:5" ht="16.3" customHeight="1">
      <c r="A251" s="754" t="s">
        <v>4448</v>
      </c>
      <c r="B251" s="767" t="s">
        <v>5916</v>
      </c>
      <c r="C251" s="731" t="s">
        <v>2680</v>
      </c>
      <c r="D251" s="752" t="s">
        <v>5852</v>
      </c>
      <c r="E251" s="754">
        <v>0</v>
      </c>
    </row>
    <row r="252" spans="1:5" ht="16.3" customHeight="1">
      <c r="A252" s="754" t="s">
        <v>4448</v>
      </c>
      <c r="B252" s="761" t="s">
        <v>5917</v>
      </c>
      <c r="C252" s="731" t="s">
        <v>5747</v>
      </c>
      <c r="D252" s="752" t="s">
        <v>5853</v>
      </c>
      <c r="E252" s="754">
        <v>0</v>
      </c>
    </row>
    <row r="253" spans="1:5" ht="16.3" customHeight="1">
      <c r="A253" s="754" t="s">
        <v>4448</v>
      </c>
      <c r="B253" s="761" t="s">
        <v>5917</v>
      </c>
      <c r="C253" s="731" t="s">
        <v>2680</v>
      </c>
      <c r="D253" s="752" t="s">
        <v>5853</v>
      </c>
      <c r="E253" s="754">
        <v>0</v>
      </c>
    </row>
    <row r="254" spans="1:5" ht="16.3" customHeight="1">
      <c r="A254" s="754" t="s">
        <v>4448</v>
      </c>
      <c r="B254" s="732" t="s">
        <v>5912</v>
      </c>
      <c r="C254" s="731" t="s">
        <v>2796</v>
      </c>
      <c r="D254" s="752" t="s">
        <v>3486</v>
      </c>
      <c r="E254" s="754">
        <v>0</v>
      </c>
    </row>
    <row r="255" spans="1:5" ht="16.3" customHeight="1">
      <c r="A255" s="754" t="s">
        <v>4448</v>
      </c>
      <c r="B255" s="732" t="s">
        <v>5912</v>
      </c>
      <c r="C255" s="731" t="s">
        <v>2797</v>
      </c>
      <c r="D255" s="752" t="s">
        <v>3486</v>
      </c>
      <c r="E255" s="754">
        <v>0</v>
      </c>
    </row>
    <row r="256" spans="1:5" ht="16.3" customHeight="1">
      <c r="A256" s="754" t="s">
        <v>4448</v>
      </c>
      <c r="B256" s="733" t="s">
        <v>5914</v>
      </c>
      <c r="C256" s="731" t="s">
        <v>5748</v>
      </c>
      <c r="D256" s="752" t="s">
        <v>3452</v>
      </c>
      <c r="E256" s="754">
        <v>0</v>
      </c>
    </row>
    <row r="257" spans="1:5" ht="16.3" customHeight="1">
      <c r="A257" s="754" t="s">
        <v>4448</v>
      </c>
      <c r="B257" s="733" t="s">
        <v>5914</v>
      </c>
      <c r="C257" s="731" t="s">
        <v>2680</v>
      </c>
      <c r="D257" s="752" t="s">
        <v>3452</v>
      </c>
      <c r="E257" s="754">
        <v>0</v>
      </c>
    </row>
    <row r="258" spans="1:5" ht="16.3" customHeight="1">
      <c r="A258" s="754" t="s">
        <v>4448</v>
      </c>
      <c r="B258" s="758" t="s">
        <v>5913</v>
      </c>
      <c r="C258" s="731" t="s">
        <v>2798</v>
      </c>
      <c r="D258" s="752" t="s">
        <v>5850</v>
      </c>
      <c r="E258" s="754">
        <v>0</v>
      </c>
    </row>
    <row r="259" spans="1:5" ht="16.3" customHeight="1">
      <c r="A259" s="754" t="s">
        <v>4448</v>
      </c>
      <c r="B259" s="758" t="s">
        <v>5913</v>
      </c>
      <c r="C259" s="731" t="s">
        <v>2799</v>
      </c>
      <c r="D259" s="752" t="s">
        <v>5850</v>
      </c>
      <c r="E259" s="754">
        <v>0</v>
      </c>
    </row>
    <row r="260" spans="1:5" ht="16.3" customHeight="1">
      <c r="A260" s="754" t="s">
        <v>4448</v>
      </c>
      <c r="B260" s="758" t="s">
        <v>5913</v>
      </c>
      <c r="C260" s="731" t="s">
        <v>2800</v>
      </c>
      <c r="D260" s="752" t="s">
        <v>5850</v>
      </c>
      <c r="E260" s="754">
        <v>0</v>
      </c>
    </row>
    <row r="261" spans="1:5" ht="16.3" customHeight="1">
      <c r="A261" s="754" t="s">
        <v>4448</v>
      </c>
      <c r="B261" s="759" t="s">
        <v>5915</v>
      </c>
      <c r="C261" s="731" t="s">
        <v>2801</v>
      </c>
      <c r="D261" s="752" t="s">
        <v>5851</v>
      </c>
      <c r="E261" s="754">
        <v>0</v>
      </c>
    </row>
    <row r="262" spans="1:5" ht="16.3" customHeight="1">
      <c r="A262" s="754" t="s">
        <v>4448</v>
      </c>
      <c r="B262" s="759" t="s">
        <v>5915</v>
      </c>
      <c r="C262" s="731" t="s">
        <v>2802</v>
      </c>
      <c r="D262" s="752" t="s">
        <v>5851</v>
      </c>
      <c r="E262" s="754">
        <v>0</v>
      </c>
    </row>
    <row r="263" spans="1:5" ht="16.3" customHeight="1">
      <c r="A263" s="754" t="s">
        <v>4448</v>
      </c>
      <c r="B263" s="759" t="s">
        <v>5915</v>
      </c>
      <c r="C263" s="731" t="s">
        <v>2680</v>
      </c>
      <c r="D263" s="752" t="s">
        <v>5851</v>
      </c>
      <c r="E263" s="754">
        <v>0</v>
      </c>
    </row>
    <row r="264" spans="1:5" ht="16.3" customHeight="1">
      <c r="A264" s="754" t="s">
        <v>4448</v>
      </c>
      <c r="B264" s="759" t="s">
        <v>5915</v>
      </c>
      <c r="C264" s="731" t="s">
        <v>2680</v>
      </c>
      <c r="D264" s="752" t="s">
        <v>5851</v>
      </c>
      <c r="E264" s="754">
        <v>0</v>
      </c>
    </row>
    <row r="265" spans="1:5" ht="16.3" customHeight="1">
      <c r="A265" s="754" t="s">
        <v>4448</v>
      </c>
      <c r="B265" s="767" t="s">
        <v>5916</v>
      </c>
      <c r="C265" s="731" t="s">
        <v>6556</v>
      </c>
      <c r="D265" s="752" t="s">
        <v>5852</v>
      </c>
      <c r="E265" s="754">
        <v>0</v>
      </c>
    </row>
    <row r="266" spans="1:5" ht="16.3" customHeight="1">
      <c r="A266" s="754" t="s">
        <v>4448</v>
      </c>
      <c r="B266" s="767" t="s">
        <v>5916</v>
      </c>
      <c r="C266" s="731" t="s">
        <v>2803</v>
      </c>
      <c r="D266" s="752" t="s">
        <v>5852</v>
      </c>
      <c r="E266" s="754">
        <v>0</v>
      </c>
    </row>
    <row r="267" spans="1:5" ht="16.3" customHeight="1">
      <c r="A267" s="754" t="s">
        <v>4448</v>
      </c>
      <c r="B267" s="767" t="s">
        <v>5916</v>
      </c>
      <c r="C267" s="731" t="s">
        <v>2680</v>
      </c>
      <c r="D267" s="752" t="s">
        <v>5852</v>
      </c>
      <c r="E267" s="754">
        <v>0</v>
      </c>
    </row>
    <row r="268" spans="1:5" ht="16.3" customHeight="1">
      <c r="A268" s="754" t="s">
        <v>4448</v>
      </c>
      <c r="B268" s="767" t="s">
        <v>5916</v>
      </c>
      <c r="C268" s="731" t="s">
        <v>2680</v>
      </c>
      <c r="D268" s="752" t="s">
        <v>5852</v>
      </c>
      <c r="E268" s="754">
        <v>0</v>
      </c>
    </row>
    <row r="269" spans="1:5" ht="16.3" customHeight="1">
      <c r="A269" s="754" t="s">
        <v>4448</v>
      </c>
      <c r="B269" s="767" t="s">
        <v>5916</v>
      </c>
      <c r="C269" s="731" t="s">
        <v>2680</v>
      </c>
      <c r="D269" s="752" t="s">
        <v>5852</v>
      </c>
      <c r="E269" s="754">
        <v>0</v>
      </c>
    </row>
    <row r="270" spans="1:5" ht="16.3" customHeight="1">
      <c r="A270" s="754" t="s">
        <v>4448</v>
      </c>
      <c r="B270" s="761" t="s">
        <v>5917</v>
      </c>
      <c r="C270" s="731" t="s">
        <v>2804</v>
      </c>
      <c r="D270" s="752" t="s">
        <v>5853</v>
      </c>
      <c r="E270" s="754">
        <v>0</v>
      </c>
    </row>
    <row r="271" spans="1:5" ht="16.3" customHeight="1">
      <c r="A271" s="754" t="s">
        <v>4448</v>
      </c>
      <c r="B271" s="761" t="s">
        <v>5917</v>
      </c>
      <c r="C271" s="731" t="s">
        <v>2680</v>
      </c>
      <c r="D271" s="752" t="s">
        <v>5853</v>
      </c>
      <c r="E271" s="754">
        <v>0</v>
      </c>
    </row>
    <row r="272" spans="1:5" ht="16.3" customHeight="1">
      <c r="A272" s="754" t="s">
        <v>4448</v>
      </c>
      <c r="B272" s="732" t="s">
        <v>5912</v>
      </c>
      <c r="C272" s="731" t="s">
        <v>2806</v>
      </c>
      <c r="D272" s="752" t="s">
        <v>3486</v>
      </c>
      <c r="E272" s="754">
        <v>0</v>
      </c>
    </row>
    <row r="273" spans="1:5" ht="16.3" customHeight="1">
      <c r="A273" s="754" t="s">
        <v>4448</v>
      </c>
      <c r="B273" s="732" t="s">
        <v>5912</v>
      </c>
      <c r="C273" s="731" t="s">
        <v>2680</v>
      </c>
      <c r="D273" s="752" t="s">
        <v>3486</v>
      </c>
      <c r="E273" s="754">
        <v>0</v>
      </c>
    </row>
    <row r="274" spans="1:5" ht="16.3" customHeight="1">
      <c r="A274" s="754" t="s">
        <v>4448</v>
      </c>
      <c r="B274" s="733" t="s">
        <v>5914</v>
      </c>
      <c r="C274" s="731" t="s">
        <v>5749</v>
      </c>
      <c r="D274" s="752" t="s">
        <v>3452</v>
      </c>
      <c r="E274" s="754">
        <v>0</v>
      </c>
    </row>
    <row r="275" spans="1:5" ht="16.3" customHeight="1">
      <c r="A275" s="754" t="s">
        <v>4448</v>
      </c>
      <c r="B275" s="733" t="s">
        <v>5914</v>
      </c>
      <c r="C275" s="731" t="s">
        <v>2680</v>
      </c>
      <c r="D275" s="752" t="s">
        <v>3452</v>
      </c>
      <c r="E275" s="754">
        <v>0</v>
      </c>
    </row>
    <row r="276" spans="1:5" ht="16.3" customHeight="1">
      <c r="A276" s="754" t="s">
        <v>4448</v>
      </c>
      <c r="B276" s="758" t="s">
        <v>5913</v>
      </c>
      <c r="C276" s="731" t="s">
        <v>2807</v>
      </c>
      <c r="D276" s="752" t="s">
        <v>5850</v>
      </c>
      <c r="E276" s="754">
        <v>0</v>
      </c>
    </row>
    <row r="277" spans="1:5" ht="16.3" customHeight="1">
      <c r="A277" s="754" t="s">
        <v>4448</v>
      </c>
      <c r="B277" s="758" t="s">
        <v>5913</v>
      </c>
      <c r="C277" s="731" t="s">
        <v>2808</v>
      </c>
      <c r="D277" s="752" t="s">
        <v>5850</v>
      </c>
      <c r="E277" s="754">
        <v>0</v>
      </c>
    </row>
    <row r="278" spans="1:5" ht="16.3" customHeight="1">
      <c r="A278" s="754" t="s">
        <v>4448</v>
      </c>
      <c r="B278" s="758" t="s">
        <v>5913</v>
      </c>
      <c r="C278" s="731" t="s">
        <v>2680</v>
      </c>
      <c r="D278" s="752" t="s">
        <v>5850</v>
      </c>
      <c r="E278" s="754">
        <v>0</v>
      </c>
    </row>
    <row r="279" spans="1:5" ht="16.3" customHeight="1">
      <c r="A279" s="754" t="s">
        <v>4448</v>
      </c>
      <c r="B279" s="759" t="s">
        <v>5915</v>
      </c>
      <c r="C279" s="731" t="s">
        <v>2809</v>
      </c>
      <c r="D279" s="752" t="s">
        <v>5851</v>
      </c>
      <c r="E279" s="754">
        <v>0</v>
      </c>
    </row>
    <row r="280" spans="1:5" ht="16.3" customHeight="1">
      <c r="A280" s="754" t="s">
        <v>4448</v>
      </c>
      <c r="B280" s="759" t="s">
        <v>5915</v>
      </c>
      <c r="C280" s="731" t="s">
        <v>2810</v>
      </c>
      <c r="D280" s="752" t="s">
        <v>5851</v>
      </c>
      <c r="E280" s="754">
        <v>0</v>
      </c>
    </row>
    <row r="281" spans="1:5" ht="16.3" customHeight="1">
      <c r="A281" s="754" t="s">
        <v>4448</v>
      </c>
      <c r="B281" s="759" t="s">
        <v>5915</v>
      </c>
      <c r="C281" s="731" t="s">
        <v>2680</v>
      </c>
      <c r="D281" s="752" t="s">
        <v>5851</v>
      </c>
      <c r="E281" s="754">
        <v>0</v>
      </c>
    </row>
    <row r="282" spans="1:5" ht="16.3" customHeight="1">
      <c r="A282" s="754" t="s">
        <v>4448</v>
      </c>
      <c r="B282" s="759" t="s">
        <v>5915</v>
      </c>
      <c r="C282" s="731" t="s">
        <v>2680</v>
      </c>
      <c r="D282" s="752" t="s">
        <v>5851</v>
      </c>
      <c r="E282" s="754">
        <v>0</v>
      </c>
    </row>
    <row r="283" spans="1:5" ht="16.3" customHeight="1">
      <c r="A283" s="754" t="s">
        <v>4448</v>
      </c>
      <c r="B283" s="767" t="s">
        <v>5916</v>
      </c>
      <c r="C283" s="731" t="s">
        <v>2811</v>
      </c>
      <c r="D283" s="752" t="s">
        <v>5852</v>
      </c>
      <c r="E283" s="754">
        <v>0</v>
      </c>
    </row>
    <row r="284" spans="1:5" ht="16.3" customHeight="1">
      <c r="A284" s="754" t="s">
        <v>4448</v>
      </c>
      <c r="B284" s="767" t="s">
        <v>5916</v>
      </c>
      <c r="C284" s="731" t="s">
        <v>2680</v>
      </c>
      <c r="D284" s="752" t="s">
        <v>5852</v>
      </c>
      <c r="E284" s="754">
        <v>0</v>
      </c>
    </row>
    <row r="285" spans="1:5" ht="16.3" customHeight="1">
      <c r="A285" s="754" t="s">
        <v>4448</v>
      </c>
      <c r="B285" s="767" t="s">
        <v>5916</v>
      </c>
      <c r="C285" s="731" t="s">
        <v>2680</v>
      </c>
      <c r="D285" s="752" t="s">
        <v>5852</v>
      </c>
      <c r="E285" s="754">
        <v>0</v>
      </c>
    </row>
    <row r="286" spans="1:5" ht="16.3" customHeight="1">
      <c r="A286" s="754" t="s">
        <v>4448</v>
      </c>
      <c r="B286" s="767" t="s">
        <v>5916</v>
      </c>
      <c r="C286" s="731" t="s">
        <v>2680</v>
      </c>
      <c r="D286" s="752" t="s">
        <v>5852</v>
      </c>
      <c r="E286" s="754">
        <v>0</v>
      </c>
    </row>
    <row r="287" spans="1:5" ht="16.3" customHeight="1">
      <c r="A287" s="754" t="s">
        <v>4448</v>
      </c>
      <c r="B287" s="767" t="s">
        <v>5916</v>
      </c>
      <c r="C287" s="731" t="s">
        <v>2680</v>
      </c>
      <c r="D287" s="752" t="s">
        <v>5852</v>
      </c>
      <c r="E287" s="754">
        <v>0</v>
      </c>
    </row>
    <row r="288" spans="1:5" ht="16.3" customHeight="1">
      <c r="A288" s="754" t="s">
        <v>4448</v>
      </c>
      <c r="B288" s="761" t="s">
        <v>5917</v>
      </c>
      <c r="C288" s="731" t="s">
        <v>2680</v>
      </c>
      <c r="D288" s="752" t="s">
        <v>5853</v>
      </c>
      <c r="E288" s="754">
        <v>0</v>
      </c>
    </row>
    <row r="289" spans="1:5" ht="16.3" customHeight="1">
      <c r="A289" s="754" t="s">
        <v>4448</v>
      </c>
      <c r="B289" s="761" t="s">
        <v>5917</v>
      </c>
      <c r="C289" s="736" t="s">
        <v>2812</v>
      </c>
      <c r="D289" s="752" t="s">
        <v>5853</v>
      </c>
      <c r="E289" s="754">
        <v>0</v>
      </c>
    </row>
    <row r="290" spans="1:5" ht="16.3" customHeight="1">
      <c r="A290" s="754" t="s">
        <v>4448</v>
      </c>
      <c r="B290" s="732" t="s">
        <v>5912</v>
      </c>
      <c r="C290" s="731" t="s">
        <v>2814</v>
      </c>
      <c r="D290" s="752" t="s">
        <v>3486</v>
      </c>
      <c r="E290" s="754">
        <v>0</v>
      </c>
    </row>
    <row r="291" spans="1:5" ht="16.3" customHeight="1">
      <c r="A291" s="754" t="s">
        <v>4448</v>
      </c>
      <c r="B291" s="732" t="s">
        <v>5912</v>
      </c>
      <c r="C291" s="731" t="s">
        <v>2815</v>
      </c>
      <c r="D291" s="752" t="s">
        <v>3486</v>
      </c>
      <c r="E291" s="754">
        <v>0</v>
      </c>
    </row>
    <row r="292" spans="1:5" ht="16.3" customHeight="1">
      <c r="A292" s="754" t="s">
        <v>4448</v>
      </c>
      <c r="B292" s="733" t="s">
        <v>5914</v>
      </c>
      <c r="C292" s="731" t="s">
        <v>5750</v>
      </c>
      <c r="D292" s="752" t="s">
        <v>3452</v>
      </c>
      <c r="E292" s="754">
        <v>0</v>
      </c>
    </row>
    <row r="293" spans="1:5" ht="16.3" customHeight="1">
      <c r="A293" s="754" t="s">
        <v>4448</v>
      </c>
      <c r="B293" s="733" t="s">
        <v>5914</v>
      </c>
      <c r="C293" s="731" t="s">
        <v>2680</v>
      </c>
      <c r="D293" s="752" t="s">
        <v>3452</v>
      </c>
      <c r="E293" s="754">
        <v>0</v>
      </c>
    </row>
    <row r="294" spans="1:5" ht="16.3" customHeight="1">
      <c r="A294" s="754" t="s">
        <v>4448</v>
      </c>
      <c r="B294" s="758" t="s">
        <v>5913</v>
      </c>
      <c r="C294" s="731" t="s">
        <v>2816</v>
      </c>
      <c r="D294" s="752" t="s">
        <v>5850</v>
      </c>
      <c r="E294" s="754">
        <v>0</v>
      </c>
    </row>
    <row r="295" spans="1:5" ht="16.3" customHeight="1">
      <c r="A295" s="754" t="s">
        <v>4448</v>
      </c>
      <c r="B295" s="758" t="s">
        <v>5913</v>
      </c>
      <c r="C295" s="731" t="s">
        <v>2817</v>
      </c>
      <c r="D295" s="752" t="s">
        <v>5850</v>
      </c>
      <c r="E295" s="754">
        <v>0</v>
      </c>
    </row>
    <row r="296" spans="1:5" ht="16.3" customHeight="1">
      <c r="A296" s="754" t="s">
        <v>4448</v>
      </c>
      <c r="B296" s="758" t="s">
        <v>5913</v>
      </c>
      <c r="C296" s="731" t="s">
        <v>2818</v>
      </c>
      <c r="D296" s="752" t="s">
        <v>5850</v>
      </c>
      <c r="E296" s="754">
        <v>0</v>
      </c>
    </row>
    <row r="297" spans="1:5" ht="16.3" customHeight="1">
      <c r="A297" s="754" t="s">
        <v>4448</v>
      </c>
      <c r="B297" s="759" t="s">
        <v>5915</v>
      </c>
      <c r="C297" s="731" t="s">
        <v>2819</v>
      </c>
      <c r="D297" s="752" t="s">
        <v>5851</v>
      </c>
      <c r="E297" s="754">
        <v>0</v>
      </c>
    </row>
    <row r="298" spans="1:5" ht="16.3" customHeight="1">
      <c r="A298" s="754" t="s">
        <v>4448</v>
      </c>
      <c r="B298" s="759" t="s">
        <v>5915</v>
      </c>
      <c r="C298" s="731" t="s">
        <v>2820</v>
      </c>
      <c r="D298" s="752" t="s">
        <v>5851</v>
      </c>
      <c r="E298" s="754">
        <v>0</v>
      </c>
    </row>
    <row r="299" spans="1:5" ht="16.3" customHeight="1">
      <c r="A299" s="754" t="s">
        <v>4448</v>
      </c>
      <c r="B299" s="759" t="s">
        <v>5915</v>
      </c>
      <c r="C299" s="731" t="s">
        <v>2821</v>
      </c>
      <c r="D299" s="752" t="s">
        <v>5851</v>
      </c>
      <c r="E299" s="754">
        <v>0</v>
      </c>
    </row>
    <row r="300" spans="1:5" ht="16.3" customHeight="1">
      <c r="A300" s="754" t="s">
        <v>4448</v>
      </c>
      <c r="B300" s="759" t="s">
        <v>5915</v>
      </c>
      <c r="C300" s="731" t="s">
        <v>2680</v>
      </c>
      <c r="D300" s="752" t="s">
        <v>5851</v>
      </c>
      <c r="E300" s="754">
        <v>0</v>
      </c>
    </row>
    <row r="301" spans="1:5" ht="16.3" customHeight="1">
      <c r="A301" s="754" t="s">
        <v>4448</v>
      </c>
      <c r="B301" s="767" t="s">
        <v>5916</v>
      </c>
      <c r="C301" s="731" t="s">
        <v>2822</v>
      </c>
      <c r="D301" s="752" t="s">
        <v>5852</v>
      </c>
      <c r="E301" s="754">
        <v>0</v>
      </c>
    </row>
    <row r="302" spans="1:5" ht="16.3" customHeight="1">
      <c r="A302" s="754" t="s">
        <v>4448</v>
      </c>
      <c r="B302" s="767" t="s">
        <v>5916</v>
      </c>
      <c r="C302" s="736" t="s">
        <v>2823</v>
      </c>
      <c r="D302" s="752" t="s">
        <v>5852</v>
      </c>
      <c r="E302" s="754">
        <v>0</v>
      </c>
    </row>
    <row r="303" spans="1:5" ht="16.3" customHeight="1">
      <c r="A303" s="754" t="s">
        <v>4448</v>
      </c>
      <c r="B303" s="767" t="s">
        <v>5916</v>
      </c>
      <c r="C303" s="731" t="s">
        <v>2824</v>
      </c>
      <c r="D303" s="752" t="s">
        <v>5852</v>
      </c>
      <c r="E303" s="754">
        <v>0</v>
      </c>
    </row>
    <row r="304" spans="1:5" ht="16.3" customHeight="1">
      <c r="A304" s="754" t="s">
        <v>4448</v>
      </c>
      <c r="B304" s="767" t="s">
        <v>5916</v>
      </c>
      <c r="C304" s="731" t="s">
        <v>2825</v>
      </c>
      <c r="D304" s="752" t="s">
        <v>5852</v>
      </c>
      <c r="E304" s="754">
        <v>0</v>
      </c>
    </row>
    <row r="305" spans="1:5" ht="16.3" customHeight="1">
      <c r="A305" s="754" t="s">
        <v>4448</v>
      </c>
      <c r="B305" s="767" t="s">
        <v>5916</v>
      </c>
      <c r="C305" s="731" t="s">
        <v>2680</v>
      </c>
      <c r="D305" s="752" t="s">
        <v>5852</v>
      </c>
      <c r="E305" s="754">
        <v>0</v>
      </c>
    </row>
    <row r="306" spans="1:5" ht="16.3" customHeight="1">
      <c r="A306" s="754" t="s">
        <v>4448</v>
      </c>
      <c r="B306" s="761" t="s">
        <v>5917</v>
      </c>
      <c r="C306" s="731" t="s">
        <v>2826</v>
      </c>
      <c r="D306" s="752" t="s">
        <v>5853</v>
      </c>
      <c r="E306" s="754">
        <v>0</v>
      </c>
    </row>
    <row r="307" spans="1:5" ht="16.3" customHeight="1">
      <c r="A307" s="754" t="s">
        <v>4448</v>
      </c>
      <c r="B307" s="761" t="s">
        <v>5917</v>
      </c>
      <c r="C307" s="731" t="s">
        <v>2827</v>
      </c>
      <c r="D307" s="752" t="s">
        <v>5853</v>
      </c>
      <c r="E307" s="754">
        <v>0</v>
      </c>
    </row>
    <row r="308" spans="1:5" ht="16.3" customHeight="1">
      <c r="A308" s="754" t="s">
        <v>4448</v>
      </c>
      <c r="B308" s="732" t="s">
        <v>5912</v>
      </c>
      <c r="C308" s="731" t="s">
        <v>2829</v>
      </c>
      <c r="D308" s="752" t="s">
        <v>3486</v>
      </c>
      <c r="E308" s="754">
        <v>0</v>
      </c>
    </row>
    <row r="309" spans="1:5" ht="16.3" customHeight="1">
      <c r="A309" s="754" t="s">
        <v>4448</v>
      </c>
      <c r="B309" s="732" t="s">
        <v>5912</v>
      </c>
      <c r="C309" s="731" t="s">
        <v>2680</v>
      </c>
      <c r="D309" s="752" t="s">
        <v>3486</v>
      </c>
      <c r="E309" s="754">
        <v>0</v>
      </c>
    </row>
    <row r="310" spans="1:5" ht="16.3" customHeight="1">
      <c r="A310" s="754" t="s">
        <v>4448</v>
      </c>
      <c r="B310" s="733" t="s">
        <v>5914</v>
      </c>
      <c r="C310" s="731" t="s">
        <v>5751</v>
      </c>
      <c r="D310" s="752" t="s">
        <v>3452</v>
      </c>
      <c r="E310" s="754">
        <v>0</v>
      </c>
    </row>
    <row r="311" spans="1:5" ht="16.3" customHeight="1">
      <c r="A311" s="754" t="s">
        <v>4448</v>
      </c>
      <c r="B311" s="733" t="s">
        <v>5914</v>
      </c>
      <c r="C311" s="731" t="s">
        <v>2680</v>
      </c>
      <c r="D311" s="752" t="s">
        <v>3452</v>
      </c>
      <c r="E311" s="754">
        <v>0</v>
      </c>
    </row>
    <row r="312" spans="1:5" ht="16.3" customHeight="1">
      <c r="A312" s="754" t="s">
        <v>4448</v>
      </c>
      <c r="B312" s="758" t="s">
        <v>5913</v>
      </c>
      <c r="C312" s="731" t="s">
        <v>5752</v>
      </c>
      <c r="D312" s="752" t="s">
        <v>5850</v>
      </c>
      <c r="E312" s="754">
        <v>0</v>
      </c>
    </row>
    <row r="313" spans="1:5" ht="16.3" customHeight="1">
      <c r="A313" s="754" t="s">
        <v>4448</v>
      </c>
      <c r="B313" s="758" t="s">
        <v>5913</v>
      </c>
      <c r="C313" s="731" t="s">
        <v>5753</v>
      </c>
      <c r="D313" s="752" t="s">
        <v>5850</v>
      </c>
      <c r="E313" s="754">
        <v>0</v>
      </c>
    </row>
    <row r="314" spans="1:5" ht="16.3" customHeight="1">
      <c r="A314" s="754" t="s">
        <v>4448</v>
      </c>
      <c r="B314" s="758" t="s">
        <v>5913</v>
      </c>
      <c r="C314" s="731" t="s">
        <v>2680</v>
      </c>
      <c r="D314" s="752" t="s">
        <v>5850</v>
      </c>
      <c r="E314" s="754">
        <v>0</v>
      </c>
    </row>
    <row r="315" spans="1:5" ht="16.3" customHeight="1">
      <c r="A315" s="754" t="s">
        <v>4448</v>
      </c>
      <c r="B315" s="759" t="s">
        <v>5915</v>
      </c>
      <c r="C315" s="731" t="s">
        <v>2830</v>
      </c>
      <c r="D315" s="752" t="s">
        <v>5851</v>
      </c>
      <c r="E315" s="754">
        <v>0</v>
      </c>
    </row>
    <row r="316" spans="1:5" ht="16.3" customHeight="1">
      <c r="A316" s="754" t="s">
        <v>4448</v>
      </c>
      <c r="B316" s="759" t="s">
        <v>5915</v>
      </c>
      <c r="C316" s="731" t="s">
        <v>2831</v>
      </c>
      <c r="D316" s="752" t="s">
        <v>5851</v>
      </c>
      <c r="E316" s="754">
        <v>0</v>
      </c>
    </row>
    <row r="317" spans="1:5" ht="16.3" customHeight="1">
      <c r="A317" s="754" t="s">
        <v>4448</v>
      </c>
      <c r="B317" s="759" t="s">
        <v>5915</v>
      </c>
      <c r="C317" s="731" t="s">
        <v>2680</v>
      </c>
      <c r="D317" s="752" t="s">
        <v>5851</v>
      </c>
      <c r="E317" s="754">
        <v>0</v>
      </c>
    </row>
    <row r="318" spans="1:5" ht="16.3" customHeight="1">
      <c r="A318" s="754" t="s">
        <v>4448</v>
      </c>
      <c r="B318" s="759" t="s">
        <v>5915</v>
      </c>
      <c r="C318" s="731" t="s">
        <v>2680</v>
      </c>
      <c r="D318" s="752" t="s">
        <v>5851</v>
      </c>
      <c r="E318" s="754">
        <v>0</v>
      </c>
    </row>
    <row r="319" spans="1:5" ht="16.3" customHeight="1">
      <c r="A319" s="754" t="s">
        <v>4448</v>
      </c>
      <c r="B319" s="767" t="s">
        <v>5916</v>
      </c>
      <c r="C319" s="731" t="s">
        <v>2832</v>
      </c>
      <c r="D319" s="752" t="s">
        <v>5852</v>
      </c>
      <c r="E319" s="754">
        <v>0</v>
      </c>
    </row>
    <row r="320" spans="1:5" ht="16.3" customHeight="1">
      <c r="A320" s="754" t="s">
        <v>4448</v>
      </c>
      <c r="B320" s="767" t="s">
        <v>5916</v>
      </c>
      <c r="C320" s="731" t="s">
        <v>2833</v>
      </c>
      <c r="D320" s="752" t="s">
        <v>5852</v>
      </c>
      <c r="E320" s="754">
        <v>0</v>
      </c>
    </row>
    <row r="321" spans="1:5" ht="16.3" customHeight="1">
      <c r="A321" s="754" t="s">
        <v>4448</v>
      </c>
      <c r="B321" s="767" t="s">
        <v>5916</v>
      </c>
      <c r="C321" s="731" t="s">
        <v>2834</v>
      </c>
      <c r="D321" s="752" t="s">
        <v>5852</v>
      </c>
      <c r="E321" s="754">
        <v>0</v>
      </c>
    </row>
    <row r="322" spans="1:5" ht="16.3" customHeight="1">
      <c r="A322" s="754" t="s">
        <v>4448</v>
      </c>
      <c r="B322" s="767" t="s">
        <v>5916</v>
      </c>
      <c r="C322" s="731" t="s">
        <v>2680</v>
      </c>
      <c r="D322" s="752" t="s">
        <v>5852</v>
      </c>
      <c r="E322" s="754">
        <v>0</v>
      </c>
    </row>
    <row r="323" spans="1:5" ht="16.3" customHeight="1">
      <c r="A323" s="754" t="s">
        <v>4448</v>
      </c>
      <c r="B323" s="767" t="s">
        <v>5916</v>
      </c>
      <c r="C323" s="731" t="s">
        <v>2680</v>
      </c>
      <c r="D323" s="752" t="s">
        <v>5852</v>
      </c>
      <c r="E323" s="754">
        <v>0</v>
      </c>
    </row>
    <row r="324" spans="1:5" ht="16.3" customHeight="1">
      <c r="A324" s="754" t="s">
        <v>4448</v>
      </c>
      <c r="B324" s="761" t="s">
        <v>5917</v>
      </c>
      <c r="C324" s="731" t="s">
        <v>2835</v>
      </c>
      <c r="D324" s="752" t="s">
        <v>5853</v>
      </c>
      <c r="E324" s="754">
        <v>0</v>
      </c>
    </row>
    <row r="325" spans="1:5" ht="16.3" customHeight="1">
      <c r="A325" s="754" t="s">
        <v>4448</v>
      </c>
      <c r="B325" s="761" t="s">
        <v>5917</v>
      </c>
      <c r="C325" s="731" t="s">
        <v>2680</v>
      </c>
      <c r="D325" s="752" t="s">
        <v>5853</v>
      </c>
      <c r="E325" s="754">
        <v>0</v>
      </c>
    </row>
    <row r="326" spans="1:5" ht="16.3" customHeight="1">
      <c r="A326" s="754" t="s">
        <v>4448</v>
      </c>
      <c r="B326" s="732" t="s">
        <v>5912</v>
      </c>
      <c r="C326" s="731" t="s">
        <v>2838</v>
      </c>
      <c r="D326" s="752" t="s">
        <v>3486</v>
      </c>
      <c r="E326" s="754">
        <v>0</v>
      </c>
    </row>
    <row r="327" spans="1:5" ht="16.3" customHeight="1">
      <c r="A327" s="754" t="s">
        <v>4448</v>
      </c>
      <c r="B327" s="732" t="s">
        <v>5912</v>
      </c>
      <c r="C327" s="731" t="s">
        <v>2680</v>
      </c>
      <c r="D327" s="752" t="s">
        <v>3486</v>
      </c>
      <c r="E327" s="754">
        <v>0</v>
      </c>
    </row>
    <row r="328" spans="1:5" ht="16.3" customHeight="1">
      <c r="A328" s="754" t="s">
        <v>4448</v>
      </c>
      <c r="B328" s="733" t="s">
        <v>5914</v>
      </c>
      <c r="C328" s="731" t="s">
        <v>5754</v>
      </c>
      <c r="D328" s="752" t="s">
        <v>3452</v>
      </c>
      <c r="E328" s="754">
        <v>0</v>
      </c>
    </row>
    <row r="329" spans="1:5" ht="16.3" customHeight="1">
      <c r="A329" s="754" t="s">
        <v>4448</v>
      </c>
      <c r="B329" s="733" t="s">
        <v>5914</v>
      </c>
      <c r="C329" s="731" t="s">
        <v>2680</v>
      </c>
      <c r="D329" s="752" t="s">
        <v>3452</v>
      </c>
      <c r="E329" s="754">
        <v>0</v>
      </c>
    </row>
    <row r="330" spans="1:5" ht="16.3" customHeight="1">
      <c r="A330" s="754" t="s">
        <v>4448</v>
      </c>
      <c r="B330" s="758" t="s">
        <v>5913</v>
      </c>
      <c r="C330" s="731" t="s">
        <v>2839</v>
      </c>
      <c r="D330" s="752" t="s">
        <v>5850</v>
      </c>
      <c r="E330" s="754">
        <v>0</v>
      </c>
    </row>
    <row r="331" spans="1:5" ht="16.3" customHeight="1">
      <c r="A331" s="754" t="s">
        <v>4448</v>
      </c>
      <c r="B331" s="758" t="s">
        <v>5913</v>
      </c>
      <c r="C331" s="731" t="s">
        <v>2840</v>
      </c>
      <c r="D331" s="752" t="s">
        <v>5850</v>
      </c>
      <c r="E331" s="754">
        <v>0</v>
      </c>
    </row>
    <row r="332" spans="1:5" ht="16.3" customHeight="1">
      <c r="A332" s="754" t="s">
        <v>4448</v>
      </c>
      <c r="B332" s="758" t="s">
        <v>5913</v>
      </c>
      <c r="C332" s="731" t="s">
        <v>2680</v>
      </c>
      <c r="D332" s="752" t="s">
        <v>5850</v>
      </c>
      <c r="E332" s="754">
        <v>0</v>
      </c>
    </row>
    <row r="333" spans="1:5" ht="16.3" customHeight="1">
      <c r="A333" s="754" t="s">
        <v>4448</v>
      </c>
      <c r="B333" s="759" t="s">
        <v>5915</v>
      </c>
      <c r="C333" s="731" t="s">
        <v>2841</v>
      </c>
      <c r="D333" s="752" t="s">
        <v>5851</v>
      </c>
      <c r="E333" s="754">
        <v>0</v>
      </c>
    </row>
    <row r="334" spans="1:5" ht="16.3" customHeight="1">
      <c r="A334" s="754" t="s">
        <v>4448</v>
      </c>
      <c r="B334" s="759" t="s">
        <v>5915</v>
      </c>
      <c r="C334" s="731" t="s">
        <v>2842</v>
      </c>
      <c r="D334" s="752" t="s">
        <v>5851</v>
      </c>
      <c r="E334" s="754">
        <v>0</v>
      </c>
    </row>
    <row r="335" spans="1:5" ht="16.3" customHeight="1">
      <c r="A335" s="754" t="s">
        <v>4448</v>
      </c>
      <c r="B335" s="759" t="s">
        <v>5915</v>
      </c>
      <c r="C335" s="731" t="s">
        <v>2680</v>
      </c>
      <c r="D335" s="752" t="s">
        <v>5851</v>
      </c>
      <c r="E335" s="754">
        <v>0</v>
      </c>
    </row>
    <row r="336" spans="1:5" ht="16.3" customHeight="1">
      <c r="A336" s="754" t="s">
        <v>4448</v>
      </c>
      <c r="B336" s="759" t="s">
        <v>5915</v>
      </c>
      <c r="C336" s="731" t="s">
        <v>2680</v>
      </c>
      <c r="D336" s="752" t="s">
        <v>5851</v>
      </c>
      <c r="E336" s="754">
        <v>0</v>
      </c>
    </row>
    <row r="337" spans="1:5" ht="16.3" customHeight="1">
      <c r="A337" s="754" t="s">
        <v>4448</v>
      </c>
      <c r="B337" s="767" t="s">
        <v>5916</v>
      </c>
      <c r="C337" s="731" t="s">
        <v>2843</v>
      </c>
      <c r="D337" s="752" t="s">
        <v>5852</v>
      </c>
      <c r="E337" s="754">
        <v>0</v>
      </c>
    </row>
    <row r="338" spans="1:5" ht="16.3" customHeight="1">
      <c r="A338" s="754" t="s">
        <v>4448</v>
      </c>
      <c r="B338" s="767" t="s">
        <v>5916</v>
      </c>
      <c r="C338" s="731" t="s">
        <v>2844</v>
      </c>
      <c r="D338" s="752" t="s">
        <v>5852</v>
      </c>
      <c r="E338" s="754">
        <v>0</v>
      </c>
    </row>
    <row r="339" spans="1:5" ht="16.3" customHeight="1">
      <c r="A339" s="754" t="s">
        <v>4448</v>
      </c>
      <c r="B339" s="767" t="s">
        <v>5916</v>
      </c>
      <c r="C339" s="731" t="s">
        <v>2845</v>
      </c>
      <c r="D339" s="752" t="s">
        <v>5852</v>
      </c>
      <c r="E339" s="754">
        <v>0</v>
      </c>
    </row>
    <row r="340" spans="1:5" ht="16.3" customHeight="1">
      <c r="A340" s="754" t="s">
        <v>4448</v>
      </c>
      <c r="B340" s="767" t="s">
        <v>5916</v>
      </c>
      <c r="C340" s="731" t="s">
        <v>2680</v>
      </c>
      <c r="D340" s="752" t="s">
        <v>5852</v>
      </c>
      <c r="E340" s="754">
        <v>0</v>
      </c>
    </row>
    <row r="341" spans="1:5" ht="16.3" customHeight="1">
      <c r="A341" s="754" t="s">
        <v>4448</v>
      </c>
      <c r="B341" s="767" t="s">
        <v>5916</v>
      </c>
      <c r="C341" s="731" t="s">
        <v>2680</v>
      </c>
      <c r="D341" s="752" t="s">
        <v>5852</v>
      </c>
      <c r="E341" s="754">
        <v>0</v>
      </c>
    </row>
    <row r="342" spans="1:5" ht="16.3" customHeight="1">
      <c r="A342" s="754" t="s">
        <v>4448</v>
      </c>
      <c r="B342" s="761" t="s">
        <v>5917</v>
      </c>
      <c r="C342" s="731" t="s">
        <v>2846</v>
      </c>
      <c r="D342" s="752" t="s">
        <v>5853</v>
      </c>
      <c r="E342" s="754">
        <v>0</v>
      </c>
    </row>
    <row r="343" spans="1:5" ht="16.3" customHeight="1">
      <c r="A343" s="754" t="s">
        <v>4448</v>
      </c>
      <c r="B343" s="761" t="s">
        <v>5917</v>
      </c>
      <c r="C343" s="731" t="s">
        <v>2680</v>
      </c>
      <c r="D343" s="752" t="s">
        <v>5853</v>
      </c>
      <c r="E343" s="754">
        <v>0</v>
      </c>
    </row>
    <row r="344" spans="1:5" ht="16.3" customHeight="1">
      <c r="A344" s="754" t="s">
        <v>4448</v>
      </c>
      <c r="B344" s="732" t="s">
        <v>5912</v>
      </c>
      <c r="C344" s="731" t="s">
        <v>2848</v>
      </c>
      <c r="D344" s="752" t="s">
        <v>3486</v>
      </c>
      <c r="E344" s="754">
        <v>0</v>
      </c>
    </row>
    <row r="345" spans="1:5" ht="16.3" customHeight="1">
      <c r="A345" s="754" t="s">
        <v>4448</v>
      </c>
      <c r="B345" s="732" t="s">
        <v>5912</v>
      </c>
      <c r="C345" s="731" t="s">
        <v>2849</v>
      </c>
      <c r="D345" s="752" t="s">
        <v>3486</v>
      </c>
      <c r="E345" s="754">
        <v>0</v>
      </c>
    </row>
    <row r="346" spans="1:5" ht="16.3" customHeight="1">
      <c r="A346" s="754" t="s">
        <v>4448</v>
      </c>
      <c r="B346" s="733" t="s">
        <v>5914</v>
      </c>
      <c r="C346" s="731" t="s">
        <v>5755</v>
      </c>
      <c r="D346" s="752" t="s">
        <v>3452</v>
      </c>
      <c r="E346" s="754">
        <v>0</v>
      </c>
    </row>
    <row r="347" spans="1:5" ht="16.3" customHeight="1">
      <c r="A347" s="754" t="s">
        <v>4448</v>
      </c>
      <c r="B347" s="733" t="s">
        <v>5914</v>
      </c>
      <c r="C347" s="731" t="s">
        <v>2680</v>
      </c>
      <c r="D347" s="752" t="s">
        <v>3452</v>
      </c>
      <c r="E347" s="754">
        <v>0</v>
      </c>
    </row>
    <row r="348" spans="1:5" ht="16.3" customHeight="1">
      <c r="A348" s="754" t="s">
        <v>4448</v>
      </c>
      <c r="B348" s="758" t="s">
        <v>5913</v>
      </c>
      <c r="C348" s="731" t="s">
        <v>2850</v>
      </c>
      <c r="D348" s="752" t="s">
        <v>5850</v>
      </c>
      <c r="E348" s="754">
        <v>0</v>
      </c>
    </row>
    <row r="349" spans="1:5" ht="16.3" customHeight="1">
      <c r="A349" s="754" t="s">
        <v>4448</v>
      </c>
      <c r="B349" s="758" t="s">
        <v>5913</v>
      </c>
      <c r="C349" s="731" t="s">
        <v>2851</v>
      </c>
      <c r="D349" s="752" t="s">
        <v>5850</v>
      </c>
      <c r="E349" s="754">
        <v>0</v>
      </c>
    </row>
    <row r="350" spans="1:5" ht="16.3" customHeight="1">
      <c r="A350" s="754" t="s">
        <v>4448</v>
      </c>
      <c r="B350" s="758" t="s">
        <v>5913</v>
      </c>
      <c r="C350" s="731" t="s">
        <v>2680</v>
      </c>
      <c r="D350" s="752" t="s">
        <v>5850</v>
      </c>
      <c r="E350" s="754">
        <v>0</v>
      </c>
    </row>
    <row r="351" spans="1:5" ht="16.3" customHeight="1">
      <c r="A351" s="754" t="s">
        <v>4448</v>
      </c>
      <c r="B351" s="759" t="s">
        <v>5915</v>
      </c>
      <c r="C351" s="731" t="s">
        <v>2852</v>
      </c>
      <c r="D351" s="752" t="s">
        <v>5851</v>
      </c>
      <c r="E351" s="754">
        <v>0</v>
      </c>
    </row>
    <row r="352" spans="1:5" ht="16.3" customHeight="1">
      <c r="A352" s="754" t="s">
        <v>4448</v>
      </c>
      <c r="B352" s="759" t="s">
        <v>5915</v>
      </c>
      <c r="C352" s="731" t="s">
        <v>2853</v>
      </c>
      <c r="D352" s="752" t="s">
        <v>5851</v>
      </c>
      <c r="E352" s="754">
        <v>0</v>
      </c>
    </row>
    <row r="353" spans="1:5" ht="16.3" customHeight="1">
      <c r="A353" s="754" t="s">
        <v>4448</v>
      </c>
      <c r="B353" s="759" t="s">
        <v>5915</v>
      </c>
      <c r="C353" s="731" t="s">
        <v>2680</v>
      </c>
      <c r="D353" s="752" t="s">
        <v>5851</v>
      </c>
      <c r="E353" s="754">
        <v>0</v>
      </c>
    </row>
    <row r="354" spans="1:5" ht="16.3" customHeight="1">
      <c r="A354" s="754" t="s">
        <v>4448</v>
      </c>
      <c r="B354" s="759" t="s">
        <v>5915</v>
      </c>
      <c r="C354" s="731" t="s">
        <v>2680</v>
      </c>
      <c r="D354" s="752" t="s">
        <v>5851</v>
      </c>
      <c r="E354" s="754">
        <v>0</v>
      </c>
    </row>
    <row r="355" spans="1:5" ht="16.3" customHeight="1">
      <c r="A355" s="754" t="s">
        <v>4448</v>
      </c>
      <c r="B355" s="767" t="s">
        <v>5916</v>
      </c>
      <c r="C355" s="731" t="s">
        <v>2854</v>
      </c>
      <c r="D355" s="752" t="s">
        <v>5852</v>
      </c>
      <c r="E355" s="754">
        <v>0</v>
      </c>
    </row>
    <row r="356" spans="1:5" ht="16.3" customHeight="1">
      <c r="A356" s="754" t="s">
        <v>4448</v>
      </c>
      <c r="B356" s="767" t="s">
        <v>5916</v>
      </c>
      <c r="C356" s="731" t="s">
        <v>2855</v>
      </c>
      <c r="D356" s="752" t="s">
        <v>5852</v>
      </c>
      <c r="E356" s="754">
        <v>0</v>
      </c>
    </row>
    <row r="357" spans="1:5" ht="16.3" customHeight="1">
      <c r="A357" s="754" t="s">
        <v>4448</v>
      </c>
      <c r="B357" s="767" t="s">
        <v>5916</v>
      </c>
      <c r="C357" s="731" t="s">
        <v>2856</v>
      </c>
      <c r="D357" s="752" t="s">
        <v>5852</v>
      </c>
      <c r="E357" s="754">
        <v>0</v>
      </c>
    </row>
    <row r="358" spans="1:5" ht="16.3" customHeight="1">
      <c r="A358" s="754" t="s">
        <v>4448</v>
      </c>
      <c r="B358" s="767" t="s">
        <v>5916</v>
      </c>
      <c r="C358" s="731" t="s">
        <v>2680</v>
      </c>
      <c r="D358" s="752" t="s">
        <v>5852</v>
      </c>
      <c r="E358" s="754">
        <v>0</v>
      </c>
    </row>
    <row r="359" spans="1:5" ht="16.3" customHeight="1">
      <c r="A359" s="754" t="s">
        <v>4448</v>
      </c>
      <c r="B359" s="767" t="s">
        <v>5916</v>
      </c>
      <c r="C359" s="731" t="s">
        <v>2680</v>
      </c>
      <c r="D359" s="752" t="s">
        <v>5852</v>
      </c>
      <c r="E359" s="754">
        <v>0</v>
      </c>
    </row>
    <row r="360" spans="1:5" ht="16.3" customHeight="1">
      <c r="A360" s="754" t="s">
        <v>4448</v>
      </c>
      <c r="B360" s="761" t="s">
        <v>5917</v>
      </c>
      <c r="C360" s="731" t="s">
        <v>2857</v>
      </c>
      <c r="D360" s="752" t="s">
        <v>5853</v>
      </c>
      <c r="E360" s="754">
        <v>0</v>
      </c>
    </row>
    <row r="361" spans="1:5" ht="16.3" customHeight="1">
      <c r="A361" s="754" t="s">
        <v>4448</v>
      </c>
      <c r="B361" s="761" t="s">
        <v>5917</v>
      </c>
      <c r="C361" s="731" t="s">
        <v>2858</v>
      </c>
      <c r="D361" s="752" t="s">
        <v>5853</v>
      </c>
      <c r="E361" s="754">
        <v>0</v>
      </c>
    </row>
    <row r="362" spans="1:5" ht="16.3" customHeight="1">
      <c r="A362" s="754" t="s">
        <v>4448</v>
      </c>
      <c r="B362" s="732" t="s">
        <v>5912</v>
      </c>
      <c r="C362" s="731" t="s">
        <v>2861</v>
      </c>
      <c r="D362" s="752" t="s">
        <v>3486</v>
      </c>
      <c r="E362" s="754">
        <v>0</v>
      </c>
    </row>
    <row r="363" spans="1:5" ht="16.3" customHeight="1">
      <c r="A363" s="754" t="s">
        <v>4448</v>
      </c>
      <c r="B363" s="732" t="s">
        <v>5912</v>
      </c>
      <c r="C363" s="731" t="s">
        <v>2680</v>
      </c>
      <c r="D363" s="752" t="s">
        <v>3486</v>
      </c>
      <c r="E363" s="754">
        <v>0</v>
      </c>
    </row>
    <row r="364" spans="1:5" ht="16.3" customHeight="1">
      <c r="A364" s="754" t="s">
        <v>4448</v>
      </c>
      <c r="B364" s="733" t="s">
        <v>5914</v>
      </c>
      <c r="C364" s="731" t="s">
        <v>5756</v>
      </c>
      <c r="D364" s="752" t="s">
        <v>3452</v>
      </c>
      <c r="E364" s="754">
        <v>0</v>
      </c>
    </row>
    <row r="365" spans="1:5" ht="16.3" customHeight="1">
      <c r="A365" s="754" t="s">
        <v>4448</v>
      </c>
      <c r="B365" s="733" t="s">
        <v>5914</v>
      </c>
      <c r="C365" s="731" t="s">
        <v>2680</v>
      </c>
      <c r="D365" s="752" t="s">
        <v>3452</v>
      </c>
      <c r="E365" s="754">
        <v>0</v>
      </c>
    </row>
    <row r="366" spans="1:5" ht="16.3" customHeight="1">
      <c r="A366" s="754" t="s">
        <v>4448</v>
      </c>
      <c r="B366" s="758" t="s">
        <v>5913</v>
      </c>
      <c r="C366" s="731" t="s">
        <v>2680</v>
      </c>
      <c r="D366" s="752" t="s">
        <v>5850</v>
      </c>
      <c r="E366" s="754">
        <v>0</v>
      </c>
    </row>
    <row r="367" spans="1:5" ht="16.3" customHeight="1">
      <c r="A367" s="754" t="s">
        <v>4448</v>
      </c>
      <c r="B367" s="758" t="s">
        <v>5913</v>
      </c>
      <c r="C367" s="731" t="s">
        <v>2862</v>
      </c>
      <c r="D367" s="752" t="s">
        <v>5850</v>
      </c>
      <c r="E367" s="754">
        <v>0</v>
      </c>
    </row>
    <row r="368" spans="1:5" ht="16.3" customHeight="1">
      <c r="A368" s="754" t="s">
        <v>4448</v>
      </c>
      <c r="B368" s="758" t="s">
        <v>5913</v>
      </c>
      <c r="C368" s="731" t="s">
        <v>2680</v>
      </c>
      <c r="D368" s="752" t="s">
        <v>5850</v>
      </c>
      <c r="E368" s="754">
        <v>0</v>
      </c>
    </row>
    <row r="369" spans="1:5" ht="16.3" customHeight="1">
      <c r="A369" s="754" t="s">
        <v>4448</v>
      </c>
      <c r="B369" s="759" t="s">
        <v>5915</v>
      </c>
      <c r="C369" s="731" t="s">
        <v>2863</v>
      </c>
      <c r="D369" s="752" t="s">
        <v>5851</v>
      </c>
      <c r="E369" s="754">
        <v>0</v>
      </c>
    </row>
    <row r="370" spans="1:5" ht="16.3" customHeight="1">
      <c r="A370" s="754" t="s">
        <v>4448</v>
      </c>
      <c r="B370" s="759" t="s">
        <v>5915</v>
      </c>
      <c r="C370" s="731" t="s">
        <v>2680</v>
      </c>
      <c r="D370" s="752" t="s">
        <v>5851</v>
      </c>
      <c r="E370" s="754">
        <v>0</v>
      </c>
    </row>
    <row r="371" spans="1:5" ht="16.3" customHeight="1">
      <c r="A371" s="754" t="s">
        <v>4448</v>
      </c>
      <c r="B371" s="759" t="s">
        <v>5915</v>
      </c>
      <c r="C371" s="731" t="s">
        <v>2680</v>
      </c>
      <c r="D371" s="752" t="s">
        <v>5851</v>
      </c>
      <c r="E371" s="754">
        <v>0</v>
      </c>
    </row>
    <row r="372" spans="1:5" ht="16.3" customHeight="1">
      <c r="A372" s="754" t="s">
        <v>4448</v>
      </c>
      <c r="B372" s="759" t="s">
        <v>5915</v>
      </c>
      <c r="C372" s="731" t="s">
        <v>2680</v>
      </c>
      <c r="D372" s="752" t="s">
        <v>5851</v>
      </c>
      <c r="E372" s="754">
        <v>0</v>
      </c>
    </row>
    <row r="373" spans="1:5" ht="16.3" customHeight="1">
      <c r="A373" s="754" t="s">
        <v>4448</v>
      </c>
      <c r="B373" s="767" t="s">
        <v>5916</v>
      </c>
      <c r="C373" s="731" t="s">
        <v>2864</v>
      </c>
      <c r="D373" s="752" t="s">
        <v>5852</v>
      </c>
      <c r="E373" s="754">
        <v>0</v>
      </c>
    </row>
    <row r="374" spans="1:5" ht="16.3" customHeight="1">
      <c r="A374" s="754" t="s">
        <v>4448</v>
      </c>
      <c r="B374" s="767" t="s">
        <v>5916</v>
      </c>
      <c r="C374" s="731" t="s">
        <v>2680</v>
      </c>
      <c r="D374" s="752" t="s">
        <v>5852</v>
      </c>
      <c r="E374" s="754">
        <v>0</v>
      </c>
    </row>
    <row r="375" spans="1:5" ht="16.3" customHeight="1">
      <c r="A375" s="754" t="s">
        <v>4448</v>
      </c>
      <c r="B375" s="767" t="s">
        <v>5916</v>
      </c>
      <c r="C375" s="731" t="s">
        <v>2680</v>
      </c>
      <c r="D375" s="752" t="s">
        <v>5852</v>
      </c>
      <c r="E375" s="754">
        <v>0</v>
      </c>
    </row>
    <row r="376" spans="1:5" ht="16.3" customHeight="1">
      <c r="A376" s="754" t="s">
        <v>4448</v>
      </c>
      <c r="B376" s="767" t="s">
        <v>5916</v>
      </c>
      <c r="C376" s="731" t="s">
        <v>2680</v>
      </c>
      <c r="D376" s="752" t="s">
        <v>5852</v>
      </c>
      <c r="E376" s="754">
        <v>0</v>
      </c>
    </row>
    <row r="377" spans="1:5" ht="16.3" customHeight="1">
      <c r="A377" s="754" t="s">
        <v>4448</v>
      </c>
      <c r="B377" s="767" t="s">
        <v>5916</v>
      </c>
      <c r="C377" s="731" t="s">
        <v>2680</v>
      </c>
      <c r="D377" s="752" t="s">
        <v>5852</v>
      </c>
      <c r="E377" s="754">
        <v>0</v>
      </c>
    </row>
    <row r="378" spans="1:5" ht="16.3" customHeight="1">
      <c r="A378" s="754" t="s">
        <v>4448</v>
      </c>
      <c r="B378" s="761" t="s">
        <v>5917</v>
      </c>
      <c r="C378" s="731" t="s">
        <v>2680</v>
      </c>
      <c r="D378" s="752" t="s">
        <v>5853</v>
      </c>
      <c r="E378" s="754">
        <v>0</v>
      </c>
    </row>
    <row r="379" spans="1:5" ht="16.3" customHeight="1">
      <c r="A379" s="754" t="s">
        <v>4448</v>
      </c>
      <c r="B379" s="761" t="s">
        <v>5917</v>
      </c>
      <c r="C379" s="731" t="s">
        <v>2680</v>
      </c>
      <c r="D379" s="752" t="s">
        <v>5853</v>
      </c>
      <c r="E379" s="754">
        <v>0</v>
      </c>
    </row>
    <row r="380" spans="1:5" ht="16.3" customHeight="1">
      <c r="A380" s="754" t="s">
        <v>4448</v>
      </c>
      <c r="B380" s="732" t="s">
        <v>5912</v>
      </c>
      <c r="C380" s="731" t="s">
        <v>2866</v>
      </c>
      <c r="D380" s="752" t="s">
        <v>3486</v>
      </c>
      <c r="E380" s="754">
        <v>0</v>
      </c>
    </row>
    <row r="381" spans="1:5" ht="16.3" customHeight="1">
      <c r="A381" s="754" t="s">
        <v>4448</v>
      </c>
      <c r="B381" s="732" t="s">
        <v>5912</v>
      </c>
      <c r="C381" s="731" t="s">
        <v>2680</v>
      </c>
      <c r="D381" s="752" t="s">
        <v>3486</v>
      </c>
      <c r="E381" s="754">
        <v>0</v>
      </c>
    </row>
    <row r="382" spans="1:5" ht="16.3" customHeight="1">
      <c r="A382" s="754" t="s">
        <v>4448</v>
      </c>
      <c r="B382" s="733" t="s">
        <v>5914</v>
      </c>
      <c r="C382" s="731" t="s">
        <v>5757</v>
      </c>
      <c r="D382" s="752" t="s">
        <v>3452</v>
      </c>
      <c r="E382" s="754">
        <v>0</v>
      </c>
    </row>
    <row r="383" spans="1:5" ht="16.3" customHeight="1">
      <c r="A383" s="754" t="s">
        <v>4448</v>
      </c>
      <c r="B383" s="733" t="s">
        <v>5914</v>
      </c>
      <c r="C383" s="731" t="s">
        <v>2680</v>
      </c>
      <c r="D383" s="752" t="s">
        <v>3452</v>
      </c>
      <c r="E383" s="754">
        <v>0</v>
      </c>
    </row>
    <row r="384" spans="1:5" ht="16.3" customHeight="1">
      <c r="A384" s="754" t="s">
        <v>4448</v>
      </c>
      <c r="B384" s="758" t="s">
        <v>5913</v>
      </c>
      <c r="C384" s="731" t="s">
        <v>2867</v>
      </c>
      <c r="D384" s="752" t="s">
        <v>5850</v>
      </c>
      <c r="E384" s="754">
        <v>0</v>
      </c>
    </row>
    <row r="385" spans="1:5" ht="16.3" customHeight="1">
      <c r="A385" s="754" t="s">
        <v>4448</v>
      </c>
      <c r="B385" s="758" t="s">
        <v>5913</v>
      </c>
      <c r="C385" s="731" t="s">
        <v>2680</v>
      </c>
      <c r="D385" s="752" t="s">
        <v>5850</v>
      </c>
      <c r="E385" s="754">
        <v>0</v>
      </c>
    </row>
    <row r="386" spans="1:5" ht="16.3" customHeight="1">
      <c r="A386" s="754" t="s">
        <v>4448</v>
      </c>
      <c r="B386" s="758" t="s">
        <v>5913</v>
      </c>
      <c r="C386" s="731" t="s">
        <v>2680</v>
      </c>
      <c r="D386" s="752" t="s">
        <v>5850</v>
      </c>
      <c r="E386" s="754">
        <v>0</v>
      </c>
    </row>
    <row r="387" spans="1:5" ht="16.3" customHeight="1">
      <c r="A387" s="754" t="s">
        <v>4448</v>
      </c>
      <c r="B387" s="759" t="s">
        <v>5915</v>
      </c>
      <c r="C387" s="731" t="s">
        <v>2680</v>
      </c>
      <c r="D387" s="752" t="s">
        <v>5851</v>
      </c>
      <c r="E387" s="754">
        <v>0</v>
      </c>
    </row>
    <row r="388" spans="1:5" ht="16.3" customHeight="1">
      <c r="A388" s="754" t="s">
        <v>4448</v>
      </c>
      <c r="B388" s="759" t="s">
        <v>5915</v>
      </c>
      <c r="C388" s="731" t="s">
        <v>2680</v>
      </c>
      <c r="D388" s="752" t="s">
        <v>5851</v>
      </c>
      <c r="E388" s="754">
        <v>0</v>
      </c>
    </row>
    <row r="389" spans="1:5" ht="16.3" customHeight="1">
      <c r="A389" s="754" t="s">
        <v>4448</v>
      </c>
      <c r="B389" s="759" t="s">
        <v>5915</v>
      </c>
      <c r="C389" s="731" t="s">
        <v>2868</v>
      </c>
      <c r="D389" s="752" t="s">
        <v>5851</v>
      </c>
      <c r="E389" s="754">
        <v>0</v>
      </c>
    </row>
    <row r="390" spans="1:5" ht="16.3" customHeight="1">
      <c r="A390" s="754" t="s">
        <v>4448</v>
      </c>
      <c r="B390" s="759" t="s">
        <v>5915</v>
      </c>
      <c r="C390" s="731" t="s">
        <v>2680</v>
      </c>
      <c r="D390" s="752" t="s">
        <v>5851</v>
      </c>
      <c r="E390" s="754">
        <v>0</v>
      </c>
    </row>
    <row r="391" spans="1:5" ht="16.3" customHeight="1">
      <c r="A391" s="754" t="s">
        <v>4448</v>
      </c>
      <c r="B391" s="767" t="s">
        <v>5916</v>
      </c>
      <c r="C391" s="731" t="s">
        <v>2680</v>
      </c>
      <c r="D391" s="752" t="s">
        <v>5852</v>
      </c>
      <c r="E391" s="754">
        <v>0</v>
      </c>
    </row>
    <row r="392" spans="1:5" ht="16.3" customHeight="1">
      <c r="A392" s="754" t="s">
        <v>4448</v>
      </c>
      <c r="B392" s="767" t="s">
        <v>5916</v>
      </c>
      <c r="C392" s="731" t="s">
        <v>2680</v>
      </c>
      <c r="D392" s="752" t="s">
        <v>5852</v>
      </c>
      <c r="E392" s="754">
        <v>0</v>
      </c>
    </row>
    <row r="393" spans="1:5" ht="16.3" customHeight="1">
      <c r="A393" s="754" t="s">
        <v>4448</v>
      </c>
      <c r="B393" s="767" t="s">
        <v>5916</v>
      </c>
      <c r="C393" s="731" t="s">
        <v>2869</v>
      </c>
      <c r="D393" s="752" t="s">
        <v>5852</v>
      </c>
      <c r="E393" s="754">
        <v>0</v>
      </c>
    </row>
    <row r="394" spans="1:5" ht="16.3" customHeight="1">
      <c r="A394" s="754" t="s">
        <v>4448</v>
      </c>
      <c r="B394" s="767" t="s">
        <v>5916</v>
      </c>
      <c r="C394" s="731" t="s">
        <v>2870</v>
      </c>
      <c r="D394" s="752" t="s">
        <v>5852</v>
      </c>
      <c r="E394" s="754">
        <v>0</v>
      </c>
    </row>
    <row r="395" spans="1:5" ht="16.3" customHeight="1">
      <c r="A395" s="754" t="s">
        <v>4448</v>
      </c>
      <c r="B395" s="767" t="s">
        <v>5916</v>
      </c>
      <c r="C395" s="731" t="s">
        <v>2680</v>
      </c>
      <c r="D395" s="752" t="s">
        <v>5852</v>
      </c>
      <c r="E395" s="754">
        <v>0</v>
      </c>
    </row>
    <row r="396" spans="1:5" ht="16.3" customHeight="1">
      <c r="A396" s="754" t="s">
        <v>4448</v>
      </c>
      <c r="B396" s="761" t="s">
        <v>5917</v>
      </c>
      <c r="C396" s="731" t="s">
        <v>2871</v>
      </c>
      <c r="D396" s="752" t="s">
        <v>5853</v>
      </c>
      <c r="E396" s="754">
        <v>0</v>
      </c>
    </row>
    <row r="397" spans="1:5" ht="16.3" customHeight="1">
      <c r="A397" s="754" t="s">
        <v>4448</v>
      </c>
      <c r="B397" s="761" t="s">
        <v>5917</v>
      </c>
      <c r="C397" s="731" t="s">
        <v>2680</v>
      </c>
      <c r="D397" s="752" t="s">
        <v>5853</v>
      </c>
      <c r="E397" s="754">
        <v>0</v>
      </c>
    </row>
    <row r="398" spans="1:5" ht="16.3" customHeight="1">
      <c r="A398" s="754" t="s">
        <v>4448</v>
      </c>
      <c r="B398" s="732" t="s">
        <v>5912</v>
      </c>
      <c r="C398" s="731" t="s">
        <v>2873</v>
      </c>
      <c r="D398" s="752" t="s">
        <v>3486</v>
      </c>
      <c r="E398" s="754">
        <v>0</v>
      </c>
    </row>
    <row r="399" spans="1:5" ht="16.3" customHeight="1">
      <c r="A399" s="754" t="s">
        <v>4448</v>
      </c>
      <c r="B399" s="732" t="s">
        <v>5912</v>
      </c>
      <c r="C399" s="731" t="s">
        <v>2680</v>
      </c>
      <c r="D399" s="752" t="s">
        <v>3486</v>
      </c>
      <c r="E399" s="754">
        <v>0</v>
      </c>
    </row>
    <row r="400" spans="1:5" ht="16.3" customHeight="1">
      <c r="A400" s="754" t="s">
        <v>4448</v>
      </c>
      <c r="B400" s="733" t="s">
        <v>5914</v>
      </c>
      <c r="C400" s="731" t="s">
        <v>5758</v>
      </c>
      <c r="D400" s="752" t="s">
        <v>3452</v>
      </c>
      <c r="E400" s="754">
        <v>0</v>
      </c>
    </row>
    <row r="401" spans="1:5" ht="16.3" customHeight="1">
      <c r="A401" s="754" t="s">
        <v>4448</v>
      </c>
      <c r="B401" s="733" t="s">
        <v>5914</v>
      </c>
      <c r="C401" s="731" t="s">
        <v>2680</v>
      </c>
      <c r="D401" s="752" t="s">
        <v>3452</v>
      </c>
      <c r="E401" s="754">
        <v>0</v>
      </c>
    </row>
    <row r="402" spans="1:5" ht="16.3" customHeight="1">
      <c r="A402" s="754" t="s">
        <v>4448</v>
      </c>
      <c r="B402" s="758" t="s">
        <v>5913</v>
      </c>
      <c r="C402" s="731" t="s">
        <v>2874</v>
      </c>
      <c r="D402" s="752" t="s">
        <v>5850</v>
      </c>
      <c r="E402" s="754">
        <v>0</v>
      </c>
    </row>
    <row r="403" spans="1:5" ht="16.3" customHeight="1">
      <c r="A403" s="754" t="s">
        <v>4448</v>
      </c>
      <c r="B403" s="758" t="s">
        <v>5913</v>
      </c>
      <c r="C403" s="731" t="s">
        <v>2875</v>
      </c>
      <c r="D403" s="752" t="s">
        <v>5850</v>
      </c>
      <c r="E403" s="754">
        <v>0</v>
      </c>
    </row>
    <row r="404" spans="1:5" ht="16.3" customHeight="1">
      <c r="A404" s="754" t="s">
        <v>4448</v>
      </c>
      <c r="B404" s="758" t="s">
        <v>5913</v>
      </c>
      <c r="C404" s="731" t="s">
        <v>2680</v>
      </c>
      <c r="D404" s="752" t="s">
        <v>5850</v>
      </c>
      <c r="E404" s="754">
        <v>0</v>
      </c>
    </row>
    <row r="405" spans="1:5" ht="16.3" customHeight="1">
      <c r="A405" s="754" t="s">
        <v>4448</v>
      </c>
      <c r="B405" s="759" t="s">
        <v>5915</v>
      </c>
      <c r="C405" s="731" t="s">
        <v>2876</v>
      </c>
      <c r="D405" s="752" t="s">
        <v>5851</v>
      </c>
      <c r="E405" s="754">
        <v>0</v>
      </c>
    </row>
    <row r="406" spans="1:5" ht="16.3" customHeight="1">
      <c r="A406" s="754" t="s">
        <v>4448</v>
      </c>
      <c r="B406" s="759" t="s">
        <v>5915</v>
      </c>
      <c r="C406" s="731" t="s">
        <v>2877</v>
      </c>
      <c r="D406" s="752" t="s">
        <v>5851</v>
      </c>
      <c r="E406" s="754">
        <v>0</v>
      </c>
    </row>
    <row r="407" spans="1:5" ht="16.3" customHeight="1">
      <c r="A407" s="754" t="s">
        <v>4448</v>
      </c>
      <c r="B407" s="759" t="s">
        <v>5915</v>
      </c>
      <c r="C407" s="731" t="s">
        <v>2680</v>
      </c>
      <c r="D407" s="752" t="s">
        <v>5851</v>
      </c>
      <c r="E407" s="754">
        <v>0</v>
      </c>
    </row>
    <row r="408" spans="1:5" ht="16.3" customHeight="1">
      <c r="A408" s="754" t="s">
        <v>4448</v>
      </c>
      <c r="B408" s="759" t="s">
        <v>5915</v>
      </c>
      <c r="C408" s="731" t="s">
        <v>2680</v>
      </c>
      <c r="D408" s="752" t="s">
        <v>5851</v>
      </c>
      <c r="E408" s="754">
        <v>0</v>
      </c>
    </row>
    <row r="409" spans="1:5" ht="16.3" customHeight="1">
      <c r="A409" s="754" t="s">
        <v>4448</v>
      </c>
      <c r="B409" s="767" t="s">
        <v>5916</v>
      </c>
      <c r="C409" s="731" t="s">
        <v>2878</v>
      </c>
      <c r="D409" s="752" t="s">
        <v>5852</v>
      </c>
      <c r="E409" s="754">
        <v>0</v>
      </c>
    </row>
    <row r="410" spans="1:5" ht="16.3" customHeight="1">
      <c r="A410" s="754" t="s">
        <v>4448</v>
      </c>
      <c r="B410" s="767" t="s">
        <v>5916</v>
      </c>
      <c r="C410" s="731" t="s">
        <v>2879</v>
      </c>
      <c r="D410" s="752" t="s">
        <v>5852</v>
      </c>
      <c r="E410" s="754">
        <v>0</v>
      </c>
    </row>
    <row r="411" spans="1:5" ht="16.3" customHeight="1">
      <c r="A411" s="754" t="s">
        <v>4448</v>
      </c>
      <c r="B411" s="767" t="s">
        <v>5916</v>
      </c>
      <c r="C411" s="731" t="s">
        <v>2880</v>
      </c>
      <c r="D411" s="752" t="s">
        <v>5852</v>
      </c>
      <c r="E411" s="754">
        <v>0</v>
      </c>
    </row>
    <row r="412" spans="1:5" ht="16.3" customHeight="1">
      <c r="A412" s="754" t="s">
        <v>4448</v>
      </c>
      <c r="B412" s="767" t="s">
        <v>5916</v>
      </c>
      <c r="C412" s="731" t="s">
        <v>2881</v>
      </c>
      <c r="D412" s="752" t="s">
        <v>5852</v>
      </c>
      <c r="E412" s="754">
        <v>0</v>
      </c>
    </row>
    <row r="413" spans="1:5" ht="16.3" customHeight="1">
      <c r="A413" s="754" t="s">
        <v>4448</v>
      </c>
      <c r="B413" s="767" t="s">
        <v>5916</v>
      </c>
      <c r="C413" s="731" t="s">
        <v>2882</v>
      </c>
      <c r="D413" s="752" t="s">
        <v>5852</v>
      </c>
      <c r="E413" s="754">
        <v>0</v>
      </c>
    </row>
    <row r="414" spans="1:5" ht="16.3" customHeight="1">
      <c r="A414" s="754" t="s">
        <v>4448</v>
      </c>
      <c r="B414" s="761" t="s">
        <v>5917</v>
      </c>
      <c r="C414" s="731" t="s">
        <v>2883</v>
      </c>
      <c r="D414" s="752" t="s">
        <v>5853</v>
      </c>
      <c r="E414" s="754">
        <v>0</v>
      </c>
    </row>
    <row r="415" spans="1:5" ht="16.3" customHeight="1">
      <c r="A415" s="754" t="s">
        <v>4448</v>
      </c>
      <c r="B415" s="761" t="s">
        <v>5917</v>
      </c>
      <c r="C415" s="731" t="s">
        <v>2680</v>
      </c>
      <c r="D415" s="752" t="s">
        <v>5853</v>
      </c>
      <c r="E415" s="754">
        <v>0</v>
      </c>
    </row>
    <row r="416" spans="1:5" ht="16.3" customHeight="1">
      <c r="A416" s="754" t="s">
        <v>4448</v>
      </c>
      <c r="B416" s="732" t="s">
        <v>5912</v>
      </c>
      <c r="C416" s="731" t="s">
        <v>2886</v>
      </c>
      <c r="D416" s="752" t="s">
        <v>3486</v>
      </c>
      <c r="E416" s="754">
        <v>0</v>
      </c>
    </row>
    <row r="417" spans="1:5" ht="16.3" customHeight="1">
      <c r="A417" s="754" t="s">
        <v>4448</v>
      </c>
      <c r="B417" s="732" t="s">
        <v>5912</v>
      </c>
      <c r="C417" s="731" t="s">
        <v>2680</v>
      </c>
      <c r="D417" s="752" t="s">
        <v>3486</v>
      </c>
      <c r="E417" s="754">
        <v>0</v>
      </c>
    </row>
    <row r="418" spans="1:5" ht="16.3" customHeight="1">
      <c r="A418" s="754" t="s">
        <v>4448</v>
      </c>
      <c r="B418" s="733" t="s">
        <v>5914</v>
      </c>
      <c r="C418" s="731" t="s">
        <v>5759</v>
      </c>
      <c r="D418" s="752" t="s">
        <v>3452</v>
      </c>
      <c r="E418" s="754">
        <v>0</v>
      </c>
    </row>
    <row r="419" spans="1:5" ht="16.3" customHeight="1">
      <c r="A419" s="754" t="s">
        <v>4448</v>
      </c>
      <c r="B419" s="733" t="s">
        <v>5914</v>
      </c>
      <c r="C419" s="731" t="s">
        <v>2680</v>
      </c>
      <c r="D419" s="752" t="s">
        <v>3452</v>
      </c>
      <c r="E419" s="754">
        <v>0</v>
      </c>
    </row>
    <row r="420" spans="1:5" ht="16.3" customHeight="1">
      <c r="A420" s="754" t="s">
        <v>4448</v>
      </c>
      <c r="B420" s="758" t="s">
        <v>5913</v>
      </c>
      <c r="C420" s="731" t="s">
        <v>2887</v>
      </c>
      <c r="D420" s="752" t="s">
        <v>5850</v>
      </c>
      <c r="E420" s="754">
        <v>0</v>
      </c>
    </row>
    <row r="421" spans="1:5" ht="16.3" customHeight="1">
      <c r="A421" s="754" t="s">
        <v>4448</v>
      </c>
      <c r="B421" s="758" t="s">
        <v>5913</v>
      </c>
      <c r="C421" s="731" t="s">
        <v>2888</v>
      </c>
      <c r="D421" s="752" t="s">
        <v>5850</v>
      </c>
      <c r="E421" s="754">
        <v>0</v>
      </c>
    </row>
    <row r="422" spans="1:5" ht="16.3" customHeight="1">
      <c r="A422" s="754" t="s">
        <v>4448</v>
      </c>
      <c r="B422" s="758" t="s">
        <v>5913</v>
      </c>
      <c r="C422" s="731" t="s">
        <v>2680</v>
      </c>
      <c r="D422" s="752" t="s">
        <v>5850</v>
      </c>
      <c r="E422" s="754">
        <v>0</v>
      </c>
    </row>
    <row r="423" spans="1:5" ht="16.3" customHeight="1">
      <c r="A423" s="754" t="s">
        <v>4448</v>
      </c>
      <c r="B423" s="759" t="s">
        <v>5915</v>
      </c>
      <c r="C423" s="731" t="s">
        <v>2889</v>
      </c>
      <c r="D423" s="752" t="s">
        <v>5851</v>
      </c>
      <c r="E423" s="754">
        <v>0</v>
      </c>
    </row>
    <row r="424" spans="1:5" ht="16.3" customHeight="1">
      <c r="A424" s="754" t="s">
        <v>4448</v>
      </c>
      <c r="B424" s="759" t="s">
        <v>5915</v>
      </c>
      <c r="C424" s="736" t="s">
        <v>2890</v>
      </c>
      <c r="D424" s="752" t="s">
        <v>5851</v>
      </c>
      <c r="E424" s="754">
        <v>0</v>
      </c>
    </row>
    <row r="425" spans="1:5" ht="16.3" customHeight="1">
      <c r="A425" s="754" t="s">
        <v>4448</v>
      </c>
      <c r="B425" s="759" t="s">
        <v>5915</v>
      </c>
      <c r="C425" s="731" t="s">
        <v>2891</v>
      </c>
      <c r="D425" s="752" t="s">
        <v>5851</v>
      </c>
      <c r="E425" s="754">
        <v>0</v>
      </c>
    </row>
    <row r="426" spans="1:5" ht="16.3" customHeight="1">
      <c r="A426" s="754" t="s">
        <v>4448</v>
      </c>
      <c r="B426" s="759" t="s">
        <v>5915</v>
      </c>
      <c r="C426" s="731" t="s">
        <v>2680</v>
      </c>
      <c r="D426" s="752" t="s">
        <v>5851</v>
      </c>
      <c r="E426" s="754">
        <v>0</v>
      </c>
    </row>
    <row r="427" spans="1:5" ht="16.3" customHeight="1">
      <c r="A427" s="754" t="s">
        <v>4448</v>
      </c>
      <c r="B427" s="767" t="s">
        <v>5916</v>
      </c>
      <c r="C427" s="731" t="s">
        <v>2892</v>
      </c>
      <c r="D427" s="752" t="s">
        <v>5852</v>
      </c>
      <c r="E427" s="754">
        <v>0</v>
      </c>
    </row>
    <row r="428" spans="1:5" ht="16.3" customHeight="1">
      <c r="A428" s="754" t="s">
        <v>4448</v>
      </c>
      <c r="B428" s="767" t="s">
        <v>5916</v>
      </c>
      <c r="C428" s="731" t="s">
        <v>2893</v>
      </c>
      <c r="D428" s="752" t="s">
        <v>5852</v>
      </c>
      <c r="E428" s="754">
        <v>0</v>
      </c>
    </row>
    <row r="429" spans="1:5" ht="16.3" customHeight="1">
      <c r="A429" s="754" t="s">
        <v>4448</v>
      </c>
      <c r="B429" s="767" t="s">
        <v>5916</v>
      </c>
      <c r="C429" s="731" t="s">
        <v>2894</v>
      </c>
      <c r="D429" s="752" t="s">
        <v>5852</v>
      </c>
      <c r="E429" s="754">
        <v>0</v>
      </c>
    </row>
    <row r="430" spans="1:5" ht="16.3" customHeight="1">
      <c r="A430" s="754" t="s">
        <v>4448</v>
      </c>
      <c r="B430" s="767" t="s">
        <v>5916</v>
      </c>
      <c r="C430" s="731" t="s">
        <v>2680</v>
      </c>
      <c r="D430" s="752" t="s">
        <v>5852</v>
      </c>
      <c r="E430" s="754">
        <v>0</v>
      </c>
    </row>
    <row r="431" spans="1:5" ht="16.3" customHeight="1">
      <c r="A431" s="754" t="s">
        <v>4448</v>
      </c>
      <c r="B431" s="767" t="s">
        <v>5916</v>
      </c>
      <c r="C431" s="731" t="s">
        <v>2680</v>
      </c>
      <c r="D431" s="752" t="s">
        <v>5852</v>
      </c>
      <c r="E431" s="754">
        <v>0</v>
      </c>
    </row>
    <row r="432" spans="1:5" ht="16.3" customHeight="1">
      <c r="A432" s="754" t="s">
        <v>4448</v>
      </c>
      <c r="B432" s="761" t="s">
        <v>5917</v>
      </c>
      <c r="C432" s="731" t="s">
        <v>2895</v>
      </c>
      <c r="D432" s="752" t="s">
        <v>5853</v>
      </c>
      <c r="E432" s="754">
        <v>0</v>
      </c>
    </row>
    <row r="433" spans="1:5" ht="16.3" customHeight="1">
      <c r="A433" s="754" t="s">
        <v>4448</v>
      </c>
      <c r="B433" s="761" t="s">
        <v>5917</v>
      </c>
      <c r="C433" s="731" t="s">
        <v>2680</v>
      </c>
      <c r="D433" s="752" t="s">
        <v>5853</v>
      </c>
      <c r="E433" s="754">
        <v>0</v>
      </c>
    </row>
    <row r="434" spans="1:5" ht="16.3" customHeight="1">
      <c r="A434" s="754" t="s">
        <v>4448</v>
      </c>
      <c r="B434" s="732" t="s">
        <v>5912</v>
      </c>
      <c r="C434" s="731" t="s">
        <v>2897</v>
      </c>
      <c r="D434" s="752" t="s">
        <v>3486</v>
      </c>
      <c r="E434" s="754">
        <v>0</v>
      </c>
    </row>
    <row r="435" spans="1:5" ht="16.3" customHeight="1">
      <c r="A435" s="754" t="s">
        <v>4448</v>
      </c>
      <c r="B435" s="732" t="s">
        <v>5912</v>
      </c>
      <c r="C435" s="731" t="s">
        <v>2680</v>
      </c>
      <c r="D435" s="752" t="s">
        <v>3486</v>
      </c>
      <c r="E435" s="754">
        <v>0</v>
      </c>
    </row>
    <row r="436" spans="1:5" ht="16.3" customHeight="1">
      <c r="A436" s="754" t="s">
        <v>4448</v>
      </c>
      <c r="B436" s="733" t="s">
        <v>5914</v>
      </c>
      <c r="C436" s="731" t="s">
        <v>5760</v>
      </c>
      <c r="D436" s="752" t="s">
        <v>3452</v>
      </c>
      <c r="E436" s="754">
        <v>0</v>
      </c>
    </row>
    <row r="437" spans="1:5" ht="16.3" customHeight="1">
      <c r="A437" s="754" t="s">
        <v>4448</v>
      </c>
      <c r="B437" s="733" t="s">
        <v>5914</v>
      </c>
      <c r="C437" s="731" t="s">
        <v>2680</v>
      </c>
      <c r="D437" s="752" t="s">
        <v>3452</v>
      </c>
      <c r="E437" s="754">
        <v>0</v>
      </c>
    </row>
    <row r="438" spans="1:5" ht="16.3" customHeight="1">
      <c r="A438" s="754" t="s">
        <v>4448</v>
      </c>
      <c r="B438" s="758" t="s">
        <v>5913</v>
      </c>
      <c r="C438" s="731" t="s">
        <v>2898</v>
      </c>
      <c r="D438" s="752" t="s">
        <v>5850</v>
      </c>
      <c r="E438" s="754">
        <v>0</v>
      </c>
    </row>
    <row r="439" spans="1:5" ht="16.3" customHeight="1">
      <c r="A439" s="754" t="s">
        <v>4448</v>
      </c>
      <c r="B439" s="758" t="s">
        <v>5913</v>
      </c>
      <c r="C439" s="731" t="s">
        <v>2899</v>
      </c>
      <c r="D439" s="752" t="s">
        <v>5850</v>
      </c>
      <c r="E439" s="754">
        <v>0</v>
      </c>
    </row>
    <row r="440" spans="1:5" ht="16.3" customHeight="1">
      <c r="A440" s="754" t="s">
        <v>4448</v>
      </c>
      <c r="B440" s="758" t="s">
        <v>5913</v>
      </c>
      <c r="C440" s="731" t="s">
        <v>2680</v>
      </c>
      <c r="D440" s="752" t="s">
        <v>5850</v>
      </c>
      <c r="E440" s="754">
        <v>0</v>
      </c>
    </row>
    <row r="441" spans="1:5" ht="16.3" customHeight="1">
      <c r="A441" s="754" t="s">
        <v>4448</v>
      </c>
      <c r="B441" s="759" t="s">
        <v>5915</v>
      </c>
      <c r="C441" s="731" t="s">
        <v>2900</v>
      </c>
      <c r="D441" s="752" t="s">
        <v>5851</v>
      </c>
      <c r="E441" s="754">
        <v>0</v>
      </c>
    </row>
    <row r="442" spans="1:5" ht="16.3" customHeight="1">
      <c r="A442" s="754" t="s">
        <v>4448</v>
      </c>
      <c r="B442" s="759" t="s">
        <v>5915</v>
      </c>
      <c r="C442" s="731" t="s">
        <v>2901</v>
      </c>
      <c r="D442" s="752" t="s">
        <v>5851</v>
      </c>
      <c r="E442" s="754">
        <v>0</v>
      </c>
    </row>
    <row r="443" spans="1:5" ht="16.3" customHeight="1">
      <c r="A443" s="754" t="s">
        <v>4448</v>
      </c>
      <c r="B443" s="759" t="s">
        <v>5915</v>
      </c>
      <c r="C443" s="731" t="s">
        <v>2680</v>
      </c>
      <c r="D443" s="752" t="s">
        <v>5851</v>
      </c>
      <c r="E443" s="754">
        <v>0</v>
      </c>
    </row>
    <row r="444" spans="1:5" ht="16.3" customHeight="1">
      <c r="A444" s="754" t="s">
        <v>4448</v>
      </c>
      <c r="B444" s="759" t="s">
        <v>5915</v>
      </c>
      <c r="C444" s="731" t="s">
        <v>2680</v>
      </c>
      <c r="D444" s="752" t="s">
        <v>5851</v>
      </c>
      <c r="E444" s="754">
        <v>0</v>
      </c>
    </row>
    <row r="445" spans="1:5" ht="16.3" customHeight="1">
      <c r="A445" s="754" t="s">
        <v>4448</v>
      </c>
      <c r="B445" s="767" t="s">
        <v>5916</v>
      </c>
      <c r="C445" s="731" t="s">
        <v>2902</v>
      </c>
      <c r="D445" s="752" t="s">
        <v>5852</v>
      </c>
      <c r="E445" s="754">
        <v>0</v>
      </c>
    </row>
    <row r="446" spans="1:5" ht="16.3" customHeight="1">
      <c r="A446" s="754" t="s">
        <v>4448</v>
      </c>
      <c r="B446" s="767" t="s">
        <v>5916</v>
      </c>
      <c r="C446" s="731" t="s">
        <v>2903</v>
      </c>
      <c r="D446" s="752" t="s">
        <v>5852</v>
      </c>
      <c r="E446" s="754">
        <v>0</v>
      </c>
    </row>
    <row r="447" spans="1:5" ht="16.3" customHeight="1">
      <c r="A447" s="754" t="s">
        <v>4448</v>
      </c>
      <c r="B447" s="767" t="s">
        <v>5916</v>
      </c>
      <c r="C447" s="731" t="s">
        <v>2904</v>
      </c>
      <c r="D447" s="752" t="s">
        <v>5852</v>
      </c>
      <c r="E447" s="754">
        <v>0</v>
      </c>
    </row>
    <row r="448" spans="1:5" ht="16.3" customHeight="1">
      <c r="A448" s="754" t="s">
        <v>4448</v>
      </c>
      <c r="B448" s="767" t="s">
        <v>5916</v>
      </c>
      <c r="C448" s="731" t="s">
        <v>2905</v>
      </c>
      <c r="D448" s="752" t="s">
        <v>5852</v>
      </c>
      <c r="E448" s="754">
        <v>0</v>
      </c>
    </row>
    <row r="449" spans="1:5" ht="16.3" customHeight="1">
      <c r="A449" s="754" t="s">
        <v>4448</v>
      </c>
      <c r="B449" s="767" t="s">
        <v>5916</v>
      </c>
      <c r="C449" s="731" t="s">
        <v>2680</v>
      </c>
      <c r="D449" s="752" t="s">
        <v>5852</v>
      </c>
      <c r="E449" s="754">
        <v>0</v>
      </c>
    </row>
    <row r="450" spans="1:5" ht="16.3" customHeight="1">
      <c r="A450" s="754" t="s">
        <v>4448</v>
      </c>
      <c r="B450" s="761" t="s">
        <v>5917</v>
      </c>
      <c r="C450" s="731" t="s">
        <v>2906</v>
      </c>
      <c r="D450" s="752" t="s">
        <v>5853</v>
      </c>
      <c r="E450" s="754">
        <v>0</v>
      </c>
    </row>
    <row r="451" spans="1:5" ht="16.3" customHeight="1">
      <c r="A451" s="754" t="s">
        <v>4448</v>
      </c>
      <c r="B451" s="761" t="s">
        <v>5917</v>
      </c>
      <c r="C451" s="731" t="s">
        <v>2907</v>
      </c>
      <c r="D451" s="752" t="s">
        <v>5853</v>
      </c>
      <c r="E451" s="754">
        <v>0</v>
      </c>
    </row>
    <row r="452" spans="1:5" ht="16.3" customHeight="1">
      <c r="A452" s="754" t="s">
        <v>4448</v>
      </c>
      <c r="B452" s="732" t="s">
        <v>5912</v>
      </c>
      <c r="C452" s="731" t="s">
        <v>2909</v>
      </c>
      <c r="D452" s="752" t="s">
        <v>3486</v>
      </c>
      <c r="E452" s="754">
        <v>0</v>
      </c>
    </row>
    <row r="453" spans="1:5" ht="16.3" customHeight="1">
      <c r="A453" s="754" t="s">
        <v>4448</v>
      </c>
      <c r="B453" s="732" t="s">
        <v>5912</v>
      </c>
      <c r="C453" s="731" t="s">
        <v>2910</v>
      </c>
      <c r="D453" s="752" t="s">
        <v>3486</v>
      </c>
      <c r="E453" s="754">
        <v>0</v>
      </c>
    </row>
    <row r="454" spans="1:5" ht="16.3" customHeight="1">
      <c r="A454" s="754" t="s">
        <v>4448</v>
      </c>
      <c r="B454" s="733" t="s">
        <v>5914</v>
      </c>
      <c r="C454" s="731" t="s">
        <v>5761</v>
      </c>
      <c r="D454" s="752" t="s">
        <v>3452</v>
      </c>
      <c r="E454" s="754">
        <v>0</v>
      </c>
    </row>
    <row r="455" spans="1:5" ht="16.3" customHeight="1">
      <c r="A455" s="754" t="s">
        <v>4448</v>
      </c>
      <c r="B455" s="733" t="s">
        <v>5914</v>
      </c>
      <c r="C455" s="731" t="s">
        <v>2680</v>
      </c>
      <c r="D455" s="752" t="s">
        <v>3452</v>
      </c>
      <c r="E455" s="754">
        <v>0</v>
      </c>
    </row>
    <row r="456" spans="1:5" ht="16.3" customHeight="1">
      <c r="A456" s="754" t="s">
        <v>4448</v>
      </c>
      <c r="B456" s="758" t="s">
        <v>5913</v>
      </c>
      <c r="C456" s="731" t="s">
        <v>2911</v>
      </c>
      <c r="D456" s="752" t="s">
        <v>5850</v>
      </c>
      <c r="E456" s="754">
        <v>0</v>
      </c>
    </row>
    <row r="457" spans="1:5" ht="16.3" customHeight="1">
      <c r="A457" s="754" t="s">
        <v>4448</v>
      </c>
      <c r="B457" s="758" t="s">
        <v>5913</v>
      </c>
      <c r="C457" s="731" t="s">
        <v>2912</v>
      </c>
      <c r="D457" s="752" t="s">
        <v>5850</v>
      </c>
      <c r="E457" s="754">
        <v>0</v>
      </c>
    </row>
    <row r="458" spans="1:5" ht="16.3" customHeight="1">
      <c r="A458" s="754" t="s">
        <v>4448</v>
      </c>
      <c r="B458" s="758" t="s">
        <v>5913</v>
      </c>
      <c r="C458" s="731" t="s">
        <v>2680</v>
      </c>
      <c r="D458" s="752" t="s">
        <v>5850</v>
      </c>
      <c r="E458" s="754">
        <v>0</v>
      </c>
    </row>
    <row r="459" spans="1:5" ht="16.3" customHeight="1">
      <c r="A459" s="754" t="s">
        <v>4448</v>
      </c>
      <c r="B459" s="759" t="s">
        <v>5915</v>
      </c>
      <c r="C459" s="731" t="s">
        <v>2913</v>
      </c>
      <c r="D459" s="752" t="s">
        <v>5851</v>
      </c>
      <c r="E459" s="754">
        <v>0</v>
      </c>
    </row>
    <row r="460" spans="1:5" ht="16.3" customHeight="1">
      <c r="A460" s="754" t="s">
        <v>4448</v>
      </c>
      <c r="B460" s="759" t="s">
        <v>5915</v>
      </c>
      <c r="C460" s="731" t="s">
        <v>2914</v>
      </c>
      <c r="D460" s="752" t="s">
        <v>5851</v>
      </c>
      <c r="E460" s="754">
        <v>0</v>
      </c>
    </row>
    <row r="461" spans="1:5" ht="16.3" customHeight="1">
      <c r="A461" s="754" t="s">
        <v>4448</v>
      </c>
      <c r="B461" s="759" t="s">
        <v>5915</v>
      </c>
      <c r="C461" s="731" t="s">
        <v>2915</v>
      </c>
      <c r="D461" s="752" t="s">
        <v>5851</v>
      </c>
      <c r="E461" s="754">
        <v>0</v>
      </c>
    </row>
    <row r="462" spans="1:5" ht="16.3" customHeight="1">
      <c r="A462" s="754" t="s">
        <v>4448</v>
      </c>
      <c r="B462" s="759" t="s">
        <v>5915</v>
      </c>
      <c r="C462" s="731" t="s">
        <v>2680</v>
      </c>
      <c r="D462" s="752" t="s">
        <v>5851</v>
      </c>
      <c r="E462" s="754">
        <v>0</v>
      </c>
    </row>
    <row r="463" spans="1:5" ht="16.3" customHeight="1">
      <c r="A463" s="754" t="s">
        <v>4448</v>
      </c>
      <c r="B463" s="767" t="s">
        <v>5916</v>
      </c>
      <c r="C463" s="731" t="s">
        <v>2916</v>
      </c>
      <c r="D463" s="752" t="s">
        <v>5852</v>
      </c>
      <c r="E463" s="754">
        <v>0</v>
      </c>
    </row>
    <row r="464" spans="1:5" ht="16.3" customHeight="1">
      <c r="A464" s="754" t="s">
        <v>4448</v>
      </c>
      <c r="B464" s="767" t="s">
        <v>5916</v>
      </c>
      <c r="C464" s="731" t="s">
        <v>2917</v>
      </c>
      <c r="D464" s="752" t="s">
        <v>5852</v>
      </c>
      <c r="E464" s="754">
        <v>0</v>
      </c>
    </row>
    <row r="465" spans="1:5" ht="16.3" customHeight="1">
      <c r="A465" s="754" t="s">
        <v>4448</v>
      </c>
      <c r="B465" s="767" t="s">
        <v>5916</v>
      </c>
      <c r="C465" s="731" t="s">
        <v>2918</v>
      </c>
      <c r="D465" s="752" t="s">
        <v>5852</v>
      </c>
      <c r="E465" s="754">
        <v>0</v>
      </c>
    </row>
    <row r="466" spans="1:5" ht="16.3" customHeight="1">
      <c r="A466" s="754" t="s">
        <v>4448</v>
      </c>
      <c r="B466" s="767" t="s">
        <v>5916</v>
      </c>
      <c r="C466" s="731" t="s">
        <v>2919</v>
      </c>
      <c r="D466" s="752" t="s">
        <v>5852</v>
      </c>
      <c r="E466" s="754">
        <v>0</v>
      </c>
    </row>
    <row r="467" spans="1:5" ht="16.3" customHeight="1">
      <c r="A467" s="754" t="s">
        <v>4448</v>
      </c>
      <c r="B467" s="767" t="s">
        <v>5916</v>
      </c>
      <c r="C467" s="731" t="s">
        <v>2680</v>
      </c>
      <c r="D467" s="752" t="s">
        <v>5852</v>
      </c>
      <c r="E467" s="754">
        <v>0</v>
      </c>
    </row>
    <row r="468" spans="1:5" ht="16.3" customHeight="1">
      <c r="A468" s="754" t="s">
        <v>4448</v>
      </c>
      <c r="B468" s="761" t="s">
        <v>5917</v>
      </c>
      <c r="C468" s="731" t="s">
        <v>2377</v>
      </c>
      <c r="D468" s="752" t="s">
        <v>5853</v>
      </c>
      <c r="E468" s="754">
        <v>0</v>
      </c>
    </row>
    <row r="469" spans="1:5" ht="16.3" customHeight="1">
      <c r="A469" s="754" t="s">
        <v>4448</v>
      </c>
      <c r="B469" s="761" t="s">
        <v>5917</v>
      </c>
      <c r="C469" s="731" t="s">
        <v>2680</v>
      </c>
      <c r="D469" s="752" t="s">
        <v>5853</v>
      </c>
      <c r="E469" s="754">
        <v>0</v>
      </c>
    </row>
    <row r="470" spans="1:5" ht="16.3" customHeight="1">
      <c r="A470" s="754" t="s">
        <v>4448</v>
      </c>
      <c r="B470" s="732" t="s">
        <v>5912</v>
      </c>
      <c r="C470" s="731" t="s">
        <v>2922</v>
      </c>
      <c r="D470" s="752" t="s">
        <v>3486</v>
      </c>
      <c r="E470" s="754">
        <v>0</v>
      </c>
    </row>
    <row r="471" spans="1:5" ht="16.3" customHeight="1">
      <c r="A471" s="754" t="s">
        <v>4448</v>
      </c>
      <c r="B471" s="732" t="s">
        <v>5912</v>
      </c>
      <c r="C471" s="731" t="s">
        <v>2923</v>
      </c>
      <c r="D471" s="752" t="s">
        <v>3486</v>
      </c>
      <c r="E471" s="754">
        <v>0</v>
      </c>
    </row>
    <row r="472" spans="1:5" ht="16.3" customHeight="1">
      <c r="A472" s="754" t="s">
        <v>4448</v>
      </c>
      <c r="B472" s="733" t="s">
        <v>5914</v>
      </c>
      <c r="C472" s="731" t="s">
        <v>5762</v>
      </c>
      <c r="D472" s="752" t="s">
        <v>3452</v>
      </c>
      <c r="E472" s="754">
        <v>0</v>
      </c>
    </row>
    <row r="473" spans="1:5" ht="16.3" customHeight="1">
      <c r="A473" s="754" t="s">
        <v>4448</v>
      </c>
      <c r="B473" s="733" t="s">
        <v>5914</v>
      </c>
      <c r="C473" s="731" t="s">
        <v>2680</v>
      </c>
      <c r="D473" s="752" t="s">
        <v>3452</v>
      </c>
      <c r="E473" s="754">
        <v>0</v>
      </c>
    </row>
    <row r="474" spans="1:5" ht="16.3" customHeight="1">
      <c r="A474" s="754" t="s">
        <v>4448</v>
      </c>
      <c r="B474" s="758" t="s">
        <v>5913</v>
      </c>
      <c r="C474" s="731" t="s">
        <v>2924</v>
      </c>
      <c r="D474" s="752" t="s">
        <v>5850</v>
      </c>
      <c r="E474" s="754">
        <v>0</v>
      </c>
    </row>
    <row r="475" spans="1:5" ht="16.3" customHeight="1">
      <c r="A475" s="754" t="s">
        <v>4448</v>
      </c>
      <c r="B475" s="758" t="s">
        <v>5913</v>
      </c>
      <c r="C475" s="731" t="s">
        <v>2925</v>
      </c>
      <c r="D475" s="752" t="s">
        <v>5850</v>
      </c>
      <c r="E475" s="754">
        <v>0</v>
      </c>
    </row>
    <row r="476" spans="1:5" ht="16.3" customHeight="1">
      <c r="A476" s="754" t="s">
        <v>4448</v>
      </c>
      <c r="B476" s="758" t="s">
        <v>5913</v>
      </c>
      <c r="C476" s="731" t="s">
        <v>2680</v>
      </c>
      <c r="D476" s="752" t="s">
        <v>5850</v>
      </c>
      <c r="E476" s="754">
        <v>0</v>
      </c>
    </row>
    <row r="477" spans="1:5" ht="16.3" customHeight="1">
      <c r="A477" s="754" t="s">
        <v>4448</v>
      </c>
      <c r="B477" s="759" t="s">
        <v>5915</v>
      </c>
      <c r="C477" s="731" t="s">
        <v>2926</v>
      </c>
      <c r="D477" s="752" t="s">
        <v>5851</v>
      </c>
      <c r="E477" s="754">
        <v>0</v>
      </c>
    </row>
    <row r="478" spans="1:5" ht="16.3" customHeight="1">
      <c r="A478" s="754" t="s">
        <v>4448</v>
      </c>
      <c r="B478" s="759" t="s">
        <v>5915</v>
      </c>
      <c r="C478" s="731" t="s">
        <v>2680</v>
      </c>
      <c r="D478" s="752" t="s">
        <v>5851</v>
      </c>
      <c r="E478" s="754">
        <v>0</v>
      </c>
    </row>
    <row r="479" spans="1:5" ht="16.3" customHeight="1">
      <c r="A479" s="754" t="s">
        <v>4448</v>
      </c>
      <c r="B479" s="759" t="s">
        <v>5915</v>
      </c>
      <c r="C479" s="731" t="s">
        <v>2680</v>
      </c>
      <c r="D479" s="752" t="s">
        <v>5851</v>
      </c>
      <c r="E479" s="754">
        <v>0</v>
      </c>
    </row>
    <row r="480" spans="1:5" ht="16.3" customHeight="1">
      <c r="A480" s="754" t="s">
        <v>4448</v>
      </c>
      <c r="B480" s="759" t="s">
        <v>5915</v>
      </c>
      <c r="C480" s="731" t="s">
        <v>2680</v>
      </c>
      <c r="D480" s="752" t="s">
        <v>5851</v>
      </c>
      <c r="E480" s="754">
        <v>0</v>
      </c>
    </row>
    <row r="481" spans="1:5" ht="16.3" customHeight="1">
      <c r="A481" s="754" t="s">
        <v>4448</v>
      </c>
      <c r="B481" s="767" t="s">
        <v>5916</v>
      </c>
      <c r="C481" s="731" t="s">
        <v>2927</v>
      </c>
      <c r="D481" s="752" t="s">
        <v>5852</v>
      </c>
      <c r="E481" s="754">
        <v>0</v>
      </c>
    </row>
    <row r="482" spans="1:5" ht="16.3" customHeight="1">
      <c r="A482" s="754" t="s">
        <v>4448</v>
      </c>
      <c r="B482" s="767" t="s">
        <v>5916</v>
      </c>
      <c r="C482" s="731" t="s">
        <v>2928</v>
      </c>
      <c r="D482" s="752" t="s">
        <v>5852</v>
      </c>
      <c r="E482" s="754">
        <v>0</v>
      </c>
    </row>
    <row r="483" spans="1:5" ht="16.3" customHeight="1">
      <c r="A483" s="754" t="s">
        <v>4448</v>
      </c>
      <c r="B483" s="767" t="s">
        <v>5916</v>
      </c>
      <c r="C483" s="731" t="s">
        <v>2929</v>
      </c>
      <c r="D483" s="752" t="s">
        <v>5852</v>
      </c>
      <c r="E483" s="754">
        <v>0</v>
      </c>
    </row>
    <row r="484" spans="1:5" ht="16.3" customHeight="1">
      <c r="A484" s="754" t="s">
        <v>4448</v>
      </c>
      <c r="B484" s="767" t="s">
        <v>5916</v>
      </c>
      <c r="C484" s="731" t="s">
        <v>2930</v>
      </c>
      <c r="D484" s="752" t="s">
        <v>5852</v>
      </c>
      <c r="E484" s="754">
        <v>0</v>
      </c>
    </row>
    <row r="485" spans="1:5" ht="16.3" customHeight="1">
      <c r="A485" s="754" t="s">
        <v>4448</v>
      </c>
      <c r="B485" s="767" t="s">
        <v>5916</v>
      </c>
      <c r="C485" s="731" t="s">
        <v>2680</v>
      </c>
      <c r="D485" s="752" t="s">
        <v>5852</v>
      </c>
      <c r="E485" s="754">
        <v>0</v>
      </c>
    </row>
    <row r="486" spans="1:5" ht="16.3" customHeight="1">
      <c r="A486" s="754" t="s">
        <v>4448</v>
      </c>
      <c r="B486" s="761" t="s">
        <v>5917</v>
      </c>
      <c r="C486" s="731" t="s">
        <v>2931</v>
      </c>
      <c r="D486" s="752" t="s">
        <v>5853</v>
      </c>
      <c r="E486" s="754">
        <v>0</v>
      </c>
    </row>
    <row r="487" spans="1:5" ht="16.3" customHeight="1">
      <c r="A487" s="754" t="s">
        <v>4448</v>
      </c>
      <c r="B487" s="761" t="s">
        <v>5917</v>
      </c>
      <c r="C487" s="731" t="s">
        <v>2680</v>
      </c>
      <c r="D487" s="752" t="s">
        <v>5853</v>
      </c>
      <c r="E487" s="754">
        <v>0</v>
      </c>
    </row>
    <row r="488" spans="1:5" ht="16.3" customHeight="1">
      <c r="A488" s="754" t="s">
        <v>4448</v>
      </c>
      <c r="B488" s="732" t="s">
        <v>5912</v>
      </c>
      <c r="C488" s="731" t="s">
        <v>2933</v>
      </c>
      <c r="D488" s="752" t="s">
        <v>3486</v>
      </c>
      <c r="E488" s="754">
        <v>0</v>
      </c>
    </row>
    <row r="489" spans="1:5" ht="16.3" customHeight="1">
      <c r="A489" s="754" t="s">
        <v>4448</v>
      </c>
      <c r="B489" s="732" t="s">
        <v>5912</v>
      </c>
      <c r="C489" s="731" t="s">
        <v>2680</v>
      </c>
      <c r="D489" s="752" t="s">
        <v>3486</v>
      </c>
      <c r="E489" s="754">
        <v>0</v>
      </c>
    </row>
    <row r="490" spans="1:5" ht="16.3" customHeight="1">
      <c r="A490" s="754" t="s">
        <v>4448</v>
      </c>
      <c r="B490" s="733" t="s">
        <v>5914</v>
      </c>
      <c r="C490" s="731" t="s">
        <v>5763</v>
      </c>
      <c r="D490" s="752" t="s">
        <v>3452</v>
      </c>
      <c r="E490" s="754">
        <v>0</v>
      </c>
    </row>
    <row r="491" spans="1:5" ht="16.3" customHeight="1">
      <c r="A491" s="754" t="s">
        <v>4448</v>
      </c>
      <c r="B491" s="733" t="s">
        <v>5914</v>
      </c>
      <c r="C491" s="731" t="s">
        <v>2680</v>
      </c>
      <c r="D491" s="752" t="s">
        <v>3452</v>
      </c>
      <c r="E491" s="754">
        <v>0</v>
      </c>
    </row>
    <row r="492" spans="1:5" ht="16.3" customHeight="1">
      <c r="A492" s="754" t="s">
        <v>4448</v>
      </c>
      <c r="B492" s="758" t="s">
        <v>5913</v>
      </c>
      <c r="C492" s="731" t="s">
        <v>2934</v>
      </c>
      <c r="D492" s="752" t="s">
        <v>5850</v>
      </c>
      <c r="E492" s="754">
        <v>0</v>
      </c>
    </row>
    <row r="493" spans="1:5" ht="16.3" customHeight="1">
      <c r="A493" s="754" t="s">
        <v>4448</v>
      </c>
      <c r="B493" s="758" t="s">
        <v>5913</v>
      </c>
      <c r="C493" s="731" t="s">
        <v>2935</v>
      </c>
      <c r="D493" s="752" t="s">
        <v>5850</v>
      </c>
      <c r="E493" s="754">
        <v>0</v>
      </c>
    </row>
    <row r="494" spans="1:5" ht="16.3" customHeight="1">
      <c r="A494" s="754" t="s">
        <v>4448</v>
      </c>
      <c r="B494" s="758" t="s">
        <v>5913</v>
      </c>
      <c r="C494" s="731" t="s">
        <v>2680</v>
      </c>
      <c r="D494" s="752" t="s">
        <v>5850</v>
      </c>
      <c r="E494" s="754">
        <v>0</v>
      </c>
    </row>
    <row r="495" spans="1:5" ht="16.3" customHeight="1">
      <c r="A495" s="754" t="s">
        <v>4448</v>
      </c>
      <c r="B495" s="759" t="s">
        <v>5915</v>
      </c>
      <c r="C495" s="731" t="s">
        <v>2936</v>
      </c>
      <c r="D495" s="752" t="s">
        <v>5851</v>
      </c>
      <c r="E495" s="754">
        <v>0</v>
      </c>
    </row>
    <row r="496" spans="1:5" ht="16.3" customHeight="1">
      <c r="A496" s="754" t="s">
        <v>4448</v>
      </c>
      <c r="B496" s="759" t="s">
        <v>5915</v>
      </c>
      <c r="C496" s="731" t="s">
        <v>2937</v>
      </c>
      <c r="D496" s="752" t="s">
        <v>5851</v>
      </c>
      <c r="E496" s="754">
        <v>0</v>
      </c>
    </row>
    <row r="497" spans="1:5" ht="16.3" customHeight="1">
      <c r="A497" s="754" t="s">
        <v>4448</v>
      </c>
      <c r="B497" s="759" t="s">
        <v>5915</v>
      </c>
      <c r="C497" s="731" t="s">
        <v>2680</v>
      </c>
      <c r="D497" s="752" t="s">
        <v>5851</v>
      </c>
      <c r="E497" s="754">
        <v>0</v>
      </c>
    </row>
    <row r="498" spans="1:5" ht="16.3" customHeight="1">
      <c r="A498" s="754" t="s">
        <v>4448</v>
      </c>
      <c r="B498" s="759" t="s">
        <v>5915</v>
      </c>
      <c r="C498" s="731" t="s">
        <v>2680</v>
      </c>
      <c r="D498" s="752" t="s">
        <v>5851</v>
      </c>
      <c r="E498" s="754">
        <v>0</v>
      </c>
    </row>
    <row r="499" spans="1:5" ht="16.3" customHeight="1">
      <c r="A499" s="754" t="s">
        <v>4448</v>
      </c>
      <c r="B499" s="767" t="s">
        <v>5916</v>
      </c>
      <c r="C499" s="731" t="s">
        <v>5944</v>
      </c>
      <c r="D499" s="752" t="s">
        <v>5852</v>
      </c>
      <c r="E499" s="754">
        <v>0</v>
      </c>
    </row>
    <row r="500" spans="1:5" ht="16.3" customHeight="1">
      <c r="A500" s="754" t="s">
        <v>4448</v>
      </c>
      <c r="B500" s="767" t="s">
        <v>5916</v>
      </c>
      <c r="C500" s="731" t="s">
        <v>2938</v>
      </c>
      <c r="D500" s="752" t="s">
        <v>5852</v>
      </c>
      <c r="E500" s="754">
        <v>0</v>
      </c>
    </row>
    <row r="501" spans="1:5" ht="16.3" customHeight="1">
      <c r="A501" s="754" t="s">
        <v>4448</v>
      </c>
      <c r="B501" s="767" t="s">
        <v>5916</v>
      </c>
      <c r="C501" s="731" t="s">
        <v>2939</v>
      </c>
      <c r="D501" s="752" t="s">
        <v>5852</v>
      </c>
      <c r="E501" s="754">
        <v>0</v>
      </c>
    </row>
    <row r="502" spans="1:5" ht="16.3" customHeight="1">
      <c r="A502" s="754" t="s">
        <v>4448</v>
      </c>
      <c r="B502" s="767" t="s">
        <v>5916</v>
      </c>
      <c r="C502" s="731" t="s">
        <v>2940</v>
      </c>
      <c r="D502" s="752" t="s">
        <v>5852</v>
      </c>
      <c r="E502" s="754">
        <v>0</v>
      </c>
    </row>
    <row r="503" spans="1:5" ht="16.3" customHeight="1">
      <c r="A503" s="754" t="s">
        <v>4448</v>
      </c>
      <c r="B503" s="767" t="s">
        <v>5916</v>
      </c>
      <c r="C503" s="731" t="s">
        <v>2680</v>
      </c>
      <c r="D503" s="752" t="s">
        <v>5852</v>
      </c>
      <c r="E503" s="754">
        <v>0</v>
      </c>
    </row>
    <row r="504" spans="1:5" ht="16.3" customHeight="1">
      <c r="A504" s="754" t="s">
        <v>4448</v>
      </c>
      <c r="B504" s="761" t="s">
        <v>5917</v>
      </c>
      <c r="C504" s="731" t="s">
        <v>2680</v>
      </c>
      <c r="D504" s="752" t="s">
        <v>5853</v>
      </c>
      <c r="E504" s="754">
        <v>0</v>
      </c>
    </row>
    <row r="505" spans="1:5" ht="16.3" customHeight="1">
      <c r="A505" s="754" t="s">
        <v>4448</v>
      </c>
      <c r="B505" s="761" t="s">
        <v>5917</v>
      </c>
      <c r="C505" s="731" t="s">
        <v>2680</v>
      </c>
      <c r="D505" s="752" t="s">
        <v>5853</v>
      </c>
      <c r="E505" s="754">
        <v>0</v>
      </c>
    </row>
    <row r="506" spans="1:5" ht="16.3" customHeight="1">
      <c r="A506" s="754" t="s">
        <v>4448</v>
      </c>
      <c r="B506" s="732" t="s">
        <v>5912</v>
      </c>
      <c r="C506" s="731" t="s">
        <v>5764</v>
      </c>
      <c r="D506" s="752" t="s">
        <v>3486</v>
      </c>
      <c r="E506" s="754">
        <v>0</v>
      </c>
    </row>
    <row r="507" spans="1:5" ht="16.3" customHeight="1">
      <c r="A507" s="754" t="s">
        <v>4448</v>
      </c>
      <c r="B507" s="732" t="s">
        <v>5912</v>
      </c>
      <c r="C507" s="731" t="s">
        <v>2680</v>
      </c>
      <c r="D507" s="752" t="s">
        <v>3486</v>
      </c>
      <c r="E507" s="754">
        <v>0</v>
      </c>
    </row>
    <row r="508" spans="1:5" ht="16.3" customHeight="1">
      <c r="A508" s="754" t="s">
        <v>4448</v>
      </c>
      <c r="B508" s="733" t="s">
        <v>5914</v>
      </c>
      <c r="C508" s="731" t="s">
        <v>5765</v>
      </c>
      <c r="D508" s="752" t="s">
        <v>3452</v>
      </c>
      <c r="E508" s="754">
        <v>0</v>
      </c>
    </row>
    <row r="509" spans="1:5" ht="16.3" customHeight="1">
      <c r="A509" s="754" t="s">
        <v>4448</v>
      </c>
      <c r="B509" s="733" t="s">
        <v>5914</v>
      </c>
      <c r="C509" s="731" t="s">
        <v>2680</v>
      </c>
      <c r="D509" s="752" t="s">
        <v>3452</v>
      </c>
      <c r="E509" s="754">
        <v>0</v>
      </c>
    </row>
    <row r="510" spans="1:5" ht="16.3" customHeight="1">
      <c r="A510" s="754" t="s">
        <v>4448</v>
      </c>
      <c r="B510" s="758" t="s">
        <v>5913</v>
      </c>
      <c r="C510" s="731" t="s">
        <v>2944</v>
      </c>
      <c r="D510" s="752" t="s">
        <v>5850</v>
      </c>
      <c r="E510" s="754">
        <v>0</v>
      </c>
    </row>
    <row r="511" spans="1:5" ht="16.3" customHeight="1">
      <c r="A511" s="754" t="s">
        <v>4448</v>
      </c>
      <c r="B511" s="758" t="s">
        <v>5913</v>
      </c>
      <c r="C511" s="731" t="s">
        <v>2945</v>
      </c>
      <c r="D511" s="752" t="s">
        <v>5850</v>
      </c>
      <c r="E511" s="754">
        <v>0</v>
      </c>
    </row>
    <row r="512" spans="1:5" ht="16.3" customHeight="1">
      <c r="A512" s="754" t="s">
        <v>4448</v>
      </c>
      <c r="B512" s="758" t="s">
        <v>5913</v>
      </c>
      <c r="C512" s="731" t="s">
        <v>2680</v>
      </c>
      <c r="D512" s="752" t="s">
        <v>5850</v>
      </c>
      <c r="E512" s="754">
        <v>0</v>
      </c>
    </row>
    <row r="513" spans="1:5" ht="16.3" customHeight="1">
      <c r="A513" s="754" t="s">
        <v>4448</v>
      </c>
      <c r="B513" s="759" t="s">
        <v>5915</v>
      </c>
      <c r="C513" s="731" t="s">
        <v>2946</v>
      </c>
      <c r="D513" s="752" t="s">
        <v>5851</v>
      </c>
      <c r="E513" s="754">
        <v>0</v>
      </c>
    </row>
    <row r="514" spans="1:5" ht="16.3" customHeight="1">
      <c r="A514" s="754" t="s">
        <v>4448</v>
      </c>
      <c r="B514" s="759" t="s">
        <v>5915</v>
      </c>
      <c r="C514" s="731" t="s">
        <v>2947</v>
      </c>
      <c r="D514" s="752" t="s">
        <v>5851</v>
      </c>
      <c r="E514" s="754">
        <v>0</v>
      </c>
    </row>
    <row r="515" spans="1:5" ht="16.3" customHeight="1">
      <c r="A515" s="754" t="s">
        <v>4448</v>
      </c>
      <c r="B515" s="759" t="s">
        <v>5915</v>
      </c>
      <c r="C515" s="731" t="s">
        <v>2680</v>
      </c>
      <c r="D515" s="752" t="s">
        <v>5851</v>
      </c>
      <c r="E515" s="754">
        <v>0</v>
      </c>
    </row>
    <row r="516" spans="1:5" ht="16.3" customHeight="1">
      <c r="A516" s="754" t="s">
        <v>4448</v>
      </c>
      <c r="B516" s="759" t="s">
        <v>5915</v>
      </c>
      <c r="C516" s="731" t="s">
        <v>2680</v>
      </c>
      <c r="D516" s="752" t="s">
        <v>5851</v>
      </c>
      <c r="E516" s="754">
        <v>0</v>
      </c>
    </row>
    <row r="517" spans="1:5" ht="16.3" customHeight="1">
      <c r="A517" s="754" t="s">
        <v>4448</v>
      </c>
      <c r="B517" s="767" t="s">
        <v>5916</v>
      </c>
      <c r="C517" s="731" t="s">
        <v>2948</v>
      </c>
      <c r="D517" s="752" t="s">
        <v>5852</v>
      </c>
      <c r="E517" s="754">
        <v>0</v>
      </c>
    </row>
    <row r="518" spans="1:5" ht="16.3" customHeight="1">
      <c r="A518" s="754" t="s">
        <v>4448</v>
      </c>
      <c r="B518" s="767" t="s">
        <v>5916</v>
      </c>
      <c r="C518" s="731" t="s">
        <v>2949</v>
      </c>
      <c r="D518" s="752" t="s">
        <v>5852</v>
      </c>
      <c r="E518" s="754">
        <v>0</v>
      </c>
    </row>
    <row r="519" spans="1:5" ht="16.3" customHeight="1">
      <c r="A519" s="754" t="s">
        <v>4448</v>
      </c>
      <c r="B519" s="767" t="s">
        <v>5916</v>
      </c>
      <c r="C519" s="731" t="s">
        <v>2950</v>
      </c>
      <c r="D519" s="752" t="s">
        <v>5852</v>
      </c>
      <c r="E519" s="754">
        <v>0</v>
      </c>
    </row>
    <row r="520" spans="1:5" ht="16.3" customHeight="1">
      <c r="A520" s="754" t="s">
        <v>4448</v>
      </c>
      <c r="B520" s="767" t="s">
        <v>5916</v>
      </c>
      <c r="C520" s="731" t="s">
        <v>2680</v>
      </c>
      <c r="D520" s="752" t="s">
        <v>5852</v>
      </c>
      <c r="E520" s="754">
        <v>0</v>
      </c>
    </row>
    <row r="521" spans="1:5" ht="16.3" customHeight="1">
      <c r="A521" s="754" t="s">
        <v>4448</v>
      </c>
      <c r="B521" s="767" t="s">
        <v>5916</v>
      </c>
      <c r="C521" s="731" t="s">
        <v>2951</v>
      </c>
      <c r="D521" s="752" t="s">
        <v>5852</v>
      </c>
      <c r="E521" s="754">
        <v>0</v>
      </c>
    </row>
    <row r="522" spans="1:5" ht="16.3" customHeight="1">
      <c r="A522" s="754" t="s">
        <v>4448</v>
      </c>
      <c r="B522" s="761" t="s">
        <v>5917</v>
      </c>
      <c r="C522" s="731" t="s">
        <v>2952</v>
      </c>
      <c r="D522" s="752" t="s">
        <v>5853</v>
      </c>
      <c r="E522" s="754">
        <v>0</v>
      </c>
    </row>
    <row r="523" spans="1:5" ht="16.3" customHeight="1">
      <c r="A523" s="754" t="s">
        <v>4448</v>
      </c>
      <c r="B523" s="761" t="s">
        <v>5917</v>
      </c>
      <c r="C523" s="731" t="s">
        <v>2953</v>
      </c>
      <c r="D523" s="752" t="s">
        <v>5853</v>
      </c>
      <c r="E523" s="754">
        <v>0</v>
      </c>
    </row>
    <row r="524" spans="1:5" ht="16.3" customHeight="1">
      <c r="A524" s="754" t="s">
        <v>4448</v>
      </c>
      <c r="B524" s="732" t="s">
        <v>5912</v>
      </c>
      <c r="C524" s="731" t="s">
        <v>2955</v>
      </c>
      <c r="D524" s="752" t="s">
        <v>3486</v>
      </c>
      <c r="E524" s="754">
        <v>0</v>
      </c>
    </row>
    <row r="525" spans="1:5" ht="16.3" customHeight="1">
      <c r="A525" s="754" t="s">
        <v>4448</v>
      </c>
      <c r="B525" s="732" t="s">
        <v>5912</v>
      </c>
      <c r="C525" s="731" t="s">
        <v>2680</v>
      </c>
      <c r="D525" s="752" t="s">
        <v>3486</v>
      </c>
      <c r="E525" s="754">
        <v>0</v>
      </c>
    </row>
    <row r="526" spans="1:5" ht="16.3" customHeight="1">
      <c r="A526" s="754" t="s">
        <v>4448</v>
      </c>
      <c r="B526" s="733" t="s">
        <v>5914</v>
      </c>
      <c r="C526" s="731" t="s">
        <v>5766</v>
      </c>
      <c r="D526" s="752" t="s">
        <v>3452</v>
      </c>
      <c r="E526" s="754">
        <v>0</v>
      </c>
    </row>
    <row r="527" spans="1:5" ht="16.3" customHeight="1">
      <c r="A527" s="754" t="s">
        <v>4448</v>
      </c>
      <c r="B527" s="733" t="s">
        <v>5914</v>
      </c>
      <c r="C527" s="731" t="s">
        <v>2680</v>
      </c>
      <c r="D527" s="752" t="s">
        <v>3452</v>
      </c>
      <c r="E527" s="754">
        <v>0</v>
      </c>
    </row>
    <row r="528" spans="1:5" ht="16.3" customHeight="1">
      <c r="A528" s="754" t="s">
        <v>4448</v>
      </c>
      <c r="B528" s="758" t="s">
        <v>5913</v>
      </c>
      <c r="C528" s="731" t="s">
        <v>5767</v>
      </c>
      <c r="D528" s="752" t="s">
        <v>5850</v>
      </c>
      <c r="E528" s="754">
        <v>0</v>
      </c>
    </row>
    <row r="529" spans="1:5" ht="16.3" customHeight="1">
      <c r="A529" s="754" t="s">
        <v>4448</v>
      </c>
      <c r="B529" s="758" t="s">
        <v>5913</v>
      </c>
      <c r="C529" s="731" t="s">
        <v>5768</v>
      </c>
      <c r="D529" s="752" t="s">
        <v>5850</v>
      </c>
      <c r="E529" s="754">
        <v>0</v>
      </c>
    </row>
    <row r="530" spans="1:5" ht="16.3" customHeight="1">
      <c r="A530" s="754" t="s">
        <v>4448</v>
      </c>
      <c r="B530" s="758" t="s">
        <v>5913</v>
      </c>
      <c r="C530" s="731" t="s">
        <v>5769</v>
      </c>
      <c r="D530" s="752" t="s">
        <v>5850</v>
      </c>
      <c r="E530" s="754">
        <v>0</v>
      </c>
    </row>
    <row r="531" spans="1:5" ht="16.3" customHeight="1">
      <c r="A531" s="754" t="s">
        <v>4448</v>
      </c>
      <c r="B531" s="759" t="s">
        <v>5915</v>
      </c>
      <c r="C531" s="731" t="s">
        <v>2956</v>
      </c>
      <c r="D531" s="752" t="s">
        <v>5851</v>
      </c>
      <c r="E531" s="754">
        <v>0</v>
      </c>
    </row>
    <row r="532" spans="1:5" ht="16.3" customHeight="1">
      <c r="A532" s="754" t="s">
        <v>4448</v>
      </c>
      <c r="B532" s="759" t="s">
        <v>5915</v>
      </c>
      <c r="C532" s="731" t="s">
        <v>2957</v>
      </c>
      <c r="D532" s="752" t="s">
        <v>5851</v>
      </c>
      <c r="E532" s="754">
        <v>0</v>
      </c>
    </row>
    <row r="533" spans="1:5" ht="16.3" customHeight="1">
      <c r="A533" s="754" t="s">
        <v>4448</v>
      </c>
      <c r="B533" s="759" t="s">
        <v>5915</v>
      </c>
      <c r="C533" s="731" t="s">
        <v>2680</v>
      </c>
      <c r="D533" s="752" t="s">
        <v>5851</v>
      </c>
      <c r="E533" s="754">
        <v>0</v>
      </c>
    </row>
    <row r="534" spans="1:5" ht="16.3" customHeight="1">
      <c r="A534" s="754" t="s">
        <v>4448</v>
      </c>
      <c r="B534" s="759" t="s">
        <v>5915</v>
      </c>
      <c r="C534" s="731" t="s">
        <v>2680</v>
      </c>
      <c r="D534" s="752" t="s">
        <v>5851</v>
      </c>
      <c r="E534" s="754">
        <v>0</v>
      </c>
    </row>
    <row r="535" spans="1:5" ht="16.3" customHeight="1">
      <c r="A535" s="754" t="s">
        <v>4448</v>
      </c>
      <c r="B535" s="767" t="s">
        <v>5916</v>
      </c>
      <c r="C535" s="731" t="s">
        <v>2958</v>
      </c>
      <c r="D535" s="752" t="s">
        <v>5852</v>
      </c>
      <c r="E535" s="754">
        <v>0</v>
      </c>
    </row>
    <row r="536" spans="1:5" ht="16.3" customHeight="1">
      <c r="A536" s="754" t="s">
        <v>4448</v>
      </c>
      <c r="B536" s="767" t="s">
        <v>5916</v>
      </c>
      <c r="C536" s="731" t="s">
        <v>2959</v>
      </c>
      <c r="D536" s="752" t="s">
        <v>5852</v>
      </c>
      <c r="E536" s="754">
        <v>0</v>
      </c>
    </row>
    <row r="537" spans="1:5" ht="16.3" customHeight="1">
      <c r="A537" s="754" t="s">
        <v>4448</v>
      </c>
      <c r="B537" s="767" t="s">
        <v>5916</v>
      </c>
      <c r="C537" s="731" t="s">
        <v>2680</v>
      </c>
      <c r="D537" s="752" t="s">
        <v>5852</v>
      </c>
      <c r="E537" s="754">
        <v>0</v>
      </c>
    </row>
    <row r="538" spans="1:5" ht="16.3" customHeight="1">
      <c r="A538" s="754" t="s">
        <v>4448</v>
      </c>
      <c r="B538" s="767" t="s">
        <v>5916</v>
      </c>
      <c r="C538" s="731" t="s">
        <v>2680</v>
      </c>
      <c r="D538" s="752" t="s">
        <v>5852</v>
      </c>
      <c r="E538" s="754">
        <v>0</v>
      </c>
    </row>
    <row r="539" spans="1:5" ht="16.3" customHeight="1">
      <c r="A539" s="754" t="s">
        <v>4448</v>
      </c>
      <c r="B539" s="767" t="s">
        <v>5916</v>
      </c>
      <c r="C539" s="731" t="s">
        <v>2680</v>
      </c>
      <c r="D539" s="752" t="s">
        <v>5852</v>
      </c>
      <c r="E539" s="754">
        <v>0</v>
      </c>
    </row>
    <row r="540" spans="1:5" ht="16.3" customHeight="1">
      <c r="A540" s="754" t="s">
        <v>4448</v>
      </c>
      <c r="B540" s="761" t="s">
        <v>5917</v>
      </c>
      <c r="C540" s="731" t="s">
        <v>2960</v>
      </c>
      <c r="D540" s="752" t="s">
        <v>5853</v>
      </c>
      <c r="E540" s="754">
        <v>0</v>
      </c>
    </row>
    <row r="541" spans="1:5" ht="16.3" customHeight="1">
      <c r="A541" s="754" t="s">
        <v>4448</v>
      </c>
      <c r="B541" s="761" t="s">
        <v>5917</v>
      </c>
      <c r="C541" s="731" t="s">
        <v>2680</v>
      </c>
      <c r="D541" s="752" t="s">
        <v>5853</v>
      </c>
      <c r="E541" s="754">
        <v>0</v>
      </c>
    </row>
    <row r="542" spans="1:5" ht="16.3" customHeight="1">
      <c r="A542" s="754" t="s">
        <v>4448</v>
      </c>
      <c r="B542" s="732" t="s">
        <v>5912</v>
      </c>
      <c r="C542" s="731" t="s">
        <v>2962</v>
      </c>
      <c r="D542" s="752" t="s">
        <v>3486</v>
      </c>
      <c r="E542" s="754">
        <v>0</v>
      </c>
    </row>
    <row r="543" spans="1:5" ht="16.3" customHeight="1">
      <c r="A543" s="754" t="s">
        <v>4448</v>
      </c>
      <c r="B543" s="732" t="s">
        <v>5912</v>
      </c>
      <c r="C543" s="731" t="s">
        <v>2680</v>
      </c>
      <c r="D543" s="752" t="s">
        <v>3486</v>
      </c>
      <c r="E543" s="754">
        <v>0</v>
      </c>
    </row>
    <row r="544" spans="1:5" ht="16.3" customHeight="1">
      <c r="A544" s="754" t="s">
        <v>4448</v>
      </c>
      <c r="B544" s="733" t="s">
        <v>5914</v>
      </c>
      <c r="C544" s="731" t="s">
        <v>5770</v>
      </c>
      <c r="D544" s="752" t="s">
        <v>3452</v>
      </c>
      <c r="E544" s="754">
        <v>0</v>
      </c>
    </row>
    <row r="545" spans="1:5" ht="16.3" customHeight="1">
      <c r="A545" s="754" t="s">
        <v>4448</v>
      </c>
      <c r="B545" s="733" t="s">
        <v>5914</v>
      </c>
      <c r="C545" s="731" t="s">
        <v>2680</v>
      </c>
      <c r="D545" s="752" t="s">
        <v>3452</v>
      </c>
      <c r="E545" s="754">
        <v>0</v>
      </c>
    </row>
    <row r="546" spans="1:5" ht="16.3" customHeight="1">
      <c r="A546" s="754" t="s">
        <v>4448</v>
      </c>
      <c r="B546" s="758" t="s">
        <v>5913</v>
      </c>
      <c r="C546" s="731" t="s">
        <v>2963</v>
      </c>
      <c r="D546" s="752" t="s">
        <v>5850</v>
      </c>
      <c r="E546" s="754">
        <v>0</v>
      </c>
    </row>
    <row r="547" spans="1:5" ht="16.3" customHeight="1">
      <c r="A547" s="754" t="s">
        <v>4448</v>
      </c>
      <c r="B547" s="758" t="s">
        <v>5913</v>
      </c>
      <c r="C547" s="731" t="s">
        <v>2964</v>
      </c>
      <c r="D547" s="752" t="s">
        <v>5850</v>
      </c>
      <c r="E547" s="754">
        <v>0</v>
      </c>
    </row>
    <row r="548" spans="1:5" ht="16.3" customHeight="1">
      <c r="A548" s="754" t="s">
        <v>4448</v>
      </c>
      <c r="B548" s="758" t="s">
        <v>5913</v>
      </c>
      <c r="C548" s="731" t="s">
        <v>2680</v>
      </c>
      <c r="D548" s="752" t="s">
        <v>5850</v>
      </c>
      <c r="E548" s="754">
        <v>0</v>
      </c>
    </row>
    <row r="549" spans="1:5" ht="16.3" customHeight="1">
      <c r="A549" s="754" t="s">
        <v>4448</v>
      </c>
      <c r="B549" s="759" t="s">
        <v>5915</v>
      </c>
      <c r="C549" s="731" t="s">
        <v>2965</v>
      </c>
      <c r="D549" s="752" t="s">
        <v>5851</v>
      </c>
      <c r="E549" s="754">
        <v>0</v>
      </c>
    </row>
    <row r="550" spans="1:5" ht="16.3" customHeight="1">
      <c r="A550" s="754" t="s">
        <v>4448</v>
      </c>
      <c r="B550" s="759" t="s">
        <v>5915</v>
      </c>
      <c r="C550" s="731" t="s">
        <v>2966</v>
      </c>
      <c r="D550" s="752" t="s">
        <v>5851</v>
      </c>
      <c r="E550" s="754">
        <v>0</v>
      </c>
    </row>
    <row r="551" spans="1:5" ht="16.3" customHeight="1">
      <c r="A551" s="754" t="s">
        <v>4448</v>
      </c>
      <c r="B551" s="759" t="s">
        <v>5915</v>
      </c>
      <c r="C551" s="731" t="s">
        <v>2967</v>
      </c>
      <c r="D551" s="752" t="s">
        <v>5851</v>
      </c>
      <c r="E551" s="754">
        <v>0</v>
      </c>
    </row>
    <row r="552" spans="1:5" ht="16.3" customHeight="1">
      <c r="A552" s="754" t="s">
        <v>4448</v>
      </c>
      <c r="B552" s="759" t="s">
        <v>5915</v>
      </c>
      <c r="C552" s="731" t="s">
        <v>2680</v>
      </c>
      <c r="D552" s="752" t="s">
        <v>5851</v>
      </c>
      <c r="E552" s="754">
        <v>0</v>
      </c>
    </row>
    <row r="553" spans="1:5" ht="16.3" customHeight="1">
      <c r="A553" s="754" t="s">
        <v>4448</v>
      </c>
      <c r="B553" s="767" t="s">
        <v>5916</v>
      </c>
      <c r="C553" s="731" t="s">
        <v>2968</v>
      </c>
      <c r="D553" s="752" t="s">
        <v>5852</v>
      </c>
      <c r="E553" s="754">
        <v>0</v>
      </c>
    </row>
    <row r="554" spans="1:5" ht="16.3" customHeight="1">
      <c r="A554" s="754" t="s">
        <v>4448</v>
      </c>
      <c r="B554" s="767" t="s">
        <v>5916</v>
      </c>
      <c r="C554" s="731" t="s">
        <v>2969</v>
      </c>
      <c r="D554" s="752" t="s">
        <v>5852</v>
      </c>
      <c r="E554" s="754">
        <v>0</v>
      </c>
    </row>
    <row r="555" spans="1:5" ht="16.3" customHeight="1">
      <c r="A555" s="754" t="s">
        <v>4448</v>
      </c>
      <c r="B555" s="767" t="s">
        <v>5916</v>
      </c>
      <c r="C555" s="731" t="s">
        <v>2680</v>
      </c>
      <c r="D555" s="752" t="s">
        <v>5852</v>
      </c>
      <c r="E555" s="754">
        <v>0</v>
      </c>
    </row>
    <row r="556" spans="1:5" ht="16.3" customHeight="1">
      <c r="A556" s="754" t="s">
        <v>4448</v>
      </c>
      <c r="B556" s="767" t="s">
        <v>5916</v>
      </c>
      <c r="C556" s="731" t="s">
        <v>2680</v>
      </c>
      <c r="D556" s="752" t="s">
        <v>5852</v>
      </c>
      <c r="E556" s="754">
        <v>0</v>
      </c>
    </row>
    <row r="557" spans="1:5" ht="16.3" customHeight="1">
      <c r="A557" s="754" t="s">
        <v>4448</v>
      </c>
      <c r="B557" s="767" t="s">
        <v>5916</v>
      </c>
      <c r="C557" s="731" t="s">
        <v>2680</v>
      </c>
      <c r="D557" s="752" t="s">
        <v>5852</v>
      </c>
      <c r="E557" s="754">
        <v>0</v>
      </c>
    </row>
    <row r="558" spans="1:5" ht="16.3" customHeight="1">
      <c r="A558" s="754" t="s">
        <v>4448</v>
      </c>
      <c r="B558" s="761" t="s">
        <v>5917</v>
      </c>
      <c r="C558" s="731" t="s">
        <v>2970</v>
      </c>
      <c r="D558" s="752" t="s">
        <v>5853</v>
      </c>
      <c r="E558" s="754">
        <v>0</v>
      </c>
    </row>
    <row r="559" spans="1:5" ht="16.3" customHeight="1">
      <c r="A559" s="754" t="s">
        <v>4448</v>
      </c>
      <c r="B559" s="761" t="s">
        <v>5917</v>
      </c>
      <c r="C559" s="731" t="s">
        <v>2680</v>
      </c>
      <c r="D559" s="752" t="s">
        <v>5853</v>
      </c>
      <c r="E559" s="754">
        <v>0</v>
      </c>
    </row>
    <row r="560" spans="1:5" ht="16.3" customHeight="1">
      <c r="A560" s="754" t="s">
        <v>4448</v>
      </c>
      <c r="B560" s="732" t="s">
        <v>5912</v>
      </c>
      <c r="C560" s="731" t="s">
        <v>2972</v>
      </c>
      <c r="D560" s="752" t="s">
        <v>3486</v>
      </c>
      <c r="E560" s="754">
        <v>0</v>
      </c>
    </row>
    <row r="561" spans="1:5" ht="16.3" customHeight="1">
      <c r="A561" s="754" t="s">
        <v>4448</v>
      </c>
      <c r="B561" s="732" t="s">
        <v>5912</v>
      </c>
      <c r="C561" s="731" t="s">
        <v>2973</v>
      </c>
      <c r="D561" s="752" t="s">
        <v>3486</v>
      </c>
      <c r="E561" s="754">
        <v>0</v>
      </c>
    </row>
    <row r="562" spans="1:5" ht="16.3" customHeight="1">
      <c r="A562" s="754" t="s">
        <v>4448</v>
      </c>
      <c r="B562" s="733" t="s">
        <v>5914</v>
      </c>
      <c r="C562" s="731" t="s">
        <v>5771</v>
      </c>
      <c r="D562" s="752" t="s">
        <v>3452</v>
      </c>
      <c r="E562" s="754">
        <v>0</v>
      </c>
    </row>
    <row r="563" spans="1:5" ht="16.3" customHeight="1">
      <c r="A563" s="754" t="s">
        <v>4448</v>
      </c>
      <c r="B563" s="733" t="s">
        <v>5914</v>
      </c>
      <c r="C563" s="731" t="s">
        <v>2680</v>
      </c>
      <c r="D563" s="752" t="s">
        <v>3452</v>
      </c>
      <c r="E563" s="754">
        <v>0</v>
      </c>
    </row>
    <row r="564" spans="1:5" ht="16.3" customHeight="1">
      <c r="A564" s="754" t="s">
        <v>4448</v>
      </c>
      <c r="B564" s="758" t="s">
        <v>5913</v>
      </c>
      <c r="C564" s="731" t="s">
        <v>2974</v>
      </c>
      <c r="D564" s="752" t="s">
        <v>5850</v>
      </c>
      <c r="E564" s="754">
        <v>0</v>
      </c>
    </row>
    <row r="565" spans="1:5" ht="16.3" customHeight="1">
      <c r="A565" s="754" t="s">
        <v>4448</v>
      </c>
      <c r="B565" s="758" t="s">
        <v>5913</v>
      </c>
      <c r="C565" s="731" t="s">
        <v>2975</v>
      </c>
      <c r="D565" s="752" t="s">
        <v>5850</v>
      </c>
      <c r="E565" s="754">
        <v>0</v>
      </c>
    </row>
    <row r="566" spans="1:5" ht="16.3" customHeight="1">
      <c r="A566" s="754" t="s">
        <v>4448</v>
      </c>
      <c r="B566" s="758" t="s">
        <v>5913</v>
      </c>
      <c r="C566" s="731" t="s">
        <v>2976</v>
      </c>
      <c r="D566" s="752" t="s">
        <v>5850</v>
      </c>
      <c r="E566" s="754">
        <v>0</v>
      </c>
    </row>
    <row r="567" spans="1:5" ht="16.3" customHeight="1">
      <c r="A567" s="754" t="s">
        <v>4448</v>
      </c>
      <c r="B567" s="759" t="s">
        <v>5915</v>
      </c>
      <c r="C567" s="731" t="s">
        <v>2977</v>
      </c>
      <c r="D567" s="752" t="s">
        <v>5851</v>
      </c>
      <c r="E567" s="754">
        <v>0</v>
      </c>
    </row>
    <row r="568" spans="1:5" ht="16.3" customHeight="1">
      <c r="A568" s="754" t="s">
        <v>4448</v>
      </c>
      <c r="B568" s="759" t="s">
        <v>5915</v>
      </c>
      <c r="C568" s="731" t="s">
        <v>2978</v>
      </c>
      <c r="D568" s="752" t="s">
        <v>5851</v>
      </c>
      <c r="E568" s="754">
        <v>0</v>
      </c>
    </row>
    <row r="569" spans="1:5" ht="16.3" customHeight="1">
      <c r="A569" s="754" t="s">
        <v>4448</v>
      </c>
      <c r="B569" s="759" t="s">
        <v>5915</v>
      </c>
      <c r="C569" s="731" t="s">
        <v>2979</v>
      </c>
      <c r="D569" s="752" t="s">
        <v>5851</v>
      </c>
      <c r="E569" s="754">
        <v>0</v>
      </c>
    </row>
    <row r="570" spans="1:5" ht="16.3" customHeight="1">
      <c r="A570" s="754" t="s">
        <v>4448</v>
      </c>
      <c r="B570" s="759" t="s">
        <v>5915</v>
      </c>
      <c r="C570" s="731" t="s">
        <v>2680</v>
      </c>
      <c r="D570" s="752" t="s">
        <v>5851</v>
      </c>
      <c r="E570" s="754">
        <v>0</v>
      </c>
    </row>
    <row r="571" spans="1:5" ht="16.3" customHeight="1">
      <c r="A571" s="754" t="s">
        <v>4448</v>
      </c>
      <c r="B571" s="767" t="s">
        <v>5916</v>
      </c>
      <c r="C571" s="736" t="s">
        <v>2980</v>
      </c>
      <c r="D571" s="752" t="s">
        <v>5852</v>
      </c>
      <c r="E571" s="754">
        <v>0</v>
      </c>
    </row>
    <row r="572" spans="1:5" ht="16.3" customHeight="1">
      <c r="A572" s="754" t="s">
        <v>4448</v>
      </c>
      <c r="B572" s="767" t="s">
        <v>5916</v>
      </c>
      <c r="C572" s="731" t="s">
        <v>2981</v>
      </c>
      <c r="D572" s="752" t="s">
        <v>5852</v>
      </c>
      <c r="E572" s="754">
        <v>0</v>
      </c>
    </row>
    <row r="573" spans="1:5" ht="16.3" customHeight="1">
      <c r="A573" s="754" t="s">
        <v>4448</v>
      </c>
      <c r="B573" s="767" t="s">
        <v>5916</v>
      </c>
      <c r="C573" s="731" t="s">
        <v>2982</v>
      </c>
      <c r="D573" s="752" t="s">
        <v>5852</v>
      </c>
      <c r="E573" s="754">
        <v>0</v>
      </c>
    </row>
    <row r="574" spans="1:5" ht="16.3" customHeight="1">
      <c r="A574" s="754" t="s">
        <v>4448</v>
      </c>
      <c r="B574" s="767" t="s">
        <v>5916</v>
      </c>
      <c r="C574" s="731" t="s">
        <v>2983</v>
      </c>
      <c r="D574" s="752" t="s">
        <v>5852</v>
      </c>
      <c r="E574" s="754">
        <v>0</v>
      </c>
    </row>
    <row r="575" spans="1:5" ht="16.3" customHeight="1">
      <c r="A575" s="754" t="s">
        <v>4448</v>
      </c>
      <c r="B575" s="767" t="s">
        <v>5916</v>
      </c>
      <c r="C575" s="731" t="s">
        <v>2984</v>
      </c>
      <c r="D575" s="752" t="s">
        <v>5852</v>
      </c>
      <c r="E575" s="754">
        <v>0</v>
      </c>
    </row>
    <row r="576" spans="1:5" ht="16.3" customHeight="1">
      <c r="A576" s="754" t="s">
        <v>4448</v>
      </c>
      <c r="B576" s="761" t="s">
        <v>5917</v>
      </c>
      <c r="C576" s="731" t="s">
        <v>2985</v>
      </c>
      <c r="D576" s="752" t="s">
        <v>5853</v>
      </c>
      <c r="E576" s="754">
        <v>0</v>
      </c>
    </row>
    <row r="577" spans="1:5" ht="16.3" customHeight="1">
      <c r="A577" s="754" t="s">
        <v>4448</v>
      </c>
      <c r="B577" s="761" t="s">
        <v>5917</v>
      </c>
      <c r="C577" s="731" t="s">
        <v>2680</v>
      </c>
      <c r="D577" s="752" t="s">
        <v>5853</v>
      </c>
      <c r="E577" s="754">
        <v>0</v>
      </c>
    </row>
    <row r="578" spans="1:5" ht="16.3" customHeight="1">
      <c r="A578" s="754" t="s">
        <v>4448</v>
      </c>
      <c r="B578" s="732" t="s">
        <v>5912</v>
      </c>
      <c r="C578" s="731" t="s">
        <v>2987</v>
      </c>
      <c r="D578" s="752" t="s">
        <v>3486</v>
      </c>
      <c r="E578" s="754">
        <v>0</v>
      </c>
    </row>
    <row r="579" spans="1:5" ht="16.3" customHeight="1">
      <c r="A579" s="754" t="s">
        <v>4448</v>
      </c>
      <c r="B579" s="732" t="s">
        <v>5912</v>
      </c>
      <c r="C579" s="731" t="s">
        <v>2680</v>
      </c>
      <c r="D579" s="752" t="s">
        <v>3486</v>
      </c>
      <c r="E579" s="754">
        <v>0</v>
      </c>
    </row>
    <row r="580" spans="1:5" ht="16.3" customHeight="1">
      <c r="A580" s="754" t="s">
        <v>4448</v>
      </c>
      <c r="B580" s="733" t="s">
        <v>5914</v>
      </c>
      <c r="C580" s="731" t="s">
        <v>5772</v>
      </c>
      <c r="D580" s="752" t="s">
        <v>3452</v>
      </c>
      <c r="E580" s="754">
        <v>0</v>
      </c>
    </row>
    <row r="581" spans="1:5" ht="16.3" customHeight="1">
      <c r="A581" s="754" t="s">
        <v>4448</v>
      </c>
      <c r="B581" s="733" t="s">
        <v>5914</v>
      </c>
      <c r="C581" s="731" t="s">
        <v>2680</v>
      </c>
      <c r="D581" s="752" t="s">
        <v>3452</v>
      </c>
      <c r="E581" s="754">
        <v>0</v>
      </c>
    </row>
    <row r="582" spans="1:5" ht="16.3" customHeight="1">
      <c r="A582" s="754" t="s">
        <v>4448</v>
      </c>
      <c r="B582" s="758" t="s">
        <v>5913</v>
      </c>
      <c r="C582" s="731" t="s">
        <v>2988</v>
      </c>
      <c r="D582" s="752" t="s">
        <v>5850</v>
      </c>
      <c r="E582" s="754">
        <v>0</v>
      </c>
    </row>
    <row r="583" spans="1:5" ht="16.3" customHeight="1">
      <c r="A583" s="754" t="s">
        <v>4448</v>
      </c>
      <c r="B583" s="758" t="s">
        <v>5913</v>
      </c>
      <c r="C583" s="731" t="s">
        <v>2989</v>
      </c>
      <c r="D583" s="752" t="s">
        <v>5850</v>
      </c>
      <c r="E583" s="754">
        <v>0</v>
      </c>
    </row>
    <row r="584" spans="1:5" ht="16.3" customHeight="1">
      <c r="A584" s="754" t="s">
        <v>4448</v>
      </c>
      <c r="B584" s="758" t="s">
        <v>5913</v>
      </c>
      <c r="C584" s="731" t="s">
        <v>2680</v>
      </c>
      <c r="D584" s="752" t="s">
        <v>5850</v>
      </c>
      <c r="E584" s="754">
        <v>0</v>
      </c>
    </row>
    <row r="585" spans="1:5" ht="16.3" customHeight="1">
      <c r="A585" s="754" t="s">
        <v>4448</v>
      </c>
      <c r="B585" s="759" t="s">
        <v>5915</v>
      </c>
      <c r="C585" s="731" t="s">
        <v>2990</v>
      </c>
      <c r="D585" s="752" t="s">
        <v>5851</v>
      </c>
      <c r="E585" s="754">
        <v>0</v>
      </c>
    </row>
    <row r="586" spans="1:5" ht="16.3" customHeight="1">
      <c r="A586" s="754" t="s">
        <v>4448</v>
      </c>
      <c r="B586" s="759" t="s">
        <v>5915</v>
      </c>
      <c r="C586" s="731" t="s">
        <v>2991</v>
      </c>
      <c r="D586" s="752" t="s">
        <v>5851</v>
      </c>
      <c r="E586" s="754">
        <v>0</v>
      </c>
    </row>
    <row r="587" spans="1:5" ht="16.3" customHeight="1">
      <c r="A587" s="754" t="s">
        <v>4448</v>
      </c>
      <c r="B587" s="759" t="s">
        <v>5915</v>
      </c>
      <c r="C587" s="731" t="s">
        <v>2680</v>
      </c>
      <c r="D587" s="752" t="s">
        <v>5851</v>
      </c>
      <c r="E587" s="754">
        <v>0</v>
      </c>
    </row>
    <row r="588" spans="1:5" ht="16.3" customHeight="1">
      <c r="A588" s="754" t="s">
        <v>4448</v>
      </c>
      <c r="B588" s="759" t="s">
        <v>5915</v>
      </c>
      <c r="C588" s="731" t="s">
        <v>2680</v>
      </c>
      <c r="D588" s="752" t="s">
        <v>5851</v>
      </c>
      <c r="E588" s="754">
        <v>0</v>
      </c>
    </row>
    <row r="589" spans="1:5" ht="16.3" customHeight="1">
      <c r="A589" s="754" t="s">
        <v>4448</v>
      </c>
      <c r="B589" s="767" t="s">
        <v>5916</v>
      </c>
      <c r="C589" s="731" t="s">
        <v>2992</v>
      </c>
      <c r="D589" s="752" t="s">
        <v>5852</v>
      </c>
      <c r="E589" s="754">
        <v>0</v>
      </c>
    </row>
    <row r="590" spans="1:5" ht="16.3" customHeight="1">
      <c r="A590" s="754" t="s">
        <v>4448</v>
      </c>
      <c r="B590" s="767" t="s">
        <v>5916</v>
      </c>
      <c r="C590" s="731" t="s">
        <v>2993</v>
      </c>
      <c r="D590" s="752" t="s">
        <v>5852</v>
      </c>
      <c r="E590" s="754">
        <v>0</v>
      </c>
    </row>
    <row r="591" spans="1:5" ht="16.3" customHeight="1">
      <c r="A591" s="754" t="s">
        <v>4448</v>
      </c>
      <c r="B591" s="767" t="s">
        <v>5916</v>
      </c>
      <c r="C591" s="736" t="s">
        <v>2994</v>
      </c>
      <c r="D591" s="752" t="s">
        <v>5852</v>
      </c>
      <c r="E591" s="754">
        <v>0</v>
      </c>
    </row>
    <row r="592" spans="1:5" ht="16.3" customHeight="1">
      <c r="A592" s="754" t="s">
        <v>4448</v>
      </c>
      <c r="B592" s="767" t="s">
        <v>5916</v>
      </c>
      <c r="C592" s="731" t="s">
        <v>2680</v>
      </c>
      <c r="D592" s="752" t="s">
        <v>5852</v>
      </c>
      <c r="E592" s="754">
        <v>0</v>
      </c>
    </row>
    <row r="593" spans="1:5" ht="16.3" customHeight="1">
      <c r="A593" s="754" t="s">
        <v>4448</v>
      </c>
      <c r="B593" s="767" t="s">
        <v>5916</v>
      </c>
      <c r="C593" s="731" t="s">
        <v>2680</v>
      </c>
      <c r="D593" s="752" t="s">
        <v>5852</v>
      </c>
      <c r="E593" s="754">
        <v>0</v>
      </c>
    </row>
    <row r="594" spans="1:5" ht="16.3" customHeight="1">
      <c r="A594" s="754" t="s">
        <v>4448</v>
      </c>
      <c r="B594" s="761" t="s">
        <v>5917</v>
      </c>
      <c r="C594" s="736" t="s">
        <v>2995</v>
      </c>
      <c r="D594" s="752" t="s">
        <v>5853</v>
      </c>
      <c r="E594" s="754">
        <v>0</v>
      </c>
    </row>
    <row r="595" spans="1:5" ht="16.3" customHeight="1">
      <c r="A595" s="754" t="s">
        <v>4448</v>
      </c>
      <c r="B595" s="761" t="s">
        <v>5917</v>
      </c>
      <c r="C595" s="731" t="s">
        <v>2680</v>
      </c>
      <c r="D595" s="752" t="s">
        <v>5853</v>
      </c>
      <c r="E595" s="754">
        <v>0</v>
      </c>
    </row>
    <row r="596" spans="1:5" ht="16.3" customHeight="1">
      <c r="A596" s="754" t="s">
        <v>4448</v>
      </c>
      <c r="B596" s="732" t="s">
        <v>5912</v>
      </c>
      <c r="C596" s="731" t="s">
        <v>2997</v>
      </c>
      <c r="D596" s="752" t="s">
        <v>3486</v>
      </c>
      <c r="E596" s="754">
        <v>0</v>
      </c>
    </row>
    <row r="597" spans="1:5" ht="16.3" customHeight="1">
      <c r="A597" s="754" t="s">
        <v>4448</v>
      </c>
      <c r="B597" s="732" t="s">
        <v>5912</v>
      </c>
      <c r="C597" s="731" t="s">
        <v>2680</v>
      </c>
      <c r="D597" s="752" t="s">
        <v>3486</v>
      </c>
      <c r="E597" s="754">
        <v>0</v>
      </c>
    </row>
    <row r="598" spans="1:5" ht="16.3" customHeight="1">
      <c r="A598" s="754" t="s">
        <v>4448</v>
      </c>
      <c r="B598" s="733" t="s">
        <v>5914</v>
      </c>
      <c r="C598" s="731" t="s">
        <v>5773</v>
      </c>
      <c r="D598" s="752" t="s">
        <v>3452</v>
      </c>
      <c r="E598" s="754">
        <v>0</v>
      </c>
    </row>
    <row r="599" spans="1:5" ht="16.3" customHeight="1">
      <c r="A599" s="754" t="s">
        <v>4448</v>
      </c>
      <c r="B599" s="733" t="s">
        <v>5914</v>
      </c>
      <c r="C599" s="731" t="s">
        <v>2680</v>
      </c>
      <c r="D599" s="752" t="s">
        <v>3452</v>
      </c>
      <c r="E599" s="754">
        <v>0</v>
      </c>
    </row>
    <row r="600" spans="1:5" ht="16.3" customHeight="1">
      <c r="A600" s="754" t="s">
        <v>4448</v>
      </c>
      <c r="B600" s="758" t="s">
        <v>5913</v>
      </c>
      <c r="C600" s="731" t="s">
        <v>2998</v>
      </c>
      <c r="D600" s="752" t="s">
        <v>5850</v>
      </c>
      <c r="E600" s="754">
        <v>0</v>
      </c>
    </row>
    <row r="601" spans="1:5" ht="16.3" customHeight="1">
      <c r="A601" s="754" t="s">
        <v>4448</v>
      </c>
      <c r="B601" s="758" t="s">
        <v>5913</v>
      </c>
      <c r="C601" s="731" t="s">
        <v>2999</v>
      </c>
      <c r="D601" s="752" t="s">
        <v>5850</v>
      </c>
      <c r="E601" s="754">
        <v>0</v>
      </c>
    </row>
    <row r="602" spans="1:5" ht="16.3" customHeight="1">
      <c r="A602" s="754" t="s">
        <v>4448</v>
      </c>
      <c r="B602" s="758" t="s">
        <v>5913</v>
      </c>
      <c r="C602" s="731" t="s">
        <v>2680</v>
      </c>
      <c r="D602" s="752" t="s">
        <v>5850</v>
      </c>
      <c r="E602" s="754">
        <v>0</v>
      </c>
    </row>
    <row r="603" spans="1:5" ht="16.3" customHeight="1">
      <c r="A603" s="754" t="s">
        <v>4448</v>
      </c>
      <c r="B603" s="759" t="s">
        <v>5915</v>
      </c>
      <c r="C603" s="731" t="s">
        <v>2680</v>
      </c>
      <c r="D603" s="752" t="s">
        <v>5851</v>
      </c>
      <c r="E603" s="754">
        <v>0</v>
      </c>
    </row>
    <row r="604" spans="1:5" ht="16.3" customHeight="1">
      <c r="A604" s="754" t="s">
        <v>4448</v>
      </c>
      <c r="B604" s="759" t="s">
        <v>5915</v>
      </c>
      <c r="C604" s="731" t="s">
        <v>3000</v>
      </c>
      <c r="D604" s="752" t="s">
        <v>5851</v>
      </c>
      <c r="E604" s="754">
        <v>0</v>
      </c>
    </row>
    <row r="605" spans="1:5" ht="16.3" customHeight="1">
      <c r="A605" s="754" t="s">
        <v>4448</v>
      </c>
      <c r="B605" s="759" t="s">
        <v>5915</v>
      </c>
      <c r="C605" s="731" t="s">
        <v>3001</v>
      </c>
      <c r="D605" s="752" t="s">
        <v>5851</v>
      </c>
      <c r="E605" s="754">
        <v>0</v>
      </c>
    </row>
    <row r="606" spans="1:5" ht="16.3" customHeight="1">
      <c r="A606" s="754" t="s">
        <v>4448</v>
      </c>
      <c r="B606" s="759" t="s">
        <v>5915</v>
      </c>
      <c r="C606" s="731" t="s">
        <v>2680</v>
      </c>
      <c r="D606" s="752" t="s">
        <v>5851</v>
      </c>
      <c r="E606" s="754">
        <v>0</v>
      </c>
    </row>
    <row r="607" spans="1:5" ht="16.3" customHeight="1">
      <c r="A607" s="754" t="s">
        <v>4448</v>
      </c>
      <c r="B607" s="767" t="s">
        <v>5916</v>
      </c>
      <c r="C607" s="731" t="s">
        <v>2680</v>
      </c>
      <c r="D607" s="752" t="s">
        <v>5852</v>
      </c>
      <c r="E607" s="754">
        <v>0</v>
      </c>
    </row>
    <row r="608" spans="1:5" ht="16.3" customHeight="1">
      <c r="A608" s="754" t="s">
        <v>4448</v>
      </c>
      <c r="B608" s="767" t="s">
        <v>5916</v>
      </c>
      <c r="C608" s="731" t="s">
        <v>3002</v>
      </c>
      <c r="D608" s="752" t="s">
        <v>5852</v>
      </c>
      <c r="E608" s="754">
        <v>0</v>
      </c>
    </row>
    <row r="609" spans="1:5" ht="16.3" customHeight="1">
      <c r="A609" s="754" t="s">
        <v>4448</v>
      </c>
      <c r="B609" s="767" t="s">
        <v>5916</v>
      </c>
      <c r="C609" s="731" t="s">
        <v>3003</v>
      </c>
      <c r="D609" s="752" t="s">
        <v>5852</v>
      </c>
      <c r="E609" s="754">
        <v>0</v>
      </c>
    </row>
    <row r="610" spans="1:5" ht="16.3" customHeight="1">
      <c r="A610" s="754" t="s">
        <v>4448</v>
      </c>
      <c r="B610" s="767" t="s">
        <v>5916</v>
      </c>
      <c r="C610" s="731" t="s">
        <v>2680</v>
      </c>
      <c r="D610" s="752" t="s">
        <v>5852</v>
      </c>
      <c r="E610" s="754">
        <v>0</v>
      </c>
    </row>
    <row r="611" spans="1:5" ht="16.3" customHeight="1">
      <c r="A611" s="754" t="s">
        <v>4448</v>
      </c>
      <c r="B611" s="767" t="s">
        <v>5916</v>
      </c>
      <c r="C611" s="731" t="s">
        <v>2680</v>
      </c>
      <c r="D611" s="752" t="s">
        <v>5852</v>
      </c>
      <c r="E611" s="754">
        <v>0</v>
      </c>
    </row>
    <row r="612" spans="1:5" ht="16.3" customHeight="1">
      <c r="A612" s="754" t="s">
        <v>4448</v>
      </c>
      <c r="B612" s="761" t="s">
        <v>5917</v>
      </c>
      <c r="C612" s="731" t="s">
        <v>2680</v>
      </c>
      <c r="D612" s="752" t="s">
        <v>5853</v>
      </c>
      <c r="E612" s="754">
        <v>0</v>
      </c>
    </row>
    <row r="613" spans="1:5" ht="16.3" customHeight="1">
      <c r="A613" s="754" t="s">
        <v>4448</v>
      </c>
      <c r="B613" s="761" t="s">
        <v>5917</v>
      </c>
      <c r="C613" s="731" t="s">
        <v>3004</v>
      </c>
      <c r="D613" s="752" t="s">
        <v>5853</v>
      </c>
      <c r="E613" s="754">
        <v>0</v>
      </c>
    </row>
    <row r="614" spans="1:5" ht="16.3" customHeight="1">
      <c r="A614" s="754" t="s">
        <v>4448</v>
      </c>
      <c r="B614" s="732" t="s">
        <v>5912</v>
      </c>
      <c r="C614" s="731" t="s">
        <v>3006</v>
      </c>
      <c r="D614" s="752" t="s">
        <v>3486</v>
      </c>
      <c r="E614" s="754">
        <v>0</v>
      </c>
    </row>
    <row r="615" spans="1:5" ht="16.3" customHeight="1">
      <c r="A615" s="754" t="s">
        <v>4448</v>
      </c>
      <c r="B615" s="732" t="s">
        <v>5912</v>
      </c>
      <c r="C615" s="731" t="s">
        <v>3007</v>
      </c>
      <c r="D615" s="752" t="s">
        <v>3486</v>
      </c>
      <c r="E615" s="754">
        <v>0</v>
      </c>
    </row>
    <row r="616" spans="1:5" ht="16.3" customHeight="1">
      <c r="A616" s="754" t="s">
        <v>4448</v>
      </c>
      <c r="B616" s="733" t="s">
        <v>5914</v>
      </c>
      <c r="C616" s="731" t="s">
        <v>5774</v>
      </c>
      <c r="D616" s="752" t="s">
        <v>3452</v>
      </c>
      <c r="E616" s="754">
        <v>0</v>
      </c>
    </row>
    <row r="617" spans="1:5" ht="16.3" customHeight="1">
      <c r="A617" s="754" t="s">
        <v>4448</v>
      </c>
      <c r="B617" s="733" t="s">
        <v>5914</v>
      </c>
      <c r="C617" s="731" t="s">
        <v>2680</v>
      </c>
      <c r="D617" s="752" t="s">
        <v>3452</v>
      </c>
      <c r="E617" s="754">
        <v>0</v>
      </c>
    </row>
    <row r="618" spans="1:5" ht="16.3" customHeight="1">
      <c r="A618" s="754" t="s">
        <v>4448</v>
      </c>
      <c r="B618" s="758" t="s">
        <v>5913</v>
      </c>
      <c r="C618" s="731" t="s">
        <v>3008</v>
      </c>
      <c r="D618" s="752" t="s">
        <v>5850</v>
      </c>
      <c r="E618" s="754">
        <v>0</v>
      </c>
    </row>
    <row r="619" spans="1:5" ht="16.3" customHeight="1">
      <c r="A619" s="754" t="s">
        <v>4448</v>
      </c>
      <c r="B619" s="758" t="s">
        <v>5913</v>
      </c>
      <c r="C619" s="731" t="s">
        <v>3009</v>
      </c>
      <c r="D619" s="752" t="s">
        <v>5850</v>
      </c>
      <c r="E619" s="754">
        <v>0</v>
      </c>
    </row>
    <row r="620" spans="1:5" ht="16.3" customHeight="1">
      <c r="A620" s="754" t="s">
        <v>4448</v>
      </c>
      <c r="B620" s="758" t="s">
        <v>5913</v>
      </c>
      <c r="C620" s="731" t="s">
        <v>3010</v>
      </c>
      <c r="D620" s="752" t="s">
        <v>5850</v>
      </c>
      <c r="E620" s="754">
        <v>0</v>
      </c>
    </row>
    <row r="621" spans="1:5" ht="16.3" customHeight="1">
      <c r="A621" s="754" t="s">
        <v>4448</v>
      </c>
      <c r="B621" s="759" t="s">
        <v>5915</v>
      </c>
      <c r="C621" s="731" t="s">
        <v>3011</v>
      </c>
      <c r="D621" s="752" t="s">
        <v>5851</v>
      </c>
      <c r="E621" s="754">
        <v>0</v>
      </c>
    </row>
    <row r="622" spans="1:5" ht="16.3" customHeight="1">
      <c r="A622" s="754" t="s">
        <v>4448</v>
      </c>
      <c r="B622" s="759" t="s">
        <v>5915</v>
      </c>
      <c r="C622" s="731" t="s">
        <v>3012</v>
      </c>
      <c r="D622" s="752" t="s">
        <v>5851</v>
      </c>
      <c r="E622" s="754">
        <v>0</v>
      </c>
    </row>
    <row r="623" spans="1:5" ht="16.3" customHeight="1">
      <c r="A623" s="754" t="s">
        <v>4448</v>
      </c>
      <c r="B623" s="759" t="s">
        <v>5915</v>
      </c>
      <c r="C623" s="731" t="s">
        <v>2680</v>
      </c>
      <c r="D623" s="752" t="s">
        <v>5851</v>
      </c>
      <c r="E623" s="754">
        <v>0</v>
      </c>
    </row>
    <row r="624" spans="1:5" ht="16.3" customHeight="1">
      <c r="A624" s="754" t="s">
        <v>4448</v>
      </c>
      <c r="B624" s="759" t="s">
        <v>5915</v>
      </c>
      <c r="C624" s="731" t="s">
        <v>2680</v>
      </c>
      <c r="D624" s="752" t="s">
        <v>5851</v>
      </c>
      <c r="E624" s="754">
        <v>0</v>
      </c>
    </row>
    <row r="625" spans="1:5" ht="16.3" customHeight="1">
      <c r="A625" s="754" t="s">
        <v>4448</v>
      </c>
      <c r="B625" s="767" t="s">
        <v>5916</v>
      </c>
      <c r="C625" s="731" t="s">
        <v>3013</v>
      </c>
      <c r="D625" s="752" t="s">
        <v>5852</v>
      </c>
      <c r="E625" s="754">
        <v>0</v>
      </c>
    </row>
    <row r="626" spans="1:5" ht="16.3" customHeight="1">
      <c r="A626" s="754" t="s">
        <v>4448</v>
      </c>
      <c r="B626" s="767" t="s">
        <v>5916</v>
      </c>
      <c r="C626" s="731" t="s">
        <v>3014</v>
      </c>
      <c r="D626" s="752" t="s">
        <v>5852</v>
      </c>
      <c r="E626" s="754">
        <v>0</v>
      </c>
    </row>
    <row r="627" spans="1:5" ht="16.3" customHeight="1">
      <c r="A627" s="754" t="s">
        <v>4448</v>
      </c>
      <c r="B627" s="767" t="s">
        <v>5916</v>
      </c>
      <c r="C627" s="731" t="s">
        <v>3015</v>
      </c>
      <c r="D627" s="752" t="s">
        <v>5852</v>
      </c>
      <c r="E627" s="754">
        <v>0</v>
      </c>
    </row>
    <row r="628" spans="1:5" ht="16.3" customHeight="1">
      <c r="A628" s="754" t="s">
        <v>4448</v>
      </c>
      <c r="B628" s="767" t="s">
        <v>5916</v>
      </c>
      <c r="C628" s="731" t="s">
        <v>3016</v>
      </c>
      <c r="D628" s="752" t="s">
        <v>5852</v>
      </c>
      <c r="E628" s="754">
        <v>0</v>
      </c>
    </row>
    <row r="629" spans="1:5" ht="16.3" customHeight="1">
      <c r="A629" s="754" t="s">
        <v>4448</v>
      </c>
      <c r="B629" s="767" t="s">
        <v>5916</v>
      </c>
      <c r="C629" s="731" t="s">
        <v>2680</v>
      </c>
      <c r="D629" s="752" t="s">
        <v>5852</v>
      </c>
      <c r="E629" s="754">
        <v>0</v>
      </c>
    </row>
    <row r="630" spans="1:5" ht="16.3" customHeight="1">
      <c r="A630" s="754" t="s">
        <v>4448</v>
      </c>
      <c r="B630" s="761" t="s">
        <v>5917</v>
      </c>
      <c r="C630" s="731" t="s">
        <v>3017</v>
      </c>
      <c r="D630" s="752" t="s">
        <v>5853</v>
      </c>
      <c r="E630" s="754">
        <v>0</v>
      </c>
    </row>
    <row r="631" spans="1:5" ht="16.3" customHeight="1">
      <c r="A631" s="754" t="s">
        <v>4448</v>
      </c>
      <c r="B631" s="761" t="s">
        <v>5917</v>
      </c>
      <c r="C631" s="731" t="s">
        <v>2680</v>
      </c>
      <c r="D631" s="752" t="s">
        <v>5853</v>
      </c>
      <c r="E631" s="754">
        <v>0</v>
      </c>
    </row>
    <row r="632" spans="1:5" ht="16.3" customHeight="1">
      <c r="A632" s="754" t="s">
        <v>4448</v>
      </c>
      <c r="B632" s="732" t="s">
        <v>5912</v>
      </c>
      <c r="C632" s="731" t="s">
        <v>3019</v>
      </c>
      <c r="D632" s="752" t="s">
        <v>3486</v>
      </c>
      <c r="E632" s="754">
        <v>0</v>
      </c>
    </row>
    <row r="633" spans="1:5" ht="16.3" customHeight="1">
      <c r="A633" s="754" t="s">
        <v>4448</v>
      </c>
      <c r="B633" s="732" t="s">
        <v>5912</v>
      </c>
      <c r="C633" s="731" t="s">
        <v>2680</v>
      </c>
      <c r="D633" s="752" t="s">
        <v>3486</v>
      </c>
      <c r="E633" s="754">
        <v>0</v>
      </c>
    </row>
    <row r="634" spans="1:5" ht="16.3" customHeight="1">
      <c r="A634" s="754" t="s">
        <v>4448</v>
      </c>
      <c r="B634" s="733" t="s">
        <v>5914</v>
      </c>
      <c r="C634" s="731" t="s">
        <v>5775</v>
      </c>
      <c r="D634" s="752" t="s">
        <v>3452</v>
      </c>
      <c r="E634" s="754">
        <v>0</v>
      </c>
    </row>
    <row r="635" spans="1:5" ht="16.3" customHeight="1">
      <c r="A635" s="754" t="s">
        <v>4448</v>
      </c>
      <c r="B635" s="733" t="s">
        <v>5914</v>
      </c>
      <c r="C635" s="731" t="s">
        <v>2680</v>
      </c>
      <c r="D635" s="752" t="s">
        <v>3452</v>
      </c>
      <c r="E635" s="754">
        <v>0</v>
      </c>
    </row>
    <row r="636" spans="1:5" ht="16.3" customHeight="1">
      <c r="A636" s="754" t="s">
        <v>4448</v>
      </c>
      <c r="B636" s="758" t="s">
        <v>5913</v>
      </c>
      <c r="C636" s="731" t="s">
        <v>3020</v>
      </c>
      <c r="D636" s="752" t="s">
        <v>5850</v>
      </c>
      <c r="E636" s="754">
        <v>0</v>
      </c>
    </row>
    <row r="637" spans="1:5" ht="16.3" customHeight="1">
      <c r="A637" s="754" t="s">
        <v>4448</v>
      </c>
      <c r="B637" s="758" t="s">
        <v>5913</v>
      </c>
      <c r="C637" s="731" t="s">
        <v>3021</v>
      </c>
      <c r="D637" s="752" t="s">
        <v>5850</v>
      </c>
      <c r="E637" s="754">
        <v>0</v>
      </c>
    </row>
    <row r="638" spans="1:5" ht="16.3" customHeight="1">
      <c r="A638" s="754" t="s">
        <v>4448</v>
      </c>
      <c r="B638" s="758" t="s">
        <v>5913</v>
      </c>
      <c r="C638" s="731" t="s">
        <v>2680</v>
      </c>
      <c r="D638" s="752" t="s">
        <v>5850</v>
      </c>
      <c r="E638" s="754">
        <v>0</v>
      </c>
    </row>
    <row r="639" spans="1:5" ht="16.3" customHeight="1">
      <c r="A639" s="754" t="s">
        <v>4448</v>
      </c>
      <c r="B639" s="759" t="s">
        <v>5915</v>
      </c>
      <c r="C639" s="731" t="s">
        <v>3022</v>
      </c>
      <c r="D639" s="752" t="s">
        <v>5851</v>
      </c>
      <c r="E639" s="754">
        <v>0</v>
      </c>
    </row>
    <row r="640" spans="1:5" ht="16.3" customHeight="1">
      <c r="A640" s="754" t="s">
        <v>4448</v>
      </c>
      <c r="B640" s="759" t="s">
        <v>5915</v>
      </c>
      <c r="C640" s="731" t="s">
        <v>3023</v>
      </c>
      <c r="D640" s="752" t="s">
        <v>5851</v>
      </c>
      <c r="E640" s="754">
        <v>0</v>
      </c>
    </row>
    <row r="641" spans="1:5" ht="16.3" customHeight="1">
      <c r="A641" s="754" t="s">
        <v>4448</v>
      </c>
      <c r="B641" s="759" t="s">
        <v>5915</v>
      </c>
      <c r="C641" s="731" t="s">
        <v>3024</v>
      </c>
      <c r="D641" s="752" t="s">
        <v>5851</v>
      </c>
      <c r="E641" s="754">
        <v>0</v>
      </c>
    </row>
    <row r="642" spans="1:5" ht="16.3" customHeight="1">
      <c r="A642" s="754" t="s">
        <v>4448</v>
      </c>
      <c r="B642" s="759" t="s">
        <v>5915</v>
      </c>
      <c r="C642" s="731" t="s">
        <v>3025</v>
      </c>
      <c r="D642" s="752" t="s">
        <v>5851</v>
      </c>
      <c r="E642" s="754">
        <v>0</v>
      </c>
    </row>
    <row r="643" spans="1:5" ht="16.3" customHeight="1">
      <c r="A643" s="754" t="s">
        <v>4448</v>
      </c>
      <c r="B643" s="767" t="s">
        <v>5916</v>
      </c>
      <c r="C643" s="731" t="s">
        <v>3026</v>
      </c>
      <c r="D643" s="752" t="s">
        <v>5852</v>
      </c>
      <c r="E643" s="754">
        <v>0</v>
      </c>
    </row>
    <row r="644" spans="1:5" ht="16.3" customHeight="1">
      <c r="A644" s="754" t="s">
        <v>4448</v>
      </c>
      <c r="B644" s="767" t="s">
        <v>5916</v>
      </c>
      <c r="C644" s="731" t="s">
        <v>3027</v>
      </c>
      <c r="D644" s="752" t="s">
        <v>5852</v>
      </c>
      <c r="E644" s="754">
        <v>0</v>
      </c>
    </row>
    <row r="645" spans="1:5" ht="16.3" customHeight="1">
      <c r="A645" s="754" t="s">
        <v>4448</v>
      </c>
      <c r="B645" s="767" t="s">
        <v>5916</v>
      </c>
      <c r="C645" s="731" t="s">
        <v>3028</v>
      </c>
      <c r="D645" s="752" t="s">
        <v>5852</v>
      </c>
      <c r="E645" s="754">
        <v>0</v>
      </c>
    </row>
    <row r="646" spans="1:5" ht="16.3" customHeight="1">
      <c r="A646" s="754" t="s">
        <v>4448</v>
      </c>
      <c r="B646" s="767" t="s">
        <v>5916</v>
      </c>
      <c r="C646" s="731" t="s">
        <v>3029</v>
      </c>
      <c r="D646" s="752" t="s">
        <v>5852</v>
      </c>
      <c r="E646" s="754">
        <v>0</v>
      </c>
    </row>
    <row r="647" spans="1:5" ht="16.3" customHeight="1">
      <c r="A647" s="754" t="s">
        <v>4448</v>
      </c>
      <c r="B647" s="767" t="s">
        <v>5916</v>
      </c>
      <c r="C647" s="731" t="s">
        <v>2680</v>
      </c>
      <c r="D647" s="752" t="s">
        <v>5852</v>
      </c>
      <c r="E647" s="754">
        <v>0</v>
      </c>
    </row>
    <row r="648" spans="1:5" ht="16.3" customHeight="1">
      <c r="A648" s="754" t="s">
        <v>4448</v>
      </c>
      <c r="B648" s="761" t="s">
        <v>5917</v>
      </c>
      <c r="C648" s="731" t="s">
        <v>3030</v>
      </c>
      <c r="D648" s="752" t="s">
        <v>5853</v>
      </c>
      <c r="E648" s="754">
        <v>0</v>
      </c>
    </row>
    <row r="649" spans="1:5" ht="16.3" customHeight="1">
      <c r="A649" s="754" t="s">
        <v>4448</v>
      </c>
      <c r="B649" s="761" t="s">
        <v>5917</v>
      </c>
      <c r="C649" s="731" t="s">
        <v>3031</v>
      </c>
      <c r="D649" s="752" t="s">
        <v>5853</v>
      </c>
      <c r="E649" s="754">
        <v>0</v>
      </c>
    </row>
    <row r="650" spans="1:5" ht="16.3" customHeight="1">
      <c r="A650" s="754" t="s">
        <v>4448</v>
      </c>
      <c r="B650" s="732" t="s">
        <v>5912</v>
      </c>
      <c r="C650" s="731" t="s">
        <v>3034</v>
      </c>
      <c r="D650" s="752" t="s">
        <v>3486</v>
      </c>
      <c r="E650" s="754">
        <v>0</v>
      </c>
    </row>
    <row r="651" spans="1:5" ht="16.3" customHeight="1">
      <c r="A651" s="754" t="s">
        <v>4448</v>
      </c>
      <c r="B651" s="732" t="s">
        <v>5912</v>
      </c>
      <c r="C651" s="731" t="s">
        <v>3035</v>
      </c>
      <c r="D651" s="752" t="s">
        <v>3486</v>
      </c>
      <c r="E651" s="754">
        <v>0</v>
      </c>
    </row>
    <row r="652" spans="1:5" ht="16.3" customHeight="1">
      <c r="A652" s="754" t="s">
        <v>4448</v>
      </c>
      <c r="B652" s="733" t="s">
        <v>5914</v>
      </c>
      <c r="C652" s="731" t="s">
        <v>5776</v>
      </c>
      <c r="D652" s="752" t="s">
        <v>3452</v>
      </c>
      <c r="E652" s="754">
        <v>0</v>
      </c>
    </row>
    <row r="653" spans="1:5" ht="16.3" customHeight="1">
      <c r="A653" s="754" t="s">
        <v>4448</v>
      </c>
      <c r="B653" s="733" t="s">
        <v>5914</v>
      </c>
      <c r="C653" s="731" t="s">
        <v>2680</v>
      </c>
      <c r="D653" s="752" t="s">
        <v>3452</v>
      </c>
      <c r="E653" s="754">
        <v>0</v>
      </c>
    </row>
    <row r="654" spans="1:5" ht="16.3" customHeight="1">
      <c r="A654" s="754" t="s">
        <v>4448</v>
      </c>
      <c r="B654" s="758" t="s">
        <v>5913</v>
      </c>
      <c r="C654" s="731" t="s">
        <v>3036</v>
      </c>
      <c r="D654" s="752" t="s">
        <v>5850</v>
      </c>
      <c r="E654" s="754">
        <v>0</v>
      </c>
    </row>
    <row r="655" spans="1:5" ht="16.3" customHeight="1">
      <c r="A655" s="754" t="s">
        <v>4448</v>
      </c>
      <c r="B655" s="758" t="s">
        <v>5913</v>
      </c>
      <c r="C655" s="731" t="s">
        <v>3037</v>
      </c>
      <c r="D655" s="752" t="s">
        <v>5850</v>
      </c>
      <c r="E655" s="754">
        <v>0</v>
      </c>
    </row>
    <row r="656" spans="1:5" ht="16.3" customHeight="1">
      <c r="A656" s="754" t="s">
        <v>4448</v>
      </c>
      <c r="B656" s="758" t="s">
        <v>5913</v>
      </c>
      <c r="C656" s="731" t="s">
        <v>3038</v>
      </c>
      <c r="D656" s="752" t="s">
        <v>5850</v>
      </c>
      <c r="E656" s="754">
        <v>0</v>
      </c>
    </row>
    <row r="657" spans="1:5" ht="16.3" customHeight="1">
      <c r="A657" s="754" t="s">
        <v>4448</v>
      </c>
      <c r="B657" s="759" t="s">
        <v>5915</v>
      </c>
      <c r="C657" s="731" t="s">
        <v>3039</v>
      </c>
      <c r="D657" s="752" t="s">
        <v>5851</v>
      </c>
      <c r="E657" s="754">
        <v>0</v>
      </c>
    </row>
    <row r="658" spans="1:5" ht="16.3" customHeight="1">
      <c r="A658" s="754" t="s">
        <v>4448</v>
      </c>
      <c r="B658" s="759" t="s">
        <v>5915</v>
      </c>
      <c r="C658" s="731" t="s">
        <v>3040</v>
      </c>
      <c r="D658" s="752" t="s">
        <v>5851</v>
      </c>
      <c r="E658" s="754">
        <v>0</v>
      </c>
    </row>
    <row r="659" spans="1:5" ht="16.3" customHeight="1">
      <c r="A659" s="754" t="s">
        <v>4448</v>
      </c>
      <c r="B659" s="759" t="s">
        <v>5915</v>
      </c>
      <c r="C659" s="731" t="s">
        <v>2680</v>
      </c>
      <c r="D659" s="752" t="s">
        <v>5851</v>
      </c>
      <c r="E659" s="754">
        <v>0</v>
      </c>
    </row>
    <row r="660" spans="1:5" ht="16.3" customHeight="1">
      <c r="A660" s="754" t="s">
        <v>4448</v>
      </c>
      <c r="B660" s="759" t="s">
        <v>5915</v>
      </c>
      <c r="C660" s="731" t="s">
        <v>2680</v>
      </c>
      <c r="D660" s="752" t="s">
        <v>5851</v>
      </c>
      <c r="E660" s="754">
        <v>0</v>
      </c>
    </row>
    <row r="661" spans="1:5" ht="16.3" customHeight="1">
      <c r="A661" s="754" t="s">
        <v>4448</v>
      </c>
      <c r="B661" s="767" t="s">
        <v>5916</v>
      </c>
      <c r="C661" s="731" t="s">
        <v>3041</v>
      </c>
      <c r="D661" s="752" t="s">
        <v>5852</v>
      </c>
      <c r="E661" s="754">
        <v>0</v>
      </c>
    </row>
    <row r="662" spans="1:5" ht="16.3" customHeight="1">
      <c r="A662" s="754" t="s">
        <v>4448</v>
      </c>
      <c r="B662" s="767" t="s">
        <v>5916</v>
      </c>
      <c r="C662" s="731" t="s">
        <v>3042</v>
      </c>
      <c r="D662" s="752" t="s">
        <v>5852</v>
      </c>
      <c r="E662" s="754">
        <v>0</v>
      </c>
    </row>
    <row r="663" spans="1:5" ht="16.3" customHeight="1">
      <c r="A663" s="754" t="s">
        <v>4448</v>
      </c>
      <c r="B663" s="767" t="s">
        <v>5916</v>
      </c>
      <c r="C663" s="731" t="s">
        <v>2680</v>
      </c>
      <c r="D663" s="752" t="s">
        <v>5852</v>
      </c>
      <c r="E663" s="754">
        <v>0</v>
      </c>
    </row>
    <row r="664" spans="1:5" ht="16.3" customHeight="1">
      <c r="A664" s="754" t="s">
        <v>4448</v>
      </c>
      <c r="B664" s="767" t="s">
        <v>5916</v>
      </c>
      <c r="C664" s="731" t="s">
        <v>2680</v>
      </c>
      <c r="D664" s="752" t="s">
        <v>5852</v>
      </c>
      <c r="E664" s="754">
        <v>0</v>
      </c>
    </row>
    <row r="665" spans="1:5" ht="16.3" customHeight="1">
      <c r="A665" s="754" t="s">
        <v>4448</v>
      </c>
      <c r="B665" s="767" t="s">
        <v>5916</v>
      </c>
      <c r="C665" s="731" t="s">
        <v>2680</v>
      </c>
      <c r="D665" s="752" t="s">
        <v>5852</v>
      </c>
      <c r="E665" s="754">
        <v>0</v>
      </c>
    </row>
    <row r="666" spans="1:5" ht="16.3" customHeight="1">
      <c r="A666" s="754" t="s">
        <v>4448</v>
      </c>
      <c r="B666" s="761" t="s">
        <v>5917</v>
      </c>
      <c r="C666" s="731" t="s">
        <v>3043</v>
      </c>
      <c r="D666" s="752" t="s">
        <v>5853</v>
      </c>
      <c r="E666" s="754">
        <v>0</v>
      </c>
    </row>
    <row r="667" spans="1:5" ht="16.3" customHeight="1">
      <c r="A667" s="754" t="s">
        <v>4448</v>
      </c>
      <c r="B667" s="761" t="s">
        <v>5917</v>
      </c>
      <c r="C667" s="731" t="s">
        <v>2680</v>
      </c>
      <c r="D667" s="752" t="s">
        <v>5853</v>
      </c>
      <c r="E667" s="754">
        <v>0</v>
      </c>
    </row>
    <row r="668" spans="1:5" ht="16.3" customHeight="1">
      <c r="A668" s="754" t="s">
        <v>4448</v>
      </c>
      <c r="B668" s="732" t="s">
        <v>5912</v>
      </c>
      <c r="C668" s="731" t="s">
        <v>3045</v>
      </c>
      <c r="D668" s="752" t="s">
        <v>3486</v>
      </c>
      <c r="E668" s="754">
        <v>0</v>
      </c>
    </row>
    <row r="669" spans="1:5" ht="16.3" customHeight="1">
      <c r="A669" s="754" t="s">
        <v>4448</v>
      </c>
      <c r="B669" s="732" t="s">
        <v>5912</v>
      </c>
      <c r="C669" s="731" t="s">
        <v>3046</v>
      </c>
      <c r="D669" s="752" t="s">
        <v>3486</v>
      </c>
      <c r="E669" s="754">
        <v>0</v>
      </c>
    </row>
    <row r="670" spans="1:5" ht="16.3" customHeight="1">
      <c r="A670" s="754" t="s">
        <v>4448</v>
      </c>
      <c r="B670" s="733" t="s">
        <v>5914</v>
      </c>
      <c r="C670" s="731" t="s">
        <v>5777</v>
      </c>
      <c r="D670" s="752" t="s">
        <v>3452</v>
      </c>
      <c r="E670" s="754">
        <v>0</v>
      </c>
    </row>
    <row r="671" spans="1:5" ht="16.3" customHeight="1">
      <c r="A671" s="754" t="s">
        <v>4448</v>
      </c>
      <c r="B671" s="733" t="s">
        <v>5914</v>
      </c>
      <c r="C671" s="731" t="s">
        <v>2680</v>
      </c>
      <c r="D671" s="752" t="s">
        <v>3452</v>
      </c>
      <c r="E671" s="754">
        <v>0</v>
      </c>
    </row>
    <row r="672" spans="1:5" ht="16.3" customHeight="1">
      <c r="A672" s="754" t="s">
        <v>4448</v>
      </c>
      <c r="B672" s="758" t="s">
        <v>5913</v>
      </c>
      <c r="C672" s="731" t="s">
        <v>3047</v>
      </c>
      <c r="D672" s="752" t="s">
        <v>5850</v>
      </c>
      <c r="E672" s="754">
        <v>0</v>
      </c>
    </row>
    <row r="673" spans="1:5" ht="16.3" customHeight="1">
      <c r="A673" s="754" t="s">
        <v>4448</v>
      </c>
      <c r="B673" s="758" t="s">
        <v>5913</v>
      </c>
      <c r="C673" s="731" t="s">
        <v>3048</v>
      </c>
      <c r="D673" s="752" t="s">
        <v>5850</v>
      </c>
      <c r="E673" s="754">
        <v>0</v>
      </c>
    </row>
    <row r="674" spans="1:5" ht="16.3" customHeight="1">
      <c r="A674" s="754" t="s">
        <v>4448</v>
      </c>
      <c r="B674" s="758" t="s">
        <v>5913</v>
      </c>
      <c r="C674" s="731" t="s">
        <v>2680</v>
      </c>
      <c r="D674" s="752" t="s">
        <v>5850</v>
      </c>
      <c r="E674" s="754">
        <v>0</v>
      </c>
    </row>
    <row r="675" spans="1:5" ht="16.3" customHeight="1">
      <c r="A675" s="754" t="s">
        <v>4448</v>
      </c>
      <c r="B675" s="759" t="s">
        <v>5915</v>
      </c>
      <c r="C675" s="731" t="s">
        <v>3049</v>
      </c>
      <c r="D675" s="752" t="s">
        <v>5851</v>
      </c>
      <c r="E675" s="754">
        <v>0</v>
      </c>
    </row>
    <row r="676" spans="1:5" ht="16.3" customHeight="1">
      <c r="A676" s="754" t="s">
        <v>4448</v>
      </c>
      <c r="B676" s="759" t="s">
        <v>5915</v>
      </c>
      <c r="C676" s="731" t="s">
        <v>3050</v>
      </c>
      <c r="D676" s="752" t="s">
        <v>5851</v>
      </c>
      <c r="E676" s="754">
        <v>0</v>
      </c>
    </row>
    <row r="677" spans="1:5" ht="16.3" customHeight="1">
      <c r="A677" s="754" t="s">
        <v>4448</v>
      </c>
      <c r="B677" s="759" t="s">
        <v>5915</v>
      </c>
      <c r="C677" s="731" t="s">
        <v>2680</v>
      </c>
      <c r="D677" s="752" t="s">
        <v>5851</v>
      </c>
      <c r="E677" s="754">
        <v>0</v>
      </c>
    </row>
    <row r="678" spans="1:5" ht="16.3" customHeight="1">
      <c r="A678" s="754" t="s">
        <v>4448</v>
      </c>
      <c r="B678" s="759" t="s">
        <v>5915</v>
      </c>
      <c r="C678" s="731" t="s">
        <v>2680</v>
      </c>
      <c r="D678" s="752" t="s">
        <v>5851</v>
      </c>
      <c r="E678" s="754">
        <v>0</v>
      </c>
    </row>
    <row r="679" spans="1:5" ht="16.3" customHeight="1">
      <c r="A679" s="754" t="s">
        <v>4448</v>
      </c>
      <c r="B679" s="767" t="s">
        <v>5916</v>
      </c>
      <c r="C679" s="731" t="s">
        <v>3051</v>
      </c>
      <c r="D679" s="752" t="s">
        <v>5852</v>
      </c>
      <c r="E679" s="754">
        <v>0</v>
      </c>
    </row>
    <row r="680" spans="1:5" ht="16.3" customHeight="1">
      <c r="A680" s="754" t="s">
        <v>4448</v>
      </c>
      <c r="B680" s="767" t="s">
        <v>5916</v>
      </c>
      <c r="C680" s="731" t="s">
        <v>3052</v>
      </c>
      <c r="D680" s="752" t="s">
        <v>5852</v>
      </c>
      <c r="E680" s="754">
        <v>0</v>
      </c>
    </row>
    <row r="681" spans="1:5" ht="16.3" customHeight="1">
      <c r="A681" s="754" t="s">
        <v>4448</v>
      </c>
      <c r="B681" s="767" t="s">
        <v>5916</v>
      </c>
      <c r="C681" s="731" t="s">
        <v>3053</v>
      </c>
      <c r="D681" s="752" t="s">
        <v>5852</v>
      </c>
      <c r="E681" s="754">
        <v>0</v>
      </c>
    </row>
    <row r="682" spans="1:5" ht="16.3" customHeight="1">
      <c r="A682" s="754" t="s">
        <v>4448</v>
      </c>
      <c r="B682" s="767" t="s">
        <v>5916</v>
      </c>
      <c r="C682" s="731" t="s">
        <v>3054</v>
      </c>
      <c r="D682" s="752" t="s">
        <v>5852</v>
      </c>
      <c r="E682" s="754">
        <v>0</v>
      </c>
    </row>
    <row r="683" spans="1:5" ht="16.3" customHeight="1">
      <c r="A683" s="754" t="s">
        <v>4448</v>
      </c>
      <c r="B683" s="767" t="s">
        <v>5916</v>
      </c>
      <c r="C683" s="731" t="s">
        <v>2680</v>
      </c>
      <c r="D683" s="752" t="s">
        <v>5852</v>
      </c>
      <c r="E683" s="754">
        <v>0</v>
      </c>
    </row>
    <row r="684" spans="1:5" ht="16.3" customHeight="1">
      <c r="A684" s="754" t="s">
        <v>4448</v>
      </c>
      <c r="B684" s="761" t="s">
        <v>5917</v>
      </c>
      <c r="C684" s="731" t="s">
        <v>3055</v>
      </c>
      <c r="D684" s="752" t="s">
        <v>5853</v>
      </c>
      <c r="E684" s="754">
        <v>0</v>
      </c>
    </row>
    <row r="685" spans="1:5" ht="16.3" customHeight="1">
      <c r="A685" s="754" t="s">
        <v>4448</v>
      </c>
      <c r="B685" s="761" t="s">
        <v>5917</v>
      </c>
      <c r="C685" s="731" t="s">
        <v>2680</v>
      </c>
      <c r="D685" s="752" t="s">
        <v>5853</v>
      </c>
      <c r="E685" s="754">
        <v>0</v>
      </c>
    </row>
    <row r="686" spans="1:5" ht="16.3" customHeight="1">
      <c r="A686" s="754" t="s">
        <v>4448</v>
      </c>
      <c r="B686" s="732" t="s">
        <v>5912</v>
      </c>
      <c r="C686" s="731" t="s">
        <v>3057</v>
      </c>
      <c r="D686" s="752" t="s">
        <v>3486</v>
      </c>
      <c r="E686" s="754">
        <v>0</v>
      </c>
    </row>
    <row r="687" spans="1:5" ht="16.3" customHeight="1">
      <c r="A687" s="754" t="s">
        <v>4448</v>
      </c>
      <c r="B687" s="732" t="s">
        <v>5912</v>
      </c>
      <c r="C687" s="731" t="s">
        <v>2680</v>
      </c>
      <c r="D687" s="752" t="s">
        <v>3486</v>
      </c>
      <c r="E687" s="754">
        <v>0</v>
      </c>
    </row>
    <row r="688" spans="1:5" ht="16.3" customHeight="1">
      <c r="A688" s="754" t="s">
        <v>4448</v>
      </c>
      <c r="B688" s="733" t="s">
        <v>5914</v>
      </c>
      <c r="C688" s="731" t="s">
        <v>5778</v>
      </c>
      <c r="D688" s="752" t="s">
        <v>3452</v>
      </c>
      <c r="E688" s="754">
        <v>0</v>
      </c>
    </row>
    <row r="689" spans="1:5" ht="16.3" customHeight="1">
      <c r="A689" s="754" t="s">
        <v>4448</v>
      </c>
      <c r="B689" s="733" t="s">
        <v>5914</v>
      </c>
      <c r="C689" s="731" t="s">
        <v>2680</v>
      </c>
      <c r="D689" s="752" t="s">
        <v>3452</v>
      </c>
      <c r="E689" s="754">
        <v>0</v>
      </c>
    </row>
    <row r="690" spans="1:5" ht="16.3" customHeight="1">
      <c r="A690" s="754" t="s">
        <v>4448</v>
      </c>
      <c r="B690" s="758" t="s">
        <v>5913</v>
      </c>
      <c r="C690" s="731" t="s">
        <v>3058</v>
      </c>
      <c r="D690" s="752" t="s">
        <v>5850</v>
      </c>
      <c r="E690" s="754">
        <v>0</v>
      </c>
    </row>
    <row r="691" spans="1:5" ht="16.3" customHeight="1">
      <c r="A691" s="754" t="s">
        <v>4448</v>
      </c>
      <c r="B691" s="758" t="s">
        <v>5913</v>
      </c>
      <c r="C691" s="731" t="s">
        <v>3059</v>
      </c>
      <c r="D691" s="752" t="s">
        <v>5850</v>
      </c>
      <c r="E691" s="754">
        <v>0</v>
      </c>
    </row>
    <row r="692" spans="1:5" ht="16.3" customHeight="1">
      <c r="A692" s="754" t="s">
        <v>4448</v>
      </c>
      <c r="B692" s="758" t="s">
        <v>5913</v>
      </c>
      <c r="C692" s="731" t="s">
        <v>2680</v>
      </c>
      <c r="D692" s="752" t="s">
        <v>5850</v>
      </c>
      <c r="E692" s="754">
        <v>0</v>
      </c>
    </row>
    <row r="693" spans="1:5" ht="16.3" customHeight="1">
      <c r="A693" s="754" t="s">
        <v>4448</v>
      </c>
      <c r="B693" s="759" t="s">
        <v>5915</v>
      </c>
      <c r="C693" s="731" t="s">
        <v>3060</v>
      </c>
      <c r="D693" s="752" t="s">
        <v>5851</v>
      </c>
      <c r="E693" s="754">
        <v>0</v>
      </c>
    </row>
    <row r="694" spans="1:5" ht="16.3" customHeight="1">
      <c r="A694" s="754" t="s">
        <v>4448</v>
      </c>
      <c r="B694" s="759" t="s">
        <v>5915</v>
      </c>
      <c r="C694" s="731" t="s">
        <v>3061</v>
      </c>
      <c r="D694" s="752" t="s">
        <v>5851</v>
      </c>
      <c r="E694" s="754">
        <v>0</v>
      </c>
    </row>
    <row r="695" spans="1:5" ht="16.3" customHeight="1">
      <c r="A695" s="754" t="s">
        <v>4448</v>
      </c>
      <c r="B695" s="759" t="s">
        <v>5915</v>
      </c>
      <c r="C695" s="731" t="s">
        <v>2680</v>
      </c>
      <c r="D695" s="752" t="s">
        <v>5851</v>
      </c>
      <c r="E695" s="754">
        <v>0</v>
      </c>
    </row>
    <row r="696" spans="1:5" ht="16.3" customHeight="1">
      <c r="A696" s="754" t="s">
        <v>4448</v>
      </c>
      <c r="B696" s="759" t="s">
        <v>5915</v>
      </c>
      <c r="C696" s="731" t="s">
        <v>2680</v>
      </c>
      <c r="D696" s="752" t="s">
        <v>5851</v>
      </c>
      <c r="E696" s="754">
        <v>0</v>
      </c>
    </row>
    <row r="697" spans="1:5" ht="16.3" customHeight="1">
      <c r="A697" s="754" t="s">
        <v>4448</v>
      </c>
      <c r="B697" s="767" t="s">
        <v>5916</v>
      </c>
      <c r="C697" s="731" t="s">
        <v>2680</v>
      </c>
      <c r="D697" s="752" t="s">
        <v>5852</v>
      </c>
      <c r="E697" s="754">
        <v>0</v>
      </c>
    </row>
    <row r="698" spans="1:5" ht="16.3" customHeight="1">
      <c r="A698" s="754" t="s">
        <v>4448</v>
      </c>
      <c r="B698" s="767" t="s">
        <v>5916</v>
      </c>
      <c r="C698" s="731" t="s">
        <v>3062</v>
      </c>
      <c r="D698" s="752" t="s">
        <v>5852</v>
      </c>
      <c r="E698" s="754">
        <v>0</v>
      </c>
    </row>
    <row r="699" spans="1:5" ht="16.3" customHeight="1">
      <c r="A699" s="754" t="s">
        <v>4448</v>
      </c>
      <c r="B699" s="767" t="s">
        <v>5916</v>
      </c>
      <c r="C699" s="731" t="s">
        <v>3063</v>
      </c>
      <c r="D699" s="752" t="s">
        <v>5852</v>
      </c>
      <c r="E699" s="754">
        <v>0</v>
      </c>
    </row>
    <row r="700" spans="1:5" ht="16.3" customHeight="1">
      <c r="A700" s="754" t="s">
        <v>4448</v>
      </c>
      <c r="B700" s="767" t="s">
        <v>5916</v>
      </c>
      <c r="C700" s="731" t="s">
        <v>3064</v>
      </c>
      <c r="D700" s="752" t="s">
        <v>5852</v>
      </c>
      <c r="E700" s="754">
        <v>0</v>
      </c>
    </row>
    <row r="701" spans="1:5" ht="16.3" customHeight="1">
      <c r="A701" s="754" t="s">
        <v>4448</v>
      </c>
      <c r="B701" s="767" t="s">
        <v>5916</v>
      </c>
      <c r="C701" s="731" t="s">
        <v>2680</v>
      </c>
      <c r="D701" s="752" t="s">
        <v>5852</v>
      </c>
      <c r="E701" s="754">
        <v>0</v>
      </c>
    </row>
    <row r="702" spans="1:5" ht="16.3" customHeight="1">
      <c r="A702" s="754" t="s">
        <v>4448</v>
      </c>
      <c r="B702" s="761" t="s">
        <v>5917</v>
      </c>
      <c r="C702" s="731" t="s">
        <v>3065</v>
      </c>
      <c r="D702" s="752" t="s">
        <v>5853</v>
      </c>
      <c r="E702" s="754">
        <v>0</v>
      </c>
    </row>
    <row r="703" spans="1:5" ht="16.3" customHeight="1">
      <c r="A703" s="754" t="s">
        <v>4448</v>
      </c>
      <c r="B703" s="761" t="s">
        <v>5917</v>
      </c>
      <c r="C703" s="731" t="s">
        <v>3066</v>
      </c>
      <c r="D703" s="752" t="s">
        <v>5853</v>
      </c>
      <c r="E703" s="754">
        <v>0</v>
      </c>
    </row>
    <row r="704" spans="1:5" ht="16.3" customHeight="1">
      <c r="A704" s="754" t="s">
        <v>4448</v>
      </c>
      <c r="B704" s="732" t="s">
        <v>5912</v>
      </c>
      <c r="C704" s="731" t="s">
        <v>3068</v>
      </c>
      <c r="D704" s="752" t="s">
        <v>3486</v>
      </c>
      <c r="E704" s="754">
        <v>0</v>
      </c>
    </row>
    <row r="705" spans="1:5" ht="16.3" customHeight="1">
      <c r="A705" s="754" t="s">
        <v>4448</v>
      </c>
      <c r="B705" s="732" t="s">
        <v>5912</v>
      </c>
      <c r="C705" s="731" t="s">
        <v>2680</v>
      </c>
      <c r="D705" s="752" t="s">
        <v>3486</v>
      </c>
      <c r="E705" s="754">
        <v>0</v>
      </c>
    </row>
    <row r="706" spans="1:5" ht="16.3" customHeight="1">
      <c r="A706" s="754" t="s">
        <v>4448</v>
      </c>
      <c r="B706" s="733" t="s">
        <v>5914</v>
      </c>
      <c r="C706" s="731" t="s">
        <v>5779</v>
      </c>
      <c r="D706" s="752" t="s">
        <v>3452</v>
      </c>
      <c r="E706" s="754">
        <v>0</v>
      </c>
    </row>
    <row r="707" spans="1:5" ht="16.3" customHeight="1">
      <c r="A707" s="754" t="s">
        <v>4448</v>
      </c>
      <c r="B707" s="733" t="s">
        <v>5914</v>
      </c>
      <c r="C707" s="731" t="s">
        <v>2680</v>
      </c>
      <c r="D707" s="752" t="s">
        <v>3452</v>
      </c>
      <c r="E707" s="754">
        <v>0</v>
      </c>
    </row>
    <row r="708" spans="1:5" ht="16.3" customHeight="1">
      <c r="A708" s="754" t="s">
        <v>4448</v>
      </c>
      <c r="B708" s="758" t="s">
        <v>5913</v>
      </c>
      <c r="C708" s="731" t="s">
        <v>3069</v>
      </c>
      <c r="D708" s="752" t="s">
        <v>5850</v>
      </c>
      <c r="E708" s="754">
        <v>0</v>
      </c>
    </row>
    <row r="709" spans="1:5" ht="16.3" customHeight="1">
      <c r="A709" s="754" t="s">
        <v>4448</v>
      </c>
      <c r="B709" s="758" t="s">
        <v>5913</v>
      </c>
      <c r="C709" s="731" t="s">
        <v>3070</v>
      </c>
      <c r="D709" s="752" t="s">
        <v>5850</v>
      </c>
      <c r="E709" s="754">
        <v>0</v>
      </c>
    </row>
    <row r="710" spans="1:5" ht="16.3" customHeight="1">
      <c r="A710" s="754" t="s">
        <v>4448</v>
      </c>
      <c r="B710" s="758" t="s">
        <v>5913</v>
      </c>
      <c r="C710" s="731" t="s">
        <v>2680</v>
      </c>
      <c r="D710" s="752" t="s">
        <v>5850</v>
      </c>
      <c r="E710" s="754">
        <v>0</v>
      </c>
    </row>
    <row r="711" spans="1:5" ht="16.3" customHeight="1">
      <c r="A711" s="754" t="s">
        <v>4448</v>
      </c>
      <c r="B711" s="759" t="s">
        <v>5915</v>
      </c>
      <c r="C711" s="731" t="s">
        <v>2680</v>
      </c>
      <c r="D711" s="752" t="s">
        <v>5851</v>
      </c>
      <c r="E711" s="754">
        <v>0</v>
      </c>
    </row>
    <row r="712" spans="1:5" ht="16.3" customHeight="1">
      <c r="A712" s="754" t="s">
        <v>4448</v>
      </c>
      <c r="B712" s="759" t="s">
        <v>5915</v>
      </c>
      <c r="C712" s="731" t="s">
        <v>2680</v>
      </c>
      <c r="D712" s="752" t="s">
        <v>5851</v>
      </c>
      <c r="E712" s="754">
        <v>0</v>
      </c>
    </row>
    <row r="713" spans="1:5" ht="16.3" customHeight="1">
      <c r="A713" s="754" t="s">
        <v>4448</v>
      </c>
      <c r="B713" s="759" t="s">
        <v>5915</v>
      </c>
      <c r="C713" s="731" t="s">
        <v>3071</v>
      </c>
      <c r="D713" s="752" t="s">
        <v>5851</v>
      </c>
      <c r="E713" s="754">
        <v>0</v>
      </c>
    </row>
    <row r="714" spans="1:5" ht="16.3" customHeight="1">
      <c r="A714" s="754" t="s">
        <v>4448</v>
      </c>
      <c r="B714" s="759" t="s">
        <v>5915</v>
      </c>
      <c r="C714" s="731" t="s">
        <v>3072</v>
      </c>
      <c r="D714" s="752" t="s">
        <v>5851</v>
      </c>
      <c r="E714" s="754">
        <v>0</v>
      </c>
    </row>
    <row r="715" spans="1:5" ht="16.3" customHeight="1">
      <c r="A715" s="754" t="s">
        <v>4448</v>
      </c>
      <c r="B715" s="767" t="s">
        <v>5916</v>
      </c>
      <c r="C715" s="731" t="s">
        <v>3073</v>
      </c>
      <c r="D715" s="752" t="s">
        <v>5852</v>
      </c>
      <c r="E715" s="754">
        <v>0</v>
      </c>
    </row>
    <row r="716" spans="1:5" ht="16.3" customHeight="1">
      <c r="A716" s="754" t="s">
        <v>4448</v>
      </c>
      <c r="B716" s="767" t="s">
        <v>5916</v>
      </c>
      <c r="C716" s="731" t="s">
        <v>3074</v>
      </c>
      <c r="D716" s="752" t="s">
        <v>5852</v>
      </c>
      <c r="E716" s="754">
        <v>0</v>
      </c>
    </row>
    <row r="717" spans="1:5" ht="16.3" customHeight="1">
      <c r="A717" s="754" t="s">
        <v>4448</v>
      </c>
      <c r="B717" s="767" t="s">
        <v>5916</v>
      </c>
      <c r="C717" s="731" t="s">
        <v>2680</v>
      </c>
      <c r="D717" s="752" t="s">
        <v>5852</v>
      </c>
      <c r="E717" s="754">
        <v>0</v>
      </c>
    </row>
    <row r="718" spans="1:5" ht="16.3" customHeight="1">
      <c r="A718" s="754" t="s">
        <v>4448</v>
      </c>
      <c r="B718" s="767" t="s">
        <v>5916</v>
      </c>
      <c r="C718" s="731" t="s">
        <v>2680</v>
      </c>
      <c r="D718" s="752" t="s">
        <v>5852</v>
      </c>
      <c r="E718" s="754">
        <v>0</v>
      </c>
    </row>
    <row r="719" spans="1:5" ht="16.3" customHeight="1">
      <c r="A719" s="754" t="s">
        <v>4448</v>
      </c>
      <c r="B719" s="767" t="s">
        <v>5916</v>
      </c>
      <c r="C719" s="731" t="s">
        <v>2680</v>
      </c>
      <c r="D719" s="752" t="s">
        <v>5852</v>
      </c>
      <c r="E719" s="754">
        <v>0</v>
      </c>
    </row>
    <row r="720" spans="1:5" ht="16.3" customHeight="1">
      <c r="A720" s="754" t="s">
        <v>4448</v>
      </c>
      <c r="B720" s="761" t="s">
        <v>5917</v>
      </c>
      <c r="C720" s="736" t="s">
        <v>5945</v>
      </c>
      <c r="D720" s="752" t="s">
        <v>5853</v>
      </c>
      <c r="E720" s="754">
        <v>0</v>
      </c>
    </row>
    <row r="721" spans="1:5" ht="16.3" customHeight="1">
      <c r="A721" s="754" t="s">
        <v>4448</v>
      </c>
      <c r="B721" s="761" t="s">
        <v>5917</v>
      </c>
      <c r="C721" s="731" t="s">
        <v>3075</v>
      </c>
      <c r="D721" s="752" t="s">
        <v>5853</v>
      </c>
      <c r="E721" s="754">
        <v>0</v>
      </c>
    </row>
    <row r="722" spans="1:5" ht="16.3" customHeight="1">
      <c r="A722" s="754" t="s">
        <v>4448</v>
      </c>
      <c r="B722" s="732" t="s">
        <v>5912</v>
      </c>
      <c r="C722" s="731" t="s">
        <v>3077</v>
      </c>
      <c r="D722" s="752" t="s">
        <v>3486</v>
      </c>
      <c r="E722" s="754">
        <v>0</v>
      </c>
    </row>
    <row r="723" spans="1:5" ht="16.3" customHeight="1">
      <c r="A723" s="754" t="s">
        <v>4448</v>
      </c>
      <c r="B723" s="732" t="s">
        <v>5912</v>
      </c>
      <c r="C723" s="731" t="s">
        <v>2680</v>
      </c>
      <c r="D723" s="752" t="s">
        <v>3486</v>
      </c>
      <c r="E723" s="754">
        <v>0</v>
      </c>
    </row>
    <row r="724" spans="1:5" ht="16.3" customHeight="1">
      <c r="A724" s="754" t="s">
        <v>4448</v>
      </c>
      <c r="B724" s="733" t="s">
        <v>5914</v>
      </c>
      <c r="C724" s="731" t="s">
        <v>5780</v>
      </c>
      <c r="D724" s="752" t="s">
        <v>3452</v>
      </c>
      <c r="E724" s="754">
        <v>0</v>
      </c>
    </row>
    <row r="725" spans="1:5" ht="16.3" customHeight="1">
      <c r="A725" s="754" t="s">
        <v>4448</v>
      </c>
      <c r="B725" s="733" t="s">
        <v>5914</v>
      </c>
      <c r="C725" s="731" t="s">
        <v>2680</v>
      </c>
      <c r="D725" s="752" t="s">
        <v>3452</v>
      </c>
      <c r="E725" s="754">
        <v>0</v>
      </c>
    </row>
    <row r="726" spans="1:5" ht="16.3" customHeight="1">
      <c r="A726" s="754" t="s">
        <v>4448</v>
      </c>
      <c r="B726" s="758" t="s">
        <v>5913</v>
      </c>
      <c r="C726" s="731" t="s">
        <v>3078</v>
      </c>
      <c r="D726" s="752" t="s">
        <v>5850</v>
      </c>
      <c r="E726" s="754">
        <v>0</v>
      </c>
    </row>
    <row r="727" spans="1:5" ht="16.3" customHeight="1">
      <c r="A727" s="754" t="s">
        <v>4448</v>
      </c>
      <c r="B727" s="758" t="s">
        <v>5913</v>
      </c>
      <c r="C727" s="731" t="s">
        <v>2680</v>
      </c>
      <c r="D727" s="752" t="s">
        <v>5850</v>
      </c>
      <c r="E727" s="754">
        <v>0</v>
      </c>
    </row>
    <row r="728" spans="1:5" ht="16.3" customHeight="1">
      <c r="A728" s="754" t="s">
        <v>4448</v>
      </c>
      <c r="B728" s="758" t="s">
        <v>5913</v>
      </c>
      <c r="C728" s="731" t="s">
        <v>2680</v>
      </c>
      <c r="D728" s="752" t="s">
        <v>5850</v>
      </c>
      <c r="E728" s="754">
        <v>0</v>
      </c>
    </row>
    <row r="729" spans="1:5" ht="16.3" customHeight="1">
      <c r="A729" s="754" t="s">
        <v>4448</v>
      </c>
      <c r="B729" s="759" t="s">
        <v>5915</v>
      </c>
      <c r="C729" s="731" t="s">
        <v>3079</v>
      </c>
      <c r="D729" s="752" t="s">
        <v>5851</v>
      </c>
      <c r="E729" s="754">
        <v>0</v>
      </c>
    </row>
    <row r="730" spans="1:5" ht="16.3" customHeight="1">
      <c r="A730" s="754" t="s">
        <v>4448</v>
      </c>
      <c r="B730" s="759" t="s">
        <v>5915</v>
      </c>
      <c r="C730" s="731" t="s">
        <v>3080</v>
      </c>
      <c r="D730" s="752" t="s">
        <v>5851</v>
      </c>
      <c r="E730" s="754">
        <v>0</v>
      </c>
    </row>
    <row r="731" spans="1:5" ht="16.3" customHeight="1">
      <c r="A731" s="754" t="s">
        <v>4448</v>
      </c>
      <c r="B731" s="759" t="s">
        <v>5915</v>
      </c>
      <c r="C731" s="731" t="s">
        <v>2680</v>
      </c>
      <c r="D731" s="752" t="s">
        <v>5851</v>
      </c>
      <c r="E731" s="754">
        <v>0</v>
      </c>
    </row>
    <row r="732" spans="1:5" ht="16.3" customHeight="1">
      <c r="A732" s="754" t="s">
        <v>4448</v>
      </c>
      <c r="B732" s="759" t="s">
        <v>5915</v>
      </c>
      <c r="C732" s="731" t="s">
        <v>2680</v>
      </c>
      <c r="D732" s="752" t="s">
        <v>5851</v>
      </c>
      <c r="E732" s="754">
        <v>0</v>
      </c>
    </row>
    <row r="733" spans="1:5" ht="16.3" customHeight="1">
      <c r="A733" s="754" t="s">
        <v>4448</v>
      </c>
      <c r="B733" s="767" t="s">
        <v>5916</v>
      </c>
      <c r="C733" s="731" t="s">
        <v>2680</v>
      </c>
      <c r="D733" s="752" t="s">
        <v>5852</v>
      </c>
      <c r="E733" s="754">
        <v>0</v>
      </c>
    </row>
    <row r="734" spans="1:5" ht="16.3" customHeight="1">
      <c r="A734" s="754" t="s">
        <v>4448</v>
      </c>
      <c r="B734" s="767" t="s">
        <v>5916</v>
      </c>
      <c r="C734" s="731" t="s">
        <v>3081</v>
      </c>
      <c r="D734" s="752" t="s">
        <v>5852</v>
      </c>
      <c r="E734" s="754">
        <v>0</v>
      </c>
    </row>
    <row r="735" spans="1:5" ht="16.3" customHeight="1">
      <c r="A735" s="754" t="s">
        <v>4448</v>
      </c>
      <c r="B735" s="767" t="s">
        <v>5916</v>
      </c>
      <c r="C735" s="736" t="s">
        <v>3082</v>
      </c>
      <c r="D735" s="752" t="s">
        <v>5852</v>
      </c>
      <c r="E735" s="754">
        <v>0</v>
      </c>
    </row>
    <row r="736" spans="1:5" ht="16.3" customHeight="1">
      <c r="A736" s="754" t="s">
        <v>4448</v>
      </c>
      <c r="B736" s="767" t="s">
        <v>5916</v>
      </c>
      <c r="C736" s="731" t="s">
        <v>2680</v>
      </c>
      <c r="D736" s="752" t="s">
        <v>5852</v>
      </c>
      <c r="E736" s="754">
        <v>0</v>
      </c>
    </row>
    <row r="737" spans="1:5" ht="16.3" customHeight="1">
      <c r="A737" s="754" t="s">
        <v>4448</v>
      </c>
      <c r="B737" s="767" t="s">
        <v>5916</v>
      </c>
      <c r="C737" s="731" t="s">
        <v>3083</v>
      </c>
      <c r="D737" s="752" t="s">
        <v>5852</v>
      </c>
      <c r="E737" s="754">
        <v>0</v>
      </c>
    </row>
    <row r="738" spans="1:5" ht="16.3" customHeight="1">
      <c r="A738" s="754" t="s">
        <v>4448</v>
      </c>
      <c r="B738" s="761" t="s">
        <v>5917</v>
      </c>
      <c r="C738" s="731" t="s">
        <v>3084</v>
      </c>
      <c r="D738" s="752" t="s">
        <v>5853</v>
      </c>
      <c r="E738" s="754">
        <v>0</v>
      </c>
    </row>
    <row r="739" spans="1:5" ht="16.3" customHeight="1">
      <c r="A739" s="754" t="s">
        <v>4448</v>
      </c>
      <c r="B739" s="761" t="s">
        <v>5917</v>
      </c>
      <c r="C739" s="731" t="s">
        <v>3085</v>
      </c>
      <c r="D739" s="752" t="s">
        <v>5853</v>
      </c>
      <c r="E739" s="754">
        <v>0</v>
      </c>
    </row>
    <row r="740" spans="1:5" ht="16.3" customHeight="1">
      <c r="A740" s="754" t="s">
        <v>4448</v>
      </c>
      <c r="B740" s="732" t="s">
        <v>5912</v>
      </c>
      <c r="C740" s="731" t="s">
        <v>3087</v>
      </c>
      <c r="D740" s="752" t="s">
        <v>3486</v>
      </c>
      <c r="E740" s="754">
        <v>0</v>
      </c>
    </row>
    <row r="741" spans="1:5" ht="16.3" customHeight="1">
      <c r="A741" s="754" t="s">
        <v>4448</v>
      </c>
      <c r="B741" s="732" t="s">
        <v>5912</v>
      </c>
      <c r="C741" s="731" t="s">
        <v>2680</v>
      </c>
      <c r="D741" s="752" t="s">
        <v>3486</v>
      </c>
      <c r="E741" s="754">
        <v>0</v>
      </c>
    </row>
    <row r="742" spans="1:5" ht="16.3" customHeight="1">
      <c r="A742" s="754" t="s">
        <v>4448</v>
      </c>
      <c r="B742" s="733" t="s">
        <v>5914</v>
      </c>
      <c r="C742" s="731" t="s">
        <v>5781</v>
      </c>
      <c r="D742" s="752" t="s">
        <v>3452</v>
      </c>
      <c r="E742" s="754">
        <v>0</v>
      </c>
    </row>
    <row r="743" spans="1:5" ht="16.3" customHeight="1">
      <c r="A743" s="754" t="s">
        <v>4448</v>
      </c>
      <c r="B743" s="733" t="s">
        <v>5914</v>
      </c>
      <c r="C743" s="731" t="s">
        <v>2680</v>
      </c>
      <c r="D743" s="752" t="s">
        <v>3452</v>
      </c>
      <c r="E743" s="754">
        <v>0</v>
      </c>
    </row>
    <row r="744" spans="1:5" ht="16.3" customHeight="1">
      <c r="A744" s="754" t="s">
        <v>4448</v>
      </c>
      <c r="B744" s="758" t="s">
        <v>5913</v>
      </c>
      <c r="C744" s="731" t="s">
        <v>3088</v>
      </c>
      <c r="D744" s="752" t="s">
        <v>5850</v>
      </c>
      <c r="E744" s="754">
        <v>0</v>
      </c>
    </row>
    <row r="745" spans="1:5" ht="16.3" customHeight="1">
      <c r="A745" s="754" t="s">
        <v>4448</v>
      </c>
      <c r="B745" s="758" t="s">
        <v>5913</v>
      </c>
      <c r="C745" s="731" t="s">
        <v>3089</v>
      </c>
      <c r="D745" s="752" t="s">
        <v>5850</v>
      </c>
      <c r="E745" s="754">
        <v>0</v>
      </c>
    </row>
    <row r="746" spans="1:5" ht="16.3" customHeight="1">
      <c r="A746" s="754" t="s">
        <v>4448</v>
      </c>
      <c r="B746" s="758" t="s">
        <v>5913</v>
      </c>
      <c r="C746" s="731" t="s">
        <v>2680</v>
      </c>
      <c r="D746" s="752" t="s">
        <v>5850</v>
      </c>
      <c r="E746" s="754">
        <v>0</v>
      </c>
    </row>
    <row r="747" spans="1:5" ht="16.3" customHeight="1">
      <c r="A747" s="754" t="s">
        <v>4448</v>
      </c>
      <c r="B747" s="759" t="s">
        <v>5915</v>
      </c>
      <c r="C747" s="731" t="s">
        <v>2680</v>
      </c>
      <c r="D747" s="752" t="s">
        <v>5851</v>
      </c>
      <c r="E747" s="754">
        <v>0</v>
      </c>
    </row>
    <row r="748" spans="1:5" ht="16.3" customHeight="1">
      <c r="A748" s="754" t="s">
        <v>4448</v>
      </c>
      <c r="B748" s="759" t="s">
        <v>5915</v>
      </c>
      <c r="C748" s="731" t="s">
        <v>3090</v>
      </c>
      <c r="D748" s="752" t="s">
        <v>5851</v>
      </c>
      <c r="E748" s="754">
        <v>0</v>
      </c>
    </row>
    <row r="749" spans="1:5" ht="16.3" customHeight="1">
      <c r="A749" s="754" t="s">
        <v>4448</v>
      </c>
      <c r="B749" s="759" t="s">
        <v>5915</v>
      </c>
      <c r="C749" s="731" t="s">
        <v>2680</v>
      </c>
      <c r="D749" s="752" t="s">
        <v>5851</v>
      </c>
      <c r="E749" s="754">
        <v>0</v>
      </c>
    </row>
    <row r="750" spans="1:5" ht="16.3" customHeight="1">
      <c r="A750" s="754" t="s">
        <v>4448</v>
      </c>
      <c r="B750" s="759" t="s">
        <v>5915</v>
      </c>
      <c r="C750" s="731" t="s">
        <v>3091</v>
      </c>
      <c r="D750" s="752" t="s">
        <v>5851</v>
      </c>
      <c r="E750" s="754">
        <v>0</v>
      </c>
    </row>
    <row r="751" spans="1:5" ht="16.3" customHeight="1">
      <c r="A751" s="754" t="s">
        <v>4448</v>
      </c>
      <c r="B751" s="767" t="s">
        <v>5916</v>
      </c>
      <c r="C751" s="731" t="s">
        <v>3092</v>
      </c>
      <c r="D751" s="752" t="s">
        <v>5852</v>
      </c>
      <c r="E751" s="754">
        <v>0</v>
      </c>
    </row>
    <row r="752" spans="1:5" ht="16.3" customHeight="1">
      <c r="A752" s="754" t="s">
        <v>4448</v>
      </c>
      <c r="B752" s="767" t="s">
        <v>5916</v>
      </c>
      <c r="C752" s="731" t="s">
        <v>2680</v>
      </c>
      <c r="D752" s="752" t="s">
        <v>5852</v>
      </c>
      <c r="E752" s="754">
        <v>0</v>
      </c>
    </row>
    <row r="753" spans="1:5" ht="16.3" customHeight="1">
      <c r="A753" s="754" t="s">
        <v>4448</v>
      </c>
      <c r="B753" s="767" t="s">
        <v>5916</v>
      </c>
      <c r="C753" s="731" t="s">
        <v>2680</v>
      </c>
      <c r="D753" s="752" t="s">
        <v>5852</v>
      </c>
      <c r="E753" s="754">
        <v>0</v>
      </c>
    </row>
    <row r="754" spans="1:5" ht="16.3" customHeight="1">
      <c r="A754" s="754" t="s">
        <v>4448</v>
      </c>
      <c r="B754" s="767" t="s">
        <v>5916</v>
      </c>
      <c r="C754" s="731" t="s">
        <v>2680</v>
      </c>
      <c r="D754" s="752" t="s">
        <v>5852</v>
      </c>
      <c r="E754" s="754">
        <v>0</v>
      </c>
    </row>
    <row r="755" spans="1:5" ht="16.3" customHeight="1">
      <c r="A755" s="754" t="s">
        <v>4448</v>
      </c>
      <c r="B755" s="767" t="s">
        <v>5916</v>
      </c>
      <c r="C755" s="736" t="s">
        <v>3093</v>
      </c>
      <c r="D755" s="752" t="s">
        <v>5852</v>
      </c>
      <c r="E755" s="754">
        <v>0</v>
      </c>
    </row>
    <row r="756" spans="1:5" ht="16.3" customHeight="1">
      <c r="A756" s="754" t="s">
        <v>4448</v>
      </c>
      <c r="B756" s="761" t="s">
        <v>5917</v>
      </c>
      <c r="C756" s="731" t="s">
        <v>3094</v>
      </c>
      <c r="D756" s="752" t="s">
        <v>5853</v>
      </c>
      <c r="E756" s="754">
        <v>0</v>
      </c>
    </row>
    <row r="757" spans="1:5" ht="16.3" customHeight="1">
      <c r="A757" s="754" t="s">
        <v>4448</v>
      </c>
      <c r="B757" s="761" t="s">
        <v>5917</v>
      </c>
      <c r="C757" s="731" t="s">
        <v>2680</v>
      </c>
      <c r="D757" s="752" t="s">
        <v>5853</v>
      </c>
      <c r="E757" s="754">
        <v>0</v>
      </c>
    </row>
    <row r="758" spans="1:5" ht="16.3" customHeight="1">
      <c r="A758" s="754" t="s">
        <v>4448</v>
      </c>
      <c r="B758" s="732" t="s">
        <v>5912</v>
      </c>
      <c r="C758" s="731" t="s">
        <v>3096</v>
      </c>
      <c r="D758" s="752" t="s">
        <v>3486</v>
      </c>
      <c r="E758" s="754">
        <v>0</v>
      </c>
    </row>
    <row r="759" spans="1:5" ht="16.3" customHeight="1">
      <c r="A759" s="754" t="s">
        <v>4448</v>
      </c>
      <c r="B759" s="732" t="s">
        <v>5912</v>
      </c>
      <c r="C759" s="731" t="s">
        <v>2680</v>
      </c>
      <c r="D759" s="752" t="s">
        <v>3486</v>
      </c>
      <c r="E759" s="754">
        <v>0</v>
      </c>
    </row>
    <row r="760" spans="1:5" ht="16.3" customHeight="1">
      <c r="A760" s="754" t="s">
        <v>4448</v>
      </c>
      <c r="B760" s="733" t="s">
        <v>5914</v>
      </c>
      <c r="C760" s="731" t="s">
        <v>5782</v>
      </c>
      <c r="D760" s="752" t="s">
        <v>3452</v>
      </c>
      <c r="E760" s="754">
        <v>0</v>
      </c>
    </row>
    <row r="761" spans="1:5" ht="16.3" customHeight="1">
      <c r="A761" s="754" t="s">
        <v>4448</v>
      </c>
      <c r="B761" s="733" t="s">
        <v>5914</v>
      </c>
      <c r="C761" s="731" t="s">
        <v>2680</v>
      </c>
      <c r="D761" s="752" t="s">
        <v>3452</v>
      </c>
      <c r="E761" s="754">
        <v>0</v>
      </c>
    </row>
    <row r="762" spans="1:5" ht="16.3" customHeight="1">
      <c r="A762" s="754" t="s">
        <v>4448</v>
      </c>
      <c r="B762" s="758" t="s">
        <v>5913</v>
      </c>
      <c r="C762" s="731" t="s">
        <v>3097</v>
      </c>
      <c r="D762" s="752" t="s">
        <v>5850</v>
      </c>
      <c r="E762" s="754">
        <v>0</v>
      </c>
    </row>
    <row r="763" spans="1:5" ht="16.3" customHeight="1">
      <c r="A763" s="754" t="s">
        <v>4448</v>
      </c>
      <c r="B763" s="758" t="s">
        <v>5913</v>
      </c>
      <c r="C763" s="731" t="s">
        <v>3098</v>
      </c>
      <c r="D763" s="752" t="s">
        <v>5850</v>
      </c>
      <c r="E763" s="754">
        <v>0</v>
      </c>
    </row>
    <row r="764" spans="1:5" ht="16.3" customHeight="1">
      <c r="A764" s="754" t="s">
        <v>4448</v>
      </c>
      <c r="B764" s="758" t="s">
        <v>5913</v>
      </c>
      <c r="C764" s="731" t="s">
        <v>2680</v>
      </c>
      <c r="D764" s="752" t="s">
        <v>5850</v>
      </c>
      <c r="E764" s="754">
        <v>0</v>
      </c>
    </row>
    <row r="765" spans="1:5" ht="16.3" customHeight="1">
      <c r="A765" s="754" t="s">
        <v>4448</v>
      </c>
      <c r="B765" s="759" t="s">
        <v>5915</v>
      </c>
      <c r="C765" s="731" t="s">
        <v>3099</v>
      </c>
      <c r="D765" s="752" t="s">
        <v>5851</v>
      </c>
      <c r="E765" s="754">
        <v>0</v>
      </c>
    </row>
    <row r="766" spans="1:5" ht="16.3" customHeight="1">
      <c r="A766" s="754" t="s">
        <v>4448</v>
      </c>
      <c r="B766" s="759" t="s">
        <v>5915</v>
      </c>
      <c r="C766" s="731" t="s">
        <v>3100</v>
      </c>
      <c r="D766" s="752" t="s">
        <v>5851</v>
      </c>
      <c r="E766" s="754">
        <v>0</v>
      </c>
    </row>
    <row r="767" spans="1:5" ht="16.3" customHeight="1">
      <c r="A767" s="754" t="s">
        <v>4448</v>
      </c>
      <c r="B767" s="759" t="s">
        <v>5915</v>
      </c>
      <c r="C767" s="731" t="s">
        <v>2680</v>
      </c>
      <c r="D767" s="752" t="s">
        <v>5851</v>
      </c>
      <c r="E767" s="754">
        <v>0</v>
      </c>
    </row>
    <row r="768" spans="1:5" ht="16.3" customHeight="1">
      <c r="A768" s="754" t="s">
        <v>4448</v>
      </c>
      <c r="B768" s="759" t="s">
        <v>5915</v>
      </c>
      <c r="C768" s="731" t="s">
        <v>2680</v>
      </c>
      <c r="D768" s="752" t="s">
        <v>5851</v>
      </c>
      <c r="E768" s="754">
        <v>0</v>
      </c>
    </row>
    <row r="769" spans="1:5" ht="16.3" customHeight="1">
      <c r="A769" s="754" t="s">
        <v>4448</v>
      </c>
      <c r="B769" s="767" t="s">
        <v>5916</v>
      </c>
      <c r="C769" s="731" t="s">
        <v>3101</v>
      </c>
      <c r="D769" s="752" t="s">
        <v>5852</v>
      </c>
      <c r="E769" s="754">
        <v>0</v>
      </c>
    </row>
    <row r="770" spans="1:5" ht="16.3" customHeight="1">
      <c r="A770" s="754" t="s">
        <v>4448</v>
      </c>
      <c r="B770" s="767" t="s">
        <v>5916</v>
      </c>
      <c r="C770" s="731" t="s">
        <v>3102</v>
      </c>
      <c r="D770" s="752" t="s">
        <v>5852</v>
      </c>
      <c r="E770" s="754">
        <v>0</v>
      </c>
    </row>
    <row r="771" spans="1:5" ht="16.3" customHeight="1">
      <c r="A771" s="754" t="s">
        <v>4448</v>
      </c>
      <c r="B771" s="767" t="s">
        <v>5916</v>
      </c>
      <c r="C771" s="731" t="s">
        <v>3103</v>
      </c>
      <c r="D771" s="752" t="s">
        <v>5852</v>
      </c>
      <c r="E771" s="754">
        <v>0</v>
      </c>
    </row>
    <row r="772" spans="1:5" ht="16.3" customHeight="1">
      <c r="A772" s="754" t="s">
        <v>4448</v>
      </c>
      <c r="B772" s="767" t="s">
        <v>5916</v>
      </c>
      <c r="C772" s="731" t="s">
        <v>2680</v>
      </c>
      <c r="D772" s="752" t="s">
        <v>5852</v>
      </c>
      <c r="E772" s="754">
        <v>0</v>
      </c>
    </row>
    <row r="773" spans="1:5" ht="16.3" customHeight="1">
      <c r="A773" s="754" t="s">
        <v>4448</v>
      </c>
      <c r="B773" s="767" t="s">
        <v>5916</v>
      </c>
      <c r="C773" s="731" t="s">
        <v>2680</v>
      </c>
      <c r="D773" s="752" t="s">
        <v>5852</v>
      </c>
      <c r="E773" s="754">
        <v>0</v>
      </c>
    </row>
    <row r="774" spans="1:5" ht="16.3" customHeight="1">
      <c r="A774" s="754" t="s">
        <v>4448</v>
      </c>
      <c r="B774" s="761" t="s">
        <v>5917</v>
      </c>
      <c r="C774" s="731" t="s">
        <v>2680</v>
      </c>
      <c r="D774" s="752" t="s">
        <v>5853</v>
      </c>
      <c r="E774" s="754">
        <v>0</v>
      </c>
    </row>
    <row r="775" spans="1:5" ht="16.3" customHeight="1">
      <c r="A775" s="754" t="s">
        <v>4448</v>
      </c>
      <c r="B775" s="761" t="s">
        <v>5917</v>
      </c>
      <c r="C775" s="731" t="s">
        <v>3104</v>
      </c>
      <c r="D775" s="752" t="s">
        <v>5853</v>
      </c>
      <c r="E775" s="754">
        <v>0</v>
      </c>
    </row>
    <row r="776" spans="1:5" ht="16.3" customHeight="1">
      <c r="A776" s="754" t="s">
        <v>4448</v>
      </c>
      <c r="B776" s="732" t="s">
        <v>5912</v>
      </c>
      <c r="C776" s="731" t="s">
        <v>3106</v>
      </c>
      <c r="D776" s="752" t="s">
        <v>3486</v>
      </c>
      <c r="E776" s="754">
        <v>0</v>
      </c>
    </row>
    <row r="777" spans="1:5" ht="16.3" customHeight="1">
      <c r="A777" s="754" t="s">
        <v>4448</v>
      </c>
      <c r="B777" s="732" t="s">
        <v>5912</v>
      </c>
      <c r="C777" s="731" t="s">
        <v>3107</v>
      </c>
      <c r="D777" s="752" t="s">
        <v>3486</v>
      </c>
      <c r="E777" s="754">
        <v>0</v>
      </c>
    </row>
    <row r="778" spans="1:5" ht="16.3" customHeight="1">
      <c r="A778" s="754" t="s">
        <v>4448</v>
      </c>
      <c r="B778" s="733" t="s">
        <v>5914</v>
      </c>
      <c r="C778" s="731" t="s">
        <v>5783</v>
      </c>
      <c r="D778" s="752" t="s">
        <v>3452</v>
      </c>
      <c r="E778" s="754">
        <v>0</v>
      </c>
    </row>
    <row r="779" spans="1:5" ht="16.3" customHeight="1">
      <c r="A779" s="754" t="s">
        <v>4448</v>
      </c>
      <c r="B779" s="733" t="s">
        <v>5914</v>
      </c>
      <c r="C779" s="731" t="s">
        <v>2680</v>
      </c>
      <c r="D779" s="752" t="s">
        <v>3452</v>
      </c>
      <c r="E779" s="754">
        <v>0</v>
      </c>
    </row>
    <row r="780" spans="1:5" ht="16.3" customHeight="1">
      <c r="A780" s="754" t="s">
        <v>4448</v>
      </c>
      <c r="B780" s="758" t="s">
        <v>5913</v>
      </c>
      <c r="C780" s="731" t="s">
        <v>3108</v>
      </c>
      <c r="D780" s="752" t="s">
        <v>5850</v>
      </c>
      <c r="E780" s="754">
        <v>0</v>
      </c>
    </row>
    <row r="781" spans="1:5" ht="16.3" customHeight="1">
      <c r="A781" s="754" t="s">
        <v>4448</v>
      </c>
      <c r="B781" s="758" t="s">
        <v>5913</v>
      </c>
      <c r="C781" s="731" t="s">
        <v>3109</v>
      </c>
      <c r="D781" s="752" t="s">
        <v>5850</v>
      </c>
      <c r="E781" s="754">
        <v>0</v>
      </c>
    </row>
    <row r="782" spans="1:5" ht="16.3" customHeight="1">
      <c r="A782" s="754" t="s">
        <v>4448</v>
      </c>
      <c r="B782" s="758" t="s">
        <v>5913</v>
      </c>
      <c r="C782" s="731" t="s">
        <v>2680</v>
      </c>
      <c r="D782" s="752" t="s">
        <v>5850</v>
      </c>
      <c r="E782" s="754">
        <v>0</v>
      </c>
    </row>
    <row r="783" spans="1:5" ht="16.3" customHeight="1">
      <c r="A783" s="754" t="s">
        <v>4448</v>
      </c>
      <c r="B783" s="759" t="s">
        <v>5915</v>
      </c>
      <c r="C783" s="731" t="s">
        <v>3110</v>
      </c>
      <c r="D783" s="752" t="s">
        <v>5851</v>
      </c>
      <c r="E783" s="754">
        <v>0</v>
      </c>
    </row>
    <row r="784" spans="1:5" ht="16.3" customHeight="1">
      <c r="A784" s="754" t="s">
        <v>4448</v>
      </c>
      <c r="B784" s="759" t="s">
        <v>5915</v>
      </c>
      <c r="C784" s="731" t="s">
        <v>3111</v>
      </c>
      <c r="D784" s="752" t="s">
        <v>5851</v>
      </c>
      <c r="E784" s="754">
        <v>0</v>
      </c>
    </row>
    <row r="785" spans="1:5" ht="16.3" customHeight="1">
      <c r="A785" s="754" t="s">
        <v>4448</v>
      </c>
      <c r="B785" s="759" t="s">
        <v>5915</v>
      </c>
      <c r="C785" s="731" t="s">
        <v>3112</v>
      </c>
      <c r="D785" s="752" t="s">
        <v>5851</v>
      </c>
      <c r="E785" s="754">
        <v>0</v>
      </c>
    </row>
    <row r="786" spans="1:5" ht="16.3" customHeight="1">
      <c r="A786" s="754" t="s">
        <v>4448</v>
      </c>
      <c r="B786" s="759" t="s">
        <v>5915</v>
      </c>
      <c r="C786" s="731" t="s">
        <v>2680</v>
      </c>
      <c r="D786" s="752" t="s">
        <v>5851</v>
      </c>
      <c r="E786" s="754">
        <v>0</v>
      </c>
    </row>
    <row r="787" spans="1:5" ht="16.3" customHeight="1">
      <c r="A787" s="754" t="s">
        <v>4448</v>
      </c>
      <c r="B787" s="767" t="s">
        <v>5916</v>
      </c>
      <c r="C787" s="731" t="s">
        <v>3113</v>
      </c>
      <c r="D787" s="752" t="s">
        <v>5852</v>
      </c>
      <c r="E787" s="754">
        <v>0</v>
      </c>
    </row>
    <row r="788" spans="1:5" ht="16.3" customHeight="1">
      <c r="A788" s="754" t="s">
        <v>4448</v>
      </c>
      <c r="B788" s="767" t="s">
        <v>5916</v>
      </c>
      <c r="C788" s="731" t="s">
        <v>3114</v>
      </c>
      <c r="D788" s="752" t="s">
        <v>5852</v>
      </c>
      <c r="E788" s="754">
        <v>0</v>
      </c>
    </row>
    <row r="789" spans="1:5" ht="16.3" customHeight="1">
      <c r="A789" s="754" t="s">
        <v>4448</v>
      </c>
      <c r="B789" s="767" t="s">
        <v>5916</v>
      </c>
      <c r="C789" s="731" t="s">
        <v>3115</v>
      </c>
      <c r="D789" s="752" t="s">
        <v>5852</v>
      </c>
      <c r="E789" s="754">
        <v>0</v>
      </c>
    </row>
    <row r="790" spans="1:5" ht="16.3" customHeight="1">
      <c r="A790" s="754" t="s">
        <v>4448</v>
      </c>
      <c r="B790" s="767" t="s">
        <v>5916</v>
      </c>
      <c r="C790" s="731" t="s">
        <v>3116</v>
      </c>
      <c r="D790" s="752" t="s">
        <v>5852</v>
      </c>
      <c r="E790" s="754">
        <v>0</v>
      </c>
    </row>
    <row r="791" spans="1:5" ht="16.3" customHeight="1">
      <c r="A791" s="754" t="s">
        <v>4448</v>
      </c>
      <c r="B791" s="767" t="s">
        <v>5916</v>
      </c>
      <c r="C791" s="731" t="s">
        <v>2680</v>
      </c>
      <c r="D791" s="752" t="s">
        <v>5852</v>
      </c>
      <c r="E791" s="754">
        <v>0</v>
      </c>
    </row>
    <row r="792" spans="1:5" ht="16.3" customHeight="1">
      <c r="A792" s="754" t="s">
        <v>4448</v>
      </c>
      <c r="B792" s="761" t="s">
        <v>5917</v>
      </c>
      <c r="C792" s="731" t="s">
        <v>3117</v>
      </c>
      <c r="D792" s="752" t="s">
        <v>5853</v>
      </c>
      <c r="E792" s="754">
        <v>0</v>
      </c>
    </row>
    <row r="793" spans="1:5" ht="16.3" customHeight="1">
      <c r="A793" s="754" t="s">
        <v>4448</v>
      </c>
      <c r="B793" s="761" t="s">
        <v>5917</v>
      </c>
      <c r="C793" s="731" t="s">
        <v>3118</v>
      </c>
      <c r="D793" s="752" t="s">
        <v>5853</v>
      </c>
      <c r="E793" s="754">
        <v>0</v>
      </c>
    </row>
    <row r="794" spans="1:5" ht="16.3" customHeight="1">
      <c r="A794" s="754" t="s">
        <v>4448</v>
      </c>
      <c r="B794" s="732" t="s">
        <v>5912</v>
      </c>
      <c r="C794" s="731" t="s">
        <v>3121</v>
      </c>
      <c r="D794" s="752" t="s">
        <v>3486</v>
      </c>
      <c r="E794" s="754">
        <v>0</v>
      </c>
    </row>
    <row r="795" spans="1:5" ht="16.3" customHeight="1">
      <c r="A795" s="754" t="s">
        <v>4448</v>
      </c>
      <c r="B795" s="732" t="s">
        <v>5912</v>
      </c>
      <c r="C795" s="731" t="s">
        <v>3122</v>
      </c>
      <c r="D795" s="752" t="s">
        <v>3486</v>
      </c>
      <c r="E795" s="754">
        <v>0</v>
      </c>
    </row>
    <row r="796" spans="1:5" ht="16.3" customHeight="1">
      <c r="A796" s="754" t="s">
        <v>4448</v>
      </c>
      <c r="B796" s="733" t="s">
        <v>5914</v>
      </c>
      <c r="C796" s="731" t="s">
        <v>5784</v>
      </c>
      <c r="D796" s="752" t="s">
        <v>3452</v>
      </c>
      <c r="E796" s="754">
        <v>0</v>
      </c>
    </row>
    <row r="797" spans="1:5" ht="16.3" customHeight="1">
      <c r="A797" s="754" t="s">
        <v>4448</v>
      </c>
      <c r="B797" s="733" t="s">
        <v>5914</v>
      </c>
      <c r="C797" s="731" t="s">
        <v>2680</v>
      </c>
      <c r="D797" s="752" t="s">
        <v>3452</v>
      </c>
      <c r="E797" s="754">
        <v>0</v>
      </c>
    </row>
    <row r="798" spans="1:5" ht="16.3" customHeight="1">
      <c r="A798" s="754" t="s">
        <v>4448</v>
      </c>
      <c r="B798" s="758" t="s">
        <v>5913</v>
      </c>
      <c r="C798" s="731" t="s">
        <v>3123</v>
      </c>
      <c r="D798" s="752" t="s">
        <v>5850</v>
      </c>
      <c r="E798" s="754">
        <v>0</v>
      </c>
    </row>
    <row r="799" spans="1:5" ht="16.3" customHeight="1">
      <c r="A799" s="754" t="s">
        <v>4448</v>
      </c>
      <c r="B799" s="758" t="s">
        <v>5913</v>
      </c>
      <c r="C799" s="731" t="s">
        <v>3124</v>
      </c>
      <c r="D799" s="752" t="s">
        <v>5850</v>
      </c>
      <c r="E799" s="754">
        <v>0</v>
      </c>
    </row>
    <row r="800" spans="1:5" ht="16.3" customHeight="1">
      <c r="A800" s="754" t="s">
        <v>4448</v>
      </c>
      <c r="B800" s="758" t="s">
        <v>5913</v>
      </c>
      <c r="C800" s="731" t="s">
        <v>3125</v>
      </c>
      <c r="D800" s="752" t="s">
        <v>5850</v>
      </c>
      <c r="E800" s="754">
        <v>0</v>
      </c>
    </row>
    <row r="801" spans="1:5" ht="16.3" customHeight="1">
      <c r="A801" s="754" t="s">
        <v>4448</v>
      </c>
      <c r="B801" s="759" t="s">
        <v>5915</v>
      </c>
      <c r="C801" s="731" t="s">
        <v>3126</v>
      </c>
      <c r="D801" s="752" t="s">
        <v>5851</v>
      </c>
      <c r="E801" s="754">
        <v>0</v>
      </c>
    </row>
    <row r="802" spans="1:5" ht="16.3" customHeight="1">
      <c r="A802" s="754" t="s">
        <v>4448</v>
      </c>
      <c r="B802" s="759" t="s">
        <v>5915</v>
      </c>
      <c r="C802" s="731" t="s">
        <v>3127</v>
      </c>
      <c r="D802" s="752" t="s">
        <v>5851</v>
      </c>
      <c r="E802" s="754">
        <v>0</v>
      </c>
    </row>
    <row r="803" spans="1:5" ht="16.3" customHeight="1">
      <c r="A803" s="754" t="s">
        <v>4448</v>
      </c>
      <c r="B803" s="759" t="s">
        <v>5915</v>
      </c>
      <c r="C803" s="731" t="s">
        <v>3128</v>
      </c>
      <c r="D803" s="752" t="s">
        <v>5851</v>
      </c>
      <c r="E803" s="754">
        <v>0</v>
      </c>
    </row>
    <row r="804" spans="1:5" ht="16.3" customHeight="1">
      <c r="A804" s="754" t="s">
        <v>4448</v>
      </c>
      <c r="B804" s="759" t="s">
        <v>5915</v>
      </c>
      <c r="C804" s="731" t="s">
        <v>2680</v>
      </c>
      <c r="D804" s="752" t="s">
        <v>5851</v>
      </c>
      <c r="E804" s="754">
        <v>0</v>
      </c>
    </row>
    <row r="805" spans="1:5" ht="16.3" customHeight="1">
      <c r="A805" s="754" t="s">
        <v>4448</v>
      </c>
      <c r="B805" s="767" t="s">
        <v>5916</v>
      </c>
      <c r="C805" s="731" t="s">
        <v>3129</v>
      </c>
      <c r="D805" s="752" t="s">
        <v>5852</v>
      </c>
      <c r="E805" s="754">
        <v>0</v>
      </c>
    </row>
    <row r="806" spans="1:5" ht="16.3" customHeight="1">
      <c r="A806" s="754" t="s">
        <v>4448</v>
      </c>
      <c r="B806" s="767" t="s">
        <v>5916</v>
      </c>
      <c r="C806" s="731" t="s">
        <v>3130</v>
      </c>
      <c r="D806" s="752" t="s">
        <v>5852</v>
      </c>
      <c r="E806" s="754">
        <v>0</v>
      </c>
    </row>
    <row r="807" spans="1:5" ht="16.3" customHeight="1">
      <c r="A807" s="754" t="s">
        <v>4448</v>
      </c>
      <c r="B807" s="767" t="s">
        <v>5916</v>
      </c>
      <c r="C807" s="731" t="s">
        <v>3131</v>
      </c>
      <c r="D807" s="752" t="s">
        <v>5852</v>
      </c>
      <c r="E807" s="754">
        <v>0</v>
      </c>
    </row>
    <row r="808" spans="1:5" ht="16.3" customHeight="1">
      <c r="A808" s="754" t="s">
        <v>4448</v>
      </c>
      <c r="B808" s="767" t="s">
        <v>5916</v>
      </c>
      <c r="C808" s="731" t="s">
        <v>2680</v>
      </c>
      <c r="D808" s="752" t="s">
        <v>5852</v>
      </c>
      <c r="E808" s="754">
        <v>0</v>
      </c>
    </row>
    <row r="809" spans="1:5" ht="16.3" customHeight="1">
      <c r="A809" s="754" t="s">
        <v>4448</v>
      </c>
      <c r="B809" s="767" t="s">
        <v>5916</v>
      </c>
      <c r="C809" s="731" t="s">
        <v>2680</v>
      </c>
      <c r="D809" s="752" t="s">
        <v>5852</v>
      </c>
      <c r="E809" s="754">
        <v>0</v>
      </c>
    </row>
    <row r="810" spans="1:5" ht="16.3" customHeight="1">
      <c r="A810" s="754" t="s">
        <v>4448</v>
      </c>
      <c r="B810" s="761" t="s">
        <v>5917</v>
      </c>
      <c r="C810" s="731" t="s">
        <v>3132</v>
      </c>
      <c r="D810" s="752" t="s">
        <v>5853</v>
      </c>
      <c r="E810" s="754">
        <v>0</v>
      </c>
    </row>
    <row r="811" spans="1:5" ht="16.3" customHeight="1">
      <c r="A811" s="754" t="s">
        <v>4448</v>
      </c>
      <c r="B811" s="761" t="s">
        <v>5917</v>
      </c>
      <c r="C811" s="731" t="s">
        <v>2680</v>
      </c>
      <c r="D811" s="752" t="s">
        <v>5853</v>
      </c>
      <c r="E811" s="754">
        <v>0</v>
      </c>
    </row>
    <row r="812" spans="1:5" ht="16.3" customHeight="1">
      <c r="A812" s="754" t="s">
        <v>4448</v>
      </c>
      <c r="B812" s="732" t="s">
        <v>5912</v>
      </c>
      <c r="C812" s="731" t="s">
        <v>3135</v>
      </c>
      <c r="D812" s="752" t="s">
        <v>3486</v>
      </c>
      <c r="E812" s="754">
        <v>0</v>
      </c>
    </row>
    <row r="813" spans="1:5" ht="16.3" customHeight="1">
      <c r="A813" s="754" t="s">
        <v>4448</v>
      </c>
      <c r="B813" s="732" t="s">
        <v>5912</v>
      </c>
      <c r="C813" s="731" t="s">
        <v>3136</v>
      </c>
      <c r="D813" s="752" t="s">
        <v>3486</v>
      </c>
      <c r="E813" s="754">
        <v>0</v>
      </c>
    </row>
    <row r="814" spans="1:5" ht="16.3" customHeight="1">
      <c r="A814" s="754" t="s">
        <v>4448</v>
      </c>
      <c r="B814" s="733" t="s">
        <v>5914</v>
      </c>
      <c r="C814" s="731" t="s">
        <v>5785</v>
      </c>
      <c r="D814" s="752" t="s">
        <v>3452</v>
      </c>
      <c r="E814" s="754">
        <v>0</v>
      </c>
    </row>
    <row r="815" spans="1:5" ht="16.3" customHeight="1">
      <c r="A815" s="754" t="s">
        <v>4448</v>
      </c>
      <c r="B815" s="733" t="s">
        <v>5914</v>
      </c>
      <c r="C815" s="731" t="s">
        <v>2680</v>
      </c>
      <c r="D815" s="752" t="s">
        <v>3452</v>
      </c>
      <c r="E815" s="754">
        <v>0</v>
      </c>
    </row>
    <row r="816" spans="1:5" ht="16.3" customHeight="1">
      <c r="A816" s="754" t="s">
        <v>4448</v>
      </c>
      <c r="B816" s="758" t="s">
        <v>5913</v>
      </c>
      <c r="C816" s="731" t="s">
        <v>3137</v>
      </c>
      <c r="D816" s="752" t="s">
        <v>5850</v>
      </c>
      <c r="E816" s="754">
        <v>0</v>
      </c>
    </row>
    <row r="817" spans="1:5" ht="16.3" customHeight="1">
      <c r="A817" s="754" t="s">
        <v>4448</v>
      </c>
      <c r="B817" s="758" t="s">
        <v>5913</v>
      </c>
      <c r="C817" s="731" t="s">
        <v>3138</v>
      </c>
      <c r="D817" s="752" t="s">
        <v>5850</v>
      </c>
      <c r="E817" s="754">
        <v>0</v>
      </c>
    </row>
    <row r="818" spans="1:5" ht="16.3" customHeight="1">
      <c r="A818" s="754" t="s">
        <v>4448</v>
      </c>
      <c r="B818" s="758" t="s">
        <v>5913</v>
      </c>
      <c r="C818" s="731" t="s">
        <v>2680</v>
      </c>
      <c r="D818" s="752" t="s">
        <v>5850</v>
      </c>
      <c r="E818" s="754">
        <v>0</v>
      </c>
    </row>
    <row r="819" spans="1:5" ht="16.3" customHeight="1">
      <c r="A819" s="754" t="s">
        <v>4448</v>
      </c>
      <c r="B819" s="759" t="s">
        <v>5915</v>
      </c>
      <c r="C819" s="743" t="s">
        <v>3139</v>
      </c>
      <c r="D819" s="752" t="s">
        <v>5851</v>
      </c>
      <c r="E819" s="754">
        <v>0</v>
      </c>
    </row>
    <row r="820" spans="1:5" ht="16.3" customHeight="1">
      <c r="A820" s="754" t="s">
        <v>4448</v>
      </c>
      <c r="B820" s="759" t="s">
        <v>5915</v>
      </c>
      <c r="C820" s="731" t="s">
        <v>3140</v>
      </c>
      <c r="D820" s="752" t="s">
        <v>5851</v>
      </c>
      <c r="E820" s="754">
        <v>0</v>
      </c>
    </row>
    <row r="821" spans="1:5" ht="16.3" customHeight="1">
      <c r="A821" s="754" t="s">
        <v>4448</v>
      </c>
      <c r="B821" s="759" t="s">
        <v>5915</v>
      </c>
      <c r="C821" s="731" t="s">
        <v>3141</v>
      </c>
      <c r="D821" s="752" t="s">
        <v>5851</v>
      </c>
      <c r="E821" s="754">
        <v>0</v>
      </c>
    </row>
    <row r="822" spans="1:5" ht="16.3" customHeight="1">
      <c r="A822" s="754" t="s">
        <v>4448</v>
      </c>
      <c r="B822" s="759" t="s">
        <v>5915</v>
      </c>
      <c r="C822" s="731" t="s">
        <v>3142</v>
      </c>
      <c r="D822" s="752" t="s">
        <v>5851</v>
      </c>
      <c r="E822" s="754">
        <v>0</v>
      </c>
    </row>
    <row r="823" spans="1:5" ht="16.3" customHeight="1">
      <c r="A823" s="754" t="s">
        <v>4448</v>
      </c>
      <c r="B823" s="767" t="s">
        <v>5916</v>
      </c>
      <c r="C823" s="731" t="s">
        <v>3143</v>
      </c>
      <c r="D823" s="752" t="s">
        <v>5852</v>
      </c>
      <c r="E823" s="754">
        <v>0</v>
      </c>
    </row>
    <row r="824" spans="1:5" ht="16.3" customHeight="1">
      <c r="A824" s="754" t="s">
        <v>4448</v>
      </c>
      <c r="B824" s="767" t="s">
        <v>5916</v>
      </c>
      <c r="C824" s="731" t="s">
        <v>3144</v>
      </c>
      <c r="D824" s="752" t="s">
        <v>5852</v>
      </c>
      <c r="E824" s="754">
        <v>0</v>
      </c>
    </row>
    <row r="825" spans="1:5" ht="16.3" customHeight="1">
      <c r="A825" s="754" t="s">
        <v>4448</v>
      </c>
      <c r="B825" s="767" t="s">
        <v>5916</v>
      </c>
      <c r="C825" s="731" t="s">
        <v>3145</v>
      </c>
      <c r="D825" s="752" t="s">
        <v>5852</v>
      </c>
      <c r="E825" s="754">
        <v>0</v>
      </c>
    </row>
    <row r="826" spans="1:5" ht="16.3" customHeight="1">
      <c r="A826" s="754" t="s">
        <v>4448</v>
      </c>
      <c r="B826" s="767" t="s">
        <v>5916</v>
      </c>
      <c r="C826" s="731" t="s">
        <v>3146</v>
      </c>
      <c r="D826" s="752" t="s">
        <v>5852</v>
      </c>
      <c r="E826" s="754">
        <v>0</v>
      </c>
    </row>
    <row r="827" spans="1:5" ht="16.3" customHeight="1">
      <c r="A827" s="754" t="s">
        <v>4448</v>
      </c>
      <c r="B827" s="767" t="s">
        <v>5916</v>
      </c>
      <c r="C827" s="731" t="s">
        <v>2680</v>
      </c>
      <c r="D827" s="752" t="s">
        <v>5852</v>
      </c>
      <c r="E827" s="754">
        <v>0</v>
      </c>
    </row>
    <row r="828" spans="1:5" ht="16.3" customHeight="1">
      <c r="A828" s="754" t="s">
        <v>4448</v>
      </c>
      <c r="B828" s="761" t="s">
        <v>5917</v>
      </c>
      <c r="C828" s="731" t="s">
        <v>3147</v>
      </c>
      <c r="D828" s="752" t="s">
        <v>5853</v>
      </c>
      <c r="E828" s="754">
        <v>0</v>
      </c>
    </row>
    <row r="829" spans="1:5" ht="16.3" customHeight="1">
      <c r="A829" s="754" t="s">
        <v>4448</v>
      </c>
      <c r="B829" s="761" t="s">
        <v>5917</v>
      </c>
      <c r="C829" s="731" t="s">
        <v>2680</v>
      </c>
      <c r="D829" s="752" t="s">
        <v>5853</v>
      </c>
      <c r="E829" s="754">
        <v>0</v>
      </c>
    </row>
    <row r="830" spans="1:5" ht="16.3" customHeight="1">
      <c r="A830" s="754" t="s">
        <v>4448</v>
      </c>
      <c r="B830" s="732" t="s">
        <v>5912</v>
      </c>
      <c r="C830" s="731" t="s">
        <v>3149</v>
      </c>
      <c r="D830" s="752" t="s">
        <v>3486</v>
      </c>
      <c r="E830" s="754">
        <v>0</v>
      </c>
    </row>
    <row r="831" spans="1:5" ht="16.3" customHeight="1">
      <c r="A831" s="754" t="s">
        <v>4448</v>
      </c>
      <c r="B831" s="732" t="s">
        <v>5912</v>
      </c>
      <c r="C831" s="731" t="s">
        <v>2680</v>
      </c>
      <c r="D831" s="752" t="s">
        <v>3486</v>
      </c>
      <c r="E831" s="754">
        <v>0</v>
      </c>
    </row>
    <row r="832" spans="1:5" ht="16.3" customHeight="1">
      <c r="A832" s="754" t="s">
        <v>4448</v>
      </c>
      <c r="B832" s="733" t="s">
        <v>5914</v>
      </c>
      <c r="C832" s="731" t="s">
        <v>2680</v>
      </c>
      <c r="D832" s="752" t="s">
        <v>3452</v>
      </c>
      <c r="E832" s="754">
        <v>0</v>
      </c>
    </row>
    <row r="833" spans="1:5" ht="16.3" customHeight="1">
      <c r="A833" s="754" t="s">
        <v>4448</v>
      </c>
      <c r="B833" s="733" t="s">
        <v>5914</v>
      </c>
      <c r="C833" s="731" t="s">
        <v>2680</v>
      </c>
      <c r="D833" s="752" t="s">
        <v>3452</v>
      </c>
      <c r="E833" s="754">
        <v>0</v>
      </c>
    </row>
    <row r="834" spans="1:5" ht="16.3" customHeight="1">
      <c r="A834" s="754" t="s">
        <v>4448</v>
      </c>
      <c r="B834" s="758" t="s">
        <v>5913</v>
      </c>
      <c r="C834" s="731" t="s">
        <v>2680</v>
      </c>
      <c r="D834" s="752" t="s">
        <v>5850</v>
      </c>
      <c r="E834" s="754">
        <v>0</v>
      </c>
    </row>
    <row r="835" spans="1:5" ht="16.3" customHeight="1">
      <c r="A835" s="754" t="s">
        <v>4448</v>
      </c>
      <c r="B835" s="758" t="s">
        <v>5913</v>
      </c>
      <c r="C835" s="731" t="s">
        <v>3150</v>
      </c>
      <c r="D835" s="752" t="s">
        <v>5850</v>
      </c>
      <c r="E835" s="754">
        <v>0</v>
      </c>
    </row>
    <row r="836" spans="1:5" ht="16.3" customHeight="1">
      <c r="A836" s="754" t="s">
        <v>4448</v>
      </c>
      <c r="B836" s="758" t="s">
        <v>5913</v>
      </c>
      <c r="C836" s="731" t="s">
        <v>2680</v>
      </c>
      <c r="D836" s="752" t="s">
        <v>5850</v>
      </c>
      <c r="E836" s="754">
        <v>0</v>
      </c>
    </row>
    <row r="837" spans="1:5" ht="16.3" customHeight="1">
      <c r="A837" s="754" t="s">
        <v>4448</v>
      </c>
      <c r="B837" s="759" t="s">
        <v>5915</v>
      </c>
      <c r="C837" s="731" t="s">
        <v>3151</v>
      </c>
      <c r="D837" s="752" t="s">
        <v>5851</v>
      </c>
      <c r="E837" s="754">
        <v>0</v>
      </c>
    </row>
    <row r="838" spans="1:5" ht="16.3" customHeight="1">
      <c r="A838" s="754" t="s">
        <v>4448</v>
      </c>
      <c r="B838" s="759" t="s">
        <v>5915</v>
      </c>
      <c r="C838" s="731" t="s">
        <v>3152</v>
      </c>
      <c r="D838" s="752" t="s">
        <v>5851</v>
      </c>
      <c r="E838" s="754">
        <v>0</v>
      </c>
    </row>
    <row r="839" spans="1:5" ht="16.3" customHeight="1">
      <c r="A839" s="754" t="s">
        <v>4448</v>
      </c>
      <c r="B839" s="759" t="s">
        <v>5915</v>
      </c>
      <c r="C839" s="731" t="s">
        <v>2680</v>
      </c>
      <c r="D839" s="752" t="s">
        <v>5851</v>
      </c>
      <c r="E839" s="754">
        <v>0</v>
      </c>
    </row>
    <row r="840" spans="1:5" ht="16.3" customHeight="1">
      <c r="A840" s="754" t="s">
        <v>4448</v>
      </c>
      <c r="B840" s="759" t="s">
        <v>5915</v>
      </c>
      <c r="C840" s="731" t="s">
        <v>2680</v>
      </c>
      <c r="D840" s="752" t="s">
        <v>5851</v>
      </c>
      <c r="E840" s="754">
        <v>0</v>
      </c>
    </row>
    <row r="841" spans="1:5" ht="16.3" customHeight="1">
      <c r="A841" s="754" t="s">
        <v>4448</v>
      </c>
      <c r="B841" s="767" t="s">
        <v>5916</v>
      </c>
      <c r="C841" s="731" t="s">
        <v>3153</v>
      </c>
      <c r="D841" s="752" t="s">
        <v>5852</v>
      </c>
      <c r="E841" s="754">
        <v>0</v>
      </c>
    </row>
    <row r="842" spans="1:5" ht="16.3" customHeight="1">
      <c r="A842" s="754" t="s">
        <v>4448</v>
      </c>
      <c r="B842" s="767" t="s">
        <v>5916</v>
      </c>
      <c r="C842" s="731" t="s">
        <v>3154</v>
      </c>
      <c r="D842" s="752" t="s">
        <v>5852</v>
      </c>
      <c r="E842" s="754">
        <v>0</v>
      </c>
    </row>
    <row r="843" spans="1:5" ht="16.3" customHeight="1">
      <c r="A843" s="754" t="s">
        <v>4448</v>
      </c>
      <c r="B843" s="767" t="s">
        <v>5916</v>
      </c>
      <c r="C843" s="731" t="s">
        <v>3155</v>
      </c>
      <c r="D843" s="752" t="s">
        <v>5852</v>
      </c>
      <c r="E843" s="754">
        <v>0</v>
      </c>
    </row>
    <row r="844" spans="1:5" ht="16.3" customHeight="1">
      <c r="A844" s="754" t="s">
        <v>4448</v>
      </c>
      <c r="B844" s="767" t="s">
        <v>5916</v>
      </c>
      <c r="C844" s="731" t="s">
        <v>2680</v>
      </c>
      <c r="D844" s="752" t="s">
        <v>5852</v>
      </c>
      <c r="E844" s="754">
        <v>0</v>
      </c>
    </row>
    <row r="845" spans="1:5" ht="16.3" customHeight="1">
      <c r="A845" s="754" t="s">
        <v>4448</v>
      </c>
      <c r="B845" s="767" t="s">
        <v>5916</v>
      </c>
      <c r="C845" s="731" t="s">
        <v>2680</v>
      </c>
      <c r="D845" s="752" t="s">
        <v>5852</v>
      </c>
      <c r="E845" s="754">
        <v>0</v>
      </c>
    </row>
    <row r="846" spans="1:5" ht="16.3" customHeight="1">
      <c r="A846" s="754" t="s">
        <v>4448</v>
      </c>
      <c r="B846" s="761" t="s">
        <v>5917</v>
      </c>
      <c r="C846" s="731" t="s">
        <v>3156</v>
      </c>
      <c r="D846" s="752" t="s">
        <v>5853</v>
      </c>
      <c r="E846" s="754">
        <v>0</v>
      </c>
    </row>
    <row r="847" spans="1:5" ht="16.3" customHeight="1">
      <c r="A847" s="754" t="s">
        <v>4448</v>
      </c>
      <c r="B847" s="761" t="s">
        <v>5917</v>
      </c>
      <c r="C847" s="731" t="s">
        <v>2680</v>
      </c>
      <c r="D847" s="752" t="s">
        <v>5853</v>
      </c>
      <c r="E847" s="754">
        <v>0</v>
      </c>
    </row>
    <row r="848" spans="1:5" ht="16.3" customHeight="1">
      <c r="A848" s="754" t="s">
        <v>4448</v>
      </c>
      <c r="B848" s="732" t="s">
        <v>5912</v>
      </c>
      <c r="C848" s="731" t="s">
        <v>2680</v>
      </c>
      <c r="D848" s="752" t="s">
        <v>3486</v>
      </c>
      <c r="E848" s="754">
        <v>0</v>
      </c>
    </row>
    <row r="849" spans="1:5" ht="16.3" customHeight="1">
      <c r="A849" s="754" t="s">
        <v>4448</v>
      </c>
      <c r="B849" s="732" t="s">
        <v>5912</v>
      </c>
      <c r="C849" s="731" t="s">
        <v>3158</v>
      </c>
      <c r="D849" s="752" t="s">
        <v>3486</v>
      </c>
      <c r="E849" s="754">
        <v>0</v>
      </c>
    </row>
    <row r="850" spans="1:5" ht="16.3" customHeight="1">
      <c r="A850" s="754" t="s">
        <v>4448</v>
      </c>
      <c r="B850" s="733" t="s">
        <v>5914</v>
      </c>
      <c r="C850" s="731" t="s">
        <v>6625</v>
      </c>
      <c r="D850" s="752" t="s">
        <v>3452</v>
      </c>
      <c r="E850" s="754">
        <v>0</v>
      </c>
    </row>
    <row r="851" spans="1:5" ht="16.3" customHeight="1">
      <c r="A851" s="754" t="s">
        <v>4448</v>
      </c>
      <c r="B851" s="733" t="s">
        <v>5914</v>
      </c>
      <c r="C851" s="731" t="s">
        <v>2680</v>
      </c>
      <c r="D851" s="752" t="s">
        <v>3452</v>
      </c>
      <c r="E851" s="754">
        <v>0</v>
      </c>
    </row>
    <row r="852" spans="1:5" ht="16.3" customHeight="1">
      <c r="A852" s="754" t="s">
        <v>4448</v>
      </c>
      <c r="B852" s="758" t="s">
        <v>5913</v>
      </c>
      <c r="C852" s="731" t="s">
        <v>3159</v>
      </c>
      <c r="D852" s="752" t="s">
        <v>5850</v>
      </c>
      <c r="E852" s="754">
        <v>0</v>
      </c>
    </row>
    <row r="853" spans="1:5" ht="16.3" customHeight="1">
      <c r="A853" s="754" t="s">
        <v>4448</v>
      </c>
      <c r="B853" s="758" t="s">
        <v>5913</v>
      </c>
      <c r="C853" s="731" t="s">
        <v>3160</v>
      </c>
      <c r="D853" s="752" t="s">
        <v>5850</v>
      </c>
      <c r="E853" s="754">
        <v>0</v>
      </c>
    </row>
    <row r="854" spans="1:5" ht="16.3" customHeight="1">
      <c r="A854" s="754" t="s">
        <v>4448</v>
      </c>
      <c r="B854" s="758" t="s">
        <v>5913</v>
      </c>
      <c r="C854" s="731" t="s">
        <v>3161</v>
      </c>
      <c r="D854" s="752" t="s">
        <v>5850</v>
      </c>
      <c r="E854" s="754">
        <v>0</v>
      </c>
    </row>
    <row r="855" spans="1:5" ht="16.3" customHeight="1">
      <c r="A855" s="754" t="s">
        <v>4448</v>
      </c>
      <c r="B855" s="759" t="s">
        <v>5915</v>
      </c>
      <c r="C855" s="731" t="s">
        <v>2680</v>
      </c>
      <c r="D855" s="752" t="s">
        <v>5851</v>
      </c>
      <c r="E855" s="754">
        <v>0</v>
      </c>
    </row>
    <row r="856" spans="1:5" ht="16.3" customHeight="1">
      <c r="A856" s="754" t="s">
        <v>4448</v>
      </c>
      <c r="B856" s="759" t="s">
        <v>5915</v>
      </c>
      <c r="C856" s="731" t="s">
        <v>3162</v>
      </c>
      <c r="D856" s="752" t="s">
        <v>5851</v>
      </c>
      <c r="E856" s="754">
        <v>0</v>
      </c>
    </row>
    <row r="857" spans="1:5" ht="16.3" customHeight="1">
      <c r="A857" s="754" t="s">
        <v>4448</v>
      </c>
      <c r="B857" s="759" t="s">
        <v>5915</v>
      </c>
      <c r="C857" s="731" t="s">
        <v>2680</v>
      </c>
      <c r="D857" s="752" t="s">
        <v>5851</v>
      </c>
      <c r="E857" s="754">
        <v>0</v>
      </c>
    </row>
    <row r="858" spans="1:5" ht="16.3" customHeight="1">
      <c r="A858" s="754" t="s">
        <v>4448</v>
      </c>
      <c r="B858" s="759" t="s">
        <v>5915</v>
      </c>
      <c r="C858" s="731" t="s">
        <v>2680</v>
      </c>
      <c r="D858" s="752" t="s">
        <v>5851</v>
      </c>
      <c r="E858" s="754">
        <v>0</v>
      </c>
    </row>
    <row r="859" spans="1:5" ht="16.3" customHeight="1">
      <c r="A859" s="754" t="s">
        <v>4448</v>
      </c>
      <c r="B859" s="767" t="s">
        <v>5916</v>
      </c>
      <c r="C859" s="731" t="s">
        <v>3163</v>
      </c>
      <c r="D859" s="752" t="s">
        <v>5852</v>
      </c>
      <c r="E859" s="754">
        <v>0</v>
      </c>
    </row>
    <row r="860" spans="1:5" ht="16.3" customHeight="1">
      <c r="A860" s="754" t="s">
        <v>4448</v>
      </c>
      <c r="B860" s="767" t="s">
        <v>5916</v>
      </c>
      <c r="C860" s="731" t="s">
        <v>2680</v>
      </c>
      <c r="D860" s="752" t="s">
        <v>5852</v>
      </c>
      <c r="E860" s="754">
        <v>0</v>
      </c>
    </row>
    <row r="861" spans="1:5" ht="16.3" customHeight="1">
      <c r="A861" s="754" t="s">
        <v>4448</v>
      </c>
      <c r="B861" s="767" t="s">
        <v>5916</v>
      </c>
      <c r="C861" s="731" t="s">
        <v>3164</v>
      </c>
      <c r="D861" s="752" t="s">
        <v>5852</v>
      </c>
      <c r="E861" s="754">
        <v>0</v>
      </c>
    </row>
    <row r="862" spans="1:5" ht="16.3" customHeight="1">
      <c r="A862" s="754" t="s">
        <v>4448</v>
      </c>
      <c r="B862" s="767" t="s">
        <v>5916</v>
      </c>
      <c r="C862" s="731" t="s">
        <v>3165</v>
      </c>
      <c r="D862" s="752" t="s">
        <v>5852</v>
      </c>
      <c r="E862" s="754">
        <v>0</v>
      </c>
    </row>
    <row r="863" spans="1:5" ht="16.3" customHeight="1">
      <c r="A863" s="754" t="s">
        <v>4448</v>
      </c>
      <c r="B863" s="767" t="s">
        <v>5916</v>
      </c>
      <c r="C863" s="731" t="s">
        <v>2680</v>
      </c>
      <c r="D863" s="752" t="s">
        <v>5852</v>
      </c>
      <c r="E863" s="754">
        <v>0</v>
      </c>
    </row>
    <row r="864" spans="1:5" ht="16.3" customHeight="1">
      <c r="A864" s="754" t="s">
        <v>4448</v>
      </c>
      <c r="B864" s="761" t="s">
        <v>5917</v>
      </c>
      <c r="C864" s="731" t="s">
        <v>3166</v>
      </c>
      <c r="D864" s="752" t="s">
        <v>5853</v>
      </c>
      <c r="E864" s="754">
        <v>0</v>
      </c>
    </row>
    <row r="865" spans="1:5" ht="16.3" customHeight="1">
      <c r="A865" s="754" t="s">
        <v>4448</v>
      </c>
      <c r="B865" s="761" t="s">
        <v>5917</v>
      </c>
      <c r="C865" s="731" t="s">
        <v>2680</v>
      </c>
      <c r="D865" s="752" t="s">
        <v>5853</v>
      </c>
      <c r="E865" s="754">
        <v>0</v>
      </c>
    </row>
    <row r="866" spans="1:5" ht="16.3" customHeight="1">
      <c r="A866" s="754" t="s">
        <v>4448</v>
      </c>
      <c r="B866" s="732" t="s">
        <v>5912</v>
      </c>
      <c r="C866" s="731" t="s">
        <v>3168</v>
      </c>
      <c r="D866" s="752" t="s">
        <v>3486</v>
      </c>
      <c r="E866" s="754">
        <v>0</v>
      </c>
    </row>
    <row r="867" spans="1:5" ht="16.3" customHeight="1">
      <c r="A867" s="754" t="s">
        <v>4448</v>
      </c>
      <c r="B867" s="732" t="s">
        <v>5912</v>
      </c>
      <c r="C867" s="731" t="s">
        <v>2680</v>
      </c>
      <c r="D867" s="752" t="s">
        <v>3486</v>
      </c>
      <c r="E867" s="754">
        <v>0</v>
      </c>
    </row>
    <row r="868" spans="1:5" ht="16.3" customHeight="1">
      <c r="A868" s="754" t="s">
        <v>4448</v>
      </c>
      <c r="B868" s="733" t="s">
        <v>5914</v>
      </c>
      <c r="C868" s="731" t="s">
        <v>5786</v>
      </c>
      <c r="D868" s="752" t="s">
        <v>3452</v>
      </c>
      <c r="E868" s="754">
        <v>0</v>
      </c>
    </row>
    <row r="869" spans="1:5" ht="16.3" customHeight="1">
      <c r="A869" s="754" t="s">
        <v>4448</v>
      </c>
      <c r="B869" s="733" t="s">
        <v>5914</v>
      </c>
      <c r="C869" s="731" t="s">
        <v>2680</v>
      </c>
      <c r="D869" s="752" t="s">
        <v>3452</v>
      </c>
      <c r="E869" s="754">
        <v>0</v>
      </c>
    </row>
    <row r="870" spans="1:5" ht="16.3" customHeight="1">
      <c r="A870" s="754" t="s">
        <v>4448</v>
      </c>
      <c r="B870" s="758" t="s">
        <v>5913</v>
      </c>
      <c r="C870" s="731" t="s">
        <v>3169</v>
      </c>
      <c r="D870" s="752" t="s">
        <v>5850</v>
      </c>
      <c r="E870" s="754">
        <v>0</v>
      </c>
    </row>
    <row r="871" spans="1:5" ht="16.3" customHeight="1">
      <c r="A871" s="754" t="s">
        <v>4448</v>
      </c>
      <c r="B871" s="758" t="s">
        <v>5913</v>
      </c>
      <c r="C871" s="731" t="s">
        <v>3170</v>
      </c>
      <c r="D871" s="752" t="s">
        <v>5850</v>
      </c>
      <c r="E871" s="754">
        <v>0</v>
      </c>
    </row>
    <row r="872" spans="1:5" ht="16.3" customHeight="1">
      <c r="A872" s="754" t="s">
        <v>4448</v>
      </c>
      <c r="B872" s="758" t="s">
        <v>5913</v>
      </c>
      <c r="C872" s="731" t="s">
        <v>2680</v>
      </c>
      <c r="D872" s="752" t="s">
        <v>5850</v>
      </c>
      <c r="E872" s="754">
        <v>0</v>
      </c>
    </row>
    <row r="873" spans="1:5" ht="16.3" customHeight="1">
      <c r="A873" s="754" t="s">
        <v>4448</v>
      </c>
      <c r="B873" s="759" t="s">
        <v>5915</v>
      </c>
      <c r="C873" s="731" t="s">
        <v>3171</v>
      </c>
      <c r="D873" s="752" t="s">
        <v>5851</v>
      </c>
      <c r="E873" s="754">
        <v>0</v>
      </c>
    </row>
    <row r="874" spans="1:5" ht="16.3" customHeight="1">
      <c r="A874" s="754" t="s">
        <v>4448</v>
      </c>
      <c r="B874" s="759" t="s">
        <v>5915</v>
      </c>
      <c r="C874" s="731" t="s">
        <v>3172</v>
      </c>
      <c r="D874" s="752" t="s">
        <v>5851</v>
      </c>
      <c r="E874" s="754">
        <v>0</v>
      </c>
    </row>
    <row r="875" spans="1:5" ht="16.3" customHeight="1">
      <c r="A875" s="754" t="s">
        <v>4448</v>
      </c>
      <c r="B875" s="759" t="s">
        <v>5915</v>
      </c>
      <c r="C875" s="731" t="s">
        <v>2680</v>
      </c>
      <c r="D875" s="752" t="s">
        <v>5851</v>
      </c>
      <c r="E875" s="754">
        <v>0</v>
      </c>
    </row>
    <row r="876" spans="1:5" ht="16.3" customHeight="1">
      <c r="A876" s="754" t="s">
        <v>4448</v>
      </c>
      <c r="B876" s="759" t="s">
        <v>5915</v>
      </c>
      <c r="C876" s="731" t="s">
        <v>2680</v>
      </c>
      <c r="D876" s="752" t="s">
        <v>5851</v>
      </c>
      <c r="E876" s="754">
        <v>0</v>
      </c>
    </row>
    <row r="877" spans="1:5" ht="16.3" customHeight="1">
      <c r="A877" s="754" t="s">
        <v>4448</v>
      </c>
      <c r="B877" s="767" t="s">
        <v>5916</v>
      </c>
      <c r="C877" s="731" t="s">
        <v>2680</v>
      </c>
      <c r="D877" s="752" t="s">
        <v>5852</v>
      </c>
      <c r="E877" s="754">
        <v>0</v>
      </c>
    </row>
    <row r="878" spans="1:5" ht="16.3" customHeight="1">
      <c r="A878" s="754" t="s">
        <v>4448</v>
      </c>
      <c r="B878" s="767" t="s">
        <v>5916</v>
      </c>
      <c r="C878" s="731" t="s">
        <v>3173</v>
      </c>
      <c r="D878" s="752" t="s">
        <v>5852</v>
      </c>
      <c r="E878" s="754">
        <v>0</v>
      </c>
    </row>
    <row r="879" spans="1:5" ht="16.3" customHeight="1">
      <c r="A879" s="754" t="s">
        <v>4448</v>
      </c>
      <c r="B879" s="767" t="s">
        <v>5916</v>
      </c>
      <c r="C879" s="731" t="s">
        <v>3174</v>
      </c>
      <c r="D879" s="752" t="s">
        <v>5852</v>
      </c>
      <c r="E879" s="754">
        <v>0</v>
      </c>
    </row>
    <row r="880" spans="1:5" ht="16.3" customHeight="1">
      <c r="A880" s="754" t="s">
        <v>4448</v>
      </c>
      <c r="B880" s="767" t="s">
        <v>5916</v>
      </c>
      <c r="C880" s="731" t="s">
        <v>2680</v>
      </c>
      <c r="D880" s="752" t="s">
        <v>5852</v>
      </c>
      <c r="E880" s="754">
        <v>0</v>
      </c>
    </row>
    <row r="881" spans="1:5" ht="16.3" customHeight="1">
      <c r="A881" s="754" t="s">
        <v>4448</v>
      </c>
      <c r="B881" s="767" t="s">
        <v>5916</v>
      </c>
      <c r="C881" s="731" t="s">
        <v>2680</v>
      </c>
      <c r="D881" s="752" t="s">
        <v>5852</v>
      </c>
      <c r="E881" s="754">
        <v>0</v>
      </c>
    </row>
    <row r="882" spans="1:5" ht="16.3" customHeight="1">
      <c r="A882" s="754" t="s">
        <v>4448</v>
      </c>
      <c r="B882" s="761" t="s">
        <v>5917</v>
      </c>
      <c r="C882" s="731" t="s">
        <v>3175</v>
      </c>
      <c r="D882" s="752" t="s">
        <v>5853</v>
      </c>
      <c r="E882" s="754">
        <v>0</v>
      </c>
    </row>
    <row r="883" spans="1:5" ht="16.3" customHeight="1">
      <c r="A883" s="754" t="s">
        <v>4448</v>
      </c>
      <c r="B883" s="761" t="s">
        <v>5917</v>
      </c>
      <c r="C883" s="731" t="s">
        <v>2680</v>
      </c>
      <c r="D883" s="752" t="s">
        <v>5853</v>
      </c>
      <c r="E883" s="754">
        <v>0</v>
      </c>
    </row>
    <row r="884" spans="1:5" ht="16.3" customHeight="1">
      <c r="A884" s="754" t="s">
        <v>4448</v>
      </c>
      <c r="B884" s="732" t="s">
        <v>5912</v>
      </c>
      <c r="C884" s="731" t="s">
        <v>3177</v>
      </c>
      <c r="D884" s="752" t="s">
        <v>3486</v>
      </c>
      <c r="E884" s="754">
        <v>0</v>
      </c>
    </row>
    <row r="885" spans="1:5" ht="16.3" customHeight="1">
      <c r="A885" s="754" t="s">
        <v>4448</v>
      </c>
      <c r="B885" s="732" t="s">
        <v>5912</v>
      </c>
      <c r="C885" s="731" t="s">
        <v>2680</v>
      </c>
      <c r="D885" s="752" t="s">
        <v>3486</v>
      </c>
      <c r="E885" s="754">
        <v>0</v>
      </c>
    </row>
    <row r="886" spans="1:5" ht="16.3" customHeight="1">
      <c r="A886" s="754" t="s">
        <v>4448</v>
      </c>
      <c r="B886" s="733" t="s">
        <v>5914</v>
      </c>
      <c r="C886" s="731" t="s">
        <v>5787</v>
      </c>
      <c r="D886" s="752" t="s">
        <v>3452</v>
      </c>
      <c r="E886" s="754">
        <v>0</v>
      </c>
    </row>
    <row r="887" spans="1:5" ht="16.3" customHeight="1">
      <c r="A887" s="754" t="s">
        <v>4448</v>
      </c>
      <c r="B887" s="733" t="s">
        <v>5914</v>
      </c>
      <c r="C887" s="731" t="s">
        <v>2680</v>
      </c>
      <c r="D887" s="752" t="s">
        <v>3452</v>
      </c>
      <c r="E887" s="754">
        <v>0</v>
      </c>
    </row>
    <row r="888" spans="1:5" ht="16.3" customHeight="1">
      <c r="A888" s="754" t="s">
        <v>4448</v>
      </c>
      <c r="B888" s="758" t="s">
        <v>5913</v>
      </c>
      <c r="C888" s="731" t="s">
        <v>3178</v>
      </c>
      <c r="D888" s="752" t="s">
        <v>5850</v>
      </c>
      <c r="E888" s="754">
        <v>0</v>
      </c>
    </row>
    <row r="889" spans="1:5" ht="16.3" customHeight="1">
      <c r="A889" s="754" t="s">
        <v>4448</v>
      </c>
      <c r="B889" s="758" t="s">
        <v>5913</v>
      </c>
      <c r="C889" s="731" t="s">
        <v>2680</v>
      </c>
      <c r="D889" s="752" t="s">
        <v>5850</v>
      </c>
      <c r="E889" s="754">
        <v>0</v>
      </c>
    </row>
    <row r="890" spans="1:5" ht="16.3" customHeight="1">
      <c r="A890" s="754" t="s">
        <v>4448</v>
      </c>
      <c r="B890" s="758" t="s">
        <v>5913</v>
      </c>
      <c r="C890" s="731" t="s">
        <v>3179</v>
      </c>
      <c r="D890" s="752" t="s">
        <v>5850</v>
      </c>
      <c r="E890" s="754">
        <v>0</v>
      </c>
    </row>
    <row r="891" spans="1:5" ht="16.3" customHeight="1">
      <c r="A891" s="754" t="s">
        <v>4448</v>
      </c>
      <c r="B891" s="759" t="s">
        <v>5915</v>
      </c>
      <c r="C891" s="731" t="s">
        <v>3180</v>
      </c>
      <c r="D891" s="752" t="s">
        <v>5851</v>
      </c>
      <c r="E891" s="754">
        <v>0</v>
      </c>
    </row>
    <row r="892" spans="1:5" ht="16.3" customHeight="1">
      <c r="A892" s="754" t="s">
        <v>4448</v>
      </c>
      <c r="B892" s="759" t="s">
        <v>5915</v>
      </c>
      <c r="C892" s="731" t="s">
        <v>2680</v>
      </c>
      <c r="D892" s="752" t="s">
        <v>5851</v>
      </c>
      <c r="E892" s="754">
        <v>0</v>
      </c>
    </row>
    <row r="893" spans="1:5" ht="16.3" customHeight="1">
      <c r="A893" s="754" t="s">
        <v>4448</v>
      </c>
      <c r="B893" s="759" t="s">
        <v>5915</v>
      </c>
      <c r="C893" s="731" t="s">
        <v>2680</v>
      </c>
      <c r="D893" s="752" t="s">
        <v>5851</v>
      </c>
      <c r="E893" s="754">
        <v>0</v>
      </c>
    </row>
    <row r="894" spans="1:5" ht="16.3" customHeight="1">
      <c r="A894" s="754" t="s">
        <v>4448</v>
      </c>
      <c r="B894" s="759" t="s">
        <v>5915</v>
      </c>
      <c r="C894" s="731" t="s">
        <v>2680</v>
      </c>
      <c r="D894" s="752" t="s">
        <v>5851</v>
      </c>
      <c r="E894" s="754">
        <v>0</v>
      </c>
    </row>
    <row r="895" spans="1:5" ht="16.3" customHeight="1">
      <c r="A895" s="754" t="s">
        <v>4448</v>
      </c>
      <c r="B895" s="767" t="s">
        <v>5916</v>
      </c>
      <c r="C895" s="731" t="s">
        <v>3181</v>
      </c>
      <c r="D895" s="752" t="s">
        <v>5852</v>
      </c>
      <c r="E895" s="754">
        <v>0</v>
      </c>
    </row>
    <row r="896" spans="1:5" ht="16.3" customHeight="1">
      <c r="A896" s="754" t="s">
        <v>4448</v>
      </c>
      <c r="B896" s="767" t="s">
        <v>5916</v>
      </c>
      <c r="C896" s="731" t="s">
        <v>3182</v>
      </c>
      <c r="D896" s="752" t="s">
        <v>5852</v>
      </c>
      <c r="E896" s="754">
        <v>0</v>
      </c>
    </row>
    <row r="897" spans="1:5" ht="16.3" customHeight="1">
      <c r="A897" s="754" t="s">
        <v>4448</v>
      </c>
      <c r="B897" s="767" t="s">
        <v>5916</v>
      </c>
      <c r="C897" s="731" t="s">
        <v>2680</v>
      </c>
      <c r="D897" s="752" t="s">
        <v>5852</v>
      </c>
      <c r="E897" s="754">
        <v>0</v>
      </c>
    </row>
    <row r="898" spans="1:5" ht="16.3" customHeight="1">
      <c r="A898" s="754" t="s">
        <v>4448</v>
      </c>
      <c r="B898" s="767" t="s">
        <v>5916</v>
      </c>
      <c r="C898" s="731" t="s">
        <v>2680</v>
      </c>
      <c r="D898" s="752" t="s">
        <v>5852</v>
      </c>
      <c r="E898" s="754">
        <v>0</v>
      </c>
    </row>
    <row r="899" spans="1:5" ht="16.3" customHeight="1">
      <c r="A899" s="754" t="s">
        <v>4448</v>
      </c>
      <c r="B899" s="767" t="s">
        <v>5916</v>
      </c>
      <c r="C899" s="731" t="s">
        <v>2680</v>
      </c>
      <c r="D899" s="752" t="s">
        <v>5852</v>
      </c>
      <c r="E899" s="754">
        <v>0</v>
      </c>
    </row>
    <row r="900" spans="1:5" ht="16.3" customHeight="1">
      <c r="A900" s="754" t="s">
        <v>4448</v>
      </c>
      <c r="B900" s="761" t="s">
        <v>5917</v>
      </c>
      <c r="C900" s="731" t="s">
        <v>3183</v>
      </c>
      <c r="D900" s="752" t="s">
        <v>5853</v>
      </c>
      <c r="E900" s="754">
        <v>0</v>
      </c>
    </row>
    <row r="901" spans="1:5" ht="16.3" customHeight="1">
      <c r="A901" s="754" t="s">
        <v>4448</v>
      </c>
      <c r="B901" s="761" t="s">
        <v>5917</v>
      </c>
      <c r="C901" s="731" t="s">
        <v>2680</v>
      </c>
      <c r="D901" s="752" t="s">
        <v>5853</v>
      </c>
      <c r="E901" s="754">
        <v>0</v>
      </c>
    </row>
    <row r="902" spans="1:5" ht="16.3" customHeight="1">
      <c r="A902" s="754" t="s">
        <v>4448</v>
      </c>
      <c r="B902" s="732" t="s">
        <v>5912</v>
      </c>
      <c r="C902" s="731" t="s">
        <v>3185</v>
      </c>
      <c r="D902" s="752" t="s">
        <v>3486</v>
      </c>
      <c r="E902" s="754">
        <v>0</v>
      </c>
    </row>
    <row r="903" spans="1:5" ht="16.3" customHeight="1">
      <c r="A903" s="754" t="s">
        <v>4448</v>
      </c>
      <c r="B903" s="732" t="s">
        <v>5912</v>
      </c>
      <c r="C903" s="731" t="s">
        <v>2680</v>
      </c>
      <c r="D903" s="752" t="s">
        <v>3486</v>
      </c>
      <c r="E903" s="754">
        <v>0</v>
      </c>
    </row>
    <row r="904" spans="1:5" ht="16.3" customHeight="1">
      <c r="A904" s="754" t="s">
        <v>4448</v>
      </c>
      <c r="B904" s="733" t="s">
        <v>5914</v>
      </c>
      <c r="C904" s="731" t="s">
        <v>5788</v>
      </c>
      <c r="D904" s="752" t="s">
        <v>3452</v>
      </c>
      <c r="E904" s="754">
        <v>0</v>
      </c>
    </row>
    <row r="905" spans="1:5" ht="16.3" customHeight="1">
      <c r="A905" s="754" t="s">
        <v>4448</v>
      </c>
      <c r="B905" s="733" t="s">
        <v>5914</v>
      </c>
      <c r="C905" s="731" t="s">
        <v>2680</v>
      </c>
      <c r="D905" s="752" t="s">
        <v>3452</v>
      </c>
      <c r="E905" s="754">
        <v>0</v>
      </c>
    </row>
    <row r="906" spans="1:5" ht="16.3" customHeight="1">
      <c r="A906" s="754" t="s">
        <v>4448</v>
      </c>
      <c r="B906" s="758" t="s">
        <v>5913</v>
      </c>
      <c r="C906" s="731" t="s">
        <v>3186</v>
      </c>
      <c r="D906" s="752" t="s">
        <v>5850</v>
      </c>
      <c r="E906" s="754">
        <v>0</v>
      </c>
    </row>
    <row r="907" spans="1:5" ht="16.3" customHeight="1">
      <c r="A907" s="754" t="s">
        <v>4448</v>
      </c>
      <c r="B907" s="758" t="s">
        <v>5913</v>
      </c>
      <c r="C907" s="731" t="s">
        <v>3187</v>
      </c>
      <c r="D907" s="752" t="s">
        <v>5850</v>
      </c>
      <c r="E907" s="754">
        <v>0</v>
      </c>
    </row>
    <row r="908" spans="1:5" ht="16.3" customHeight="1">
      <c r="A908" s="754" t="s">
        <v>4448</v>
      </c>
      <c r="B908" s="758" t="s">
        <v>5913</v>
      </c>
      <c r="C908" s="731" t="s">
        <v>2680</v>
      </c>
      <c r="D908" s="752" t="s">
        <v>5850</v>
      </c>
      <c r="E908" s="754">
        <v>0</v>
      </c>
    </row>
    <row r="909" spans="1:5" ht="16.3" customHeight="1">
      <c r="A909" s="754" t="s">
        <v>4448</v>
      </c>
      <c r="B909" s="759" t="s">
        <v>5915</v>
      </c>
      <c r="C909" s="731" t="s">
        <v>3188</v>
      </c>
      <c r="D909" s="752" t="s">
        <v>5851</v>
      </c>
      <c r="E909" s="754">
        <v>0</v>
      </c>
    </row>
    <row r="910" spans="1:5" ht="16.3" customHeight="1">
      <c r="A910" s="754" t="s">
        <v>4448</v>
      </c>
      <c r="B910" s="759" t="s">
        <v>5915</v>
      </c>
      <c r="C910" s="731" t="s">
        <v>3189</v>
      </c>
      <c r="D910" s="752" t="s">
        <v>5851</v>
      </c>
      <c r="E910" s="754">
        <v>0</v>
      </c>
    </row>
    <row r="911" spans="1:5" ht="16.3" customHeight="1">
      <c r="A911" s="754" t="s">
        <v>4448</v>
      </c>
      <c r="B911" s="759" t="s">
        <v>5915</v>
      </c>
      <c r="C911" s="731" t="s">
        <v>2680</v>
      </c>
      <c r="D911" s="752" t="s">
        <v>5851</v>
      </c>
      <c r="E911" s="754">
        <v>0</v>
      </c>
    </row>
    <row r="912" spans="1:5" ht="16.3" customHeight="1">
      <c r="A912" s="754" t="s">
        <v>4448</v>
      </c>
      <c r="B912" s="759" t="s">
        <v>5915</v>
      </c>
      <c r="C912" s="731" t="s">
        <v>2680</v>
      </c>
      <c r="D912" s="752" t="s">
        <v>5851</v>
      </c>
      <c r="E912" s="754">
        <v>0</v>
      </c>
    </row>
    <row r="913" spans="1:5" ht="16.3" customHeight="1">
      <c r="A913" s="754" t="s">
        <v>4448</v>
      </c>
      <c r="B913" s="767" t="s">
        <v>5916</v>
      </c>
      <c r="C913" s="731" t="s">
        <v>3190</v>
      </c>
      <c r="D913" s="752" t="s">
        <v>5852</v>
      </c>
      <c r="E913" s="754">
        <v>0</v>
      </c>
    </row>
    <row r="914" spans="1:5" ht="16.3" customHeight="1">
      <c r="A914" s="754" t="s">
        <v>4448</v>
      </c>
      <c r="B914" s="767" t="s">
        <v>5916</v>
      </c>
      <c r="C914" s="731" t="s">
        <v>3191</v>
      </c>
      <c r="D914" s="752" t="s">
        <v>5852</v>
      </c>
      <c r="E914" s="754">
        <v>0</v>
      </c>
    </row>
    <row r="915" spans="1:5" ht="16.3" customHeight="1">
      <c r="A915" s="754" t="s">
        <v>4448</v>
      </c>
      <c r="B915" s="767" t="s">
        <v>5916</v>
      </c>
      <c r="C915" s="731" t="s">
        <v>3192</v>
      </c>
      <c r="D915" s="752" t="s">
        <v>5852</v>
      </c>
      <c r="E915" s="754">
        <v>0</v>
      </c>
    </row>
    <row r="916" spans="1:5" ht="16.3" customHeight="1">
      <c r="A916" s="754" t="s">
        <v>4448</v>
      </c>
      <c r="B916" s="767" t="s">
        <v>5916</v>
      </c>
      <c r="C916" s="731" t="s">
        <v>2680</v>
      </c>
      <c r="D916" s="752" t="s">
        <v>5852</v>
      </c>
      <c r="E916" s="754">
        <v>0</v>
      </c>
    </row>
    <row r="917" spans="1:5" ht="16.3" customHeight="1">
      <c r="A917" s="754" t="s">
        <v>4448</v>
      </c>
      <c r="B917" s="767" t="s">
        <v>5916</v>
      </c>
      <c r="C917" s="731" t="s">
        <v>2680</v>
      </c>
      <c r="D917" s="752" t="s">
        <v>5852</v>
      </c>
      <c r="E917" s="754">
        <v>0</v>
      </c>
    </row>
    <row r="918" spans="1:5" ht="16.3" customHeight="1">
      <c r="A918" s="754" t="s">
        <v>4448</v>
      </c>
      <c r="B918" s="761" t="s">
        <v>5917</v>
      </c>
      <c r="C918" s="731" t="s">
        <v>3193</v>
      </c>
      <c r="D918" s="752" t="s">
        <v>5853</v>
      </c>
      <c r="E918" s="754">
        <v>0</v>
      </c>
    </row>
    <row r="919" spans="1:5" ht="16.3" customHeight="1">
      <c r="A919" s="754" t="s">
        <v>4448</v>
      </c>
      <c r="B919" s="761" t="s">
        <v>5917</v>
      </c>
      <c r="C919" s="731" t="s">
        <v>3194</v>
      </c>
      <c r="D919" s="752" t="s">
        <v>5853</v>
      </c>
      <c r="E919" s="754">
        <v>0</v>
      </c>
    </row>
    <row r="920" spans="1:5" ht="16.3" customHeight="1">
      <c r="A920" s="754" t="s">
        <v>4448</v>
      </c>
      <c r="B920" s="732" t="s">
        <v>5912</v>
      </c>
      <c r="C920" s="731" t="s">
        <v>3196</v>
      </c>
      <c r="D920" s="752" t="s">
        <v>3486</v>
      </c>
      <c r="E920" s="754">
        <v>0</v>
      </c>
    </row>
    <row r="921" spans="1:5" ht="16.3" customHeight="1">
      <c r="A921" s="754" t="s">
        <v>4448</v>
      </c>
      <c r="B921" s="732" t="s">
        <v>5912</v>
      </c>
      <c r="C921" s="731" t="s">
        <v>2680</v>
      </c>
      <c r="D921" s="752" t="s">
        <v>3486</v>
      </c>
      <c r="E921" s="754">
        <v>0</v>
      </c>
    </row>
    <row r="922" spans="1:5" ht="16.3" customHeight="1">
      <c r="A922" s="754" t="s">
        <v>4448</v>
      </c>
      <c r="B922" s="733" t="s">
        <v>5914</v>
      </c>
      <c r="C922" s="731" t="s">
        <v>5789</v>
      </c>
      <c r="D922" s="752" t="s">
        <v>3452</v>
      </c>
      <c r="E922" s="754">
        <v>0</v>
      </c>
    </row>
    <row r="923" spans="1:5" ht="16.3" customHeight="1">
      <c r="A923" s="754" t="s">
        <v>4448</v>
      </c>
      <c r="B923" s="733" t="s">
        <v>5914</v>
      </c>
      <c r="C923" s="731" t="s">
        <v>2680</v>
      </c>
      <c r="D923" s="752" t="s">
        <v>3452</v>
      </c>
      <c r="E923" s="754">
        <v>0</v>
      </c>
    </row>
    <row r="924" spans="1:5" ht="16.3" customHeight="1">
      <c r="A924" s="754" t="s">
        <v>4448</v>
      </c>
      <c r="B924" s="758" t="s">
        <v>5913</v>
      </c>
      <c r="C924" s="731" t="s">
        <v>3197</v>
      </c>
      <c r="D924" s="752" t="s">
        <v>5850</v>
      </c>
      <c r="E924" s="754">
        <v>0</v>
      </c>
    </row>
    <row r="925" spans="1:5" ht="16.3" customHeight="1">
      <c r="A925" s="754" t="s">
        <v>4448</v>
      </c>
      <c r="B925" s="758" t="s">
        <v>5913</v>
      </c>
      <c r="C925" s="731" t="s">
        <v>2680</v>
      </c>
      <c r="D925" s="752" t="s">
        <v>5850</v>
      </c>
      <c r="E925" s="754">
        <v>0</v>
      </c>
    </row>
    <row r="926" spans="1:5" ht="16.3" customHeight="1">
      <c r="A926" s="754" t="s">
        <v>4448</v>
      </c>
      <c r="B926" s="758" t="s">
        <v>5913</v>
      </c>
      <c r="C926" s="731" t="s">
        <v>2680</v>
      </c>
      <c r="D926" s="752" t="s">
        <v>5850</v>
      </c>
      <c r="E926" s="754">
        <v>0</v>
      </c>
    </row>
    <row r="927" spans="1:5" ht="16.3" customHeight="1">
      <c r="A927" s="754" t="s">
        <v>4448</v>
      </c>
      <c r="B927" s="759" t="s">
        <v>5915</v>
      </c>
      <c r="C927" s="731" t="s">
        <v>3198</v>
      </c>
      <c r="D927" s="752" t="s">
        <v>5851</v>
      </c>
      <c r="E927" s="754">
        <v>0</v>
      </c>
    </row>
    <row r="928" spans="1:5" ht="16.3" customHeight="1">
      <c r="A928" s="754" t="s">
        <v>4448</v>
      </c>
      <c r="B928" s="759" t="s">
        <v>5915</v>
      </c>
      <c r="C928" s="731" t="s">
        <v>2680</v>
      </c>
      <c r="D928" s="752" t="s">
        <v>5851</v>
      </c>
      <c r="E928" s="754">
        <v>0</v>
      </c>
    </row>
    <row r="929" spans="1:5" ht="16.3" customHeight="1">
      <c r="A929" s="754" t="s">
        <v>4448</v>
      </c>
      <c r="B929" s="759" t="s">
        <v>5915</v>
      </c>
      <c r="C929" s="731" t="s">
        <v>2680</v>
      </c>
      <c r="D929" s="752" t="s">
        <v>5851</v>
      </c>
      <c r="E929" s="754">
        <v>0</v>
      </c>
    </row>
    <row r="930" spans="1:5" ht="16.3" customHeight="1">
      <c r="A930" s="754" t="s">
        <v>4448</v>
      </c>
      <c r="B930" s="759" t="s">
        <v>5915</v>
      </c>
      <c r="C930" s="731" t="s">
        <v>2680</v>
      </c>
      <c r="D930" s="752" t="s">
        <v>5851</v>
      </c>
      <c r="E930" s="754">
        <v>0</v>
      </c>
    </row>
    <row r="931" spans="1:5" ht="16.3" customHeight="1">
      <c r="A931" s="754" t="s">
        <v>4448</v>
      </c>
      <c r="B931" s="767" t="s">
        <v>5916</v>
      </c>
      <c r="C931" s="731" t="s">
        <v>3199</v>
      </c>
      <c r="D931" s="752" t="s">
        <v>5852</v>
      </c>
      <c r="E931" s="754">
        <v>0</v>
      </c>
    </row>
    <row r="932" spans="1:5" ht="16.3" customHeight="1">
      <c r="A932" s="754" t="s">
        <v>4448</v>
      </c>
      <c r="B932" s="767" t="s">
        <v>5916</v>
      </c>
      <c r="C932" s="731" t="s">
        <v>3200</v>
      </c>
      <c r="D932" s="752" t="s">
        <v>5852</v>
      </c>
      <c r="E932" s="754">
        <v>0</v>
      </c>
    </row>
    <row r="933" spans="1:5" ht="16.3" customHeight="1">
      <c r="A933" s="754" t="s">
        <v>4448</v>
      </c>
      <c r="B933" s="767" t="s">
        <v>5916</v>
      </c>
      <c r="C933" s="731" t="s">
        <v>2680</v>
      </c>
      <c r="D933" s="752" t="s">
        <v>5852</v>
      </c>
      <c r="E933" s="754">
        <v>0</v>
      </c>
    </row>
    <row r="934" spans="1:5" ht="16.3" customHeight="1">
      <c r="A934" s="754" t="s">
        <v>4448</v>
      </c>
      <c r="B934" s="767" t="s">
        <v>5916</v>
      </c>
      <c r="C934" s="731" t="s">
        <v>2680</v>
      </c>
      <c r="D934" s="752" t="s">
        <v>5852</v>
      </c>
      <c r="E934" s="754">
        <v>0</v>
      </c>
    </row>
    <row r="935" spans="1:5" ht="16.3" customHeight="1">
      <c r="A935" s="754" t="s">
        <v>4448</v>
      </c>
      <c r="B935" s="767" t="s">
        <v>5916</v>
      </c>
      <c r="C935" s="731" t="s">
        <v>2680</v>
      </c>
      <c r="D935" s="752" t="s">
        <v>5852</v>
      </c>
      <c r="E935" s="754">
        <v>0</v>
      </c>
    </row>
    <row r="936" spans="1:5" ht="16.3" customHeight="1">
      <c r="A936" s="754" t="s">
        <v>4448</v>
      </c>
      <c r="B936" s="761" t="s">
        <v>5917</v>
      </c>
      <c r="C936" s="731" t="s">
        <v>3201</v>
      </c>
      <c r="D936" s="752" t="s">
        <v>5853</v>
      </c>
      <c r="E936" s="754">
        <v>0</v>
      </c>
    </row>
    <row r="937" spans="1:5" ht="16.3" customHeight="1">
      <c r="A937" s="754" t="s">
        <v>4448</v>
      </c>
      <c r="B937" s="761" t="s">
        <v>5917</v>
      </c>
      <c r="C937" s="731" t="s">
        <v>2680</v>
      </c>
      <c r="D937" s="752" t="s">
        <v>5853</v>
      </c>
      <c r="E937" s="754">
        <v>0</v>
      </c>
    </row>
    <row r="938" spans="1:5" ht="16.3" customHeight="1">
      <c r="A938" s="754" t="s">
        <v>4448</v>
      </c>
      <c r="B938" s="732" t="s">
        <v>5912</v>
      </c>
      <c r="C938" s="731" t="s">
        <v>3203</v>
      </c>
      <c r="D938" s="752" t="s">
        <v>3486</v>
      </c>
      <c r="E938" s="754">
        <v>0</v>
      </c>
    </row>
    <row r="939" spans="1:5" ht="16.3" customHeight="1">
      <c r="A939" s="754" t="s">
        <v>4448</v>
      </c>
      <c r="B939" s="732" t="s">
        <v>5912</v>
      </c>
      <c r="C939" s="731" t="s">
        <v>3204</v>
      </c>
      <c r="D939" s="752" t="s">
        <v>3486</v>
      </c>
      <c r="E939" s="754">
        <v>0</v>
      </c>
    </row>
    <row r="940" spans="1:5" ht="16.3" customHeight="1">
      <c r="A940" s="754" t="s">
        <v>4448</v>
      </c>
      <c r="B940" s="733" t="s">
        <v>5914</v>
      </c>
      <c r="C940" s="731" t="s">
        <v>5790</v>
      </c>
      <c r="D940" s="752" t="s">
        <v>3452</v>
      </c>
      <c r="E940" s="754">
        <v>0</v>
      </c>
    </row>
    <row r="941" spans="1:5" ht="16.3" customHeight="1">
      <c r="A941" s="754" t="s">
        <v>4448</v>
      </c>
      <c r="B941" s="733" t="s">
        <v>5914</v>
      </c>
      <c r="C941" s="731" t="s">
        <v>2680</v>
      </c>
      <c r="D941" s="752" t="s">
        <v>3452</v>
      </c>
      <c r="E941" s="754">
        <v>0</v>
      </c>
    </row>
    <row r="942" spans="1:5" ht="16.3" customHeight="1">
      <c r="A942" s="754" t="s">
        <v>4448</v>
      </c>
      <c r="B942" s="758" t="s">
        <v>5913</v>
      </c>
      <c r="C942" s="731" t="s">
        <v>3205</v>
      </c>
      <c r="D942" s="752" t="s">
        <v>5850</v>
      </c>
      <c r="E942" s="754">
        <v>0</v>
      </c>
    </row>
    <row r="943" spans="1:5" ht="16.3" customHeight="1">
      <c r="A943" s="754" t="s">
        <v>4448</v>
      </c>
      <c r="B943" s="758" t="s">
        <v>5913</v>
      </c>
      <c r="C943" s="731" t="s">
        <v>3206</v>
      </c>
      <c r="D943" s="752" t="s">
        <v>5850</v>
      </c>
      <c r="E943" s="754">
        <v>0</v>
      </c>
    </row>
    <row r="944" spans="1:5" ht="16.3" customHeight="1">
      <c r="A944" s="754" t="s">
        <v>4448</v>
      </c>
      <c r="B944" s="758" t="s">
        <v>5913</v>
      </c>
      <c r="C944" s="731" t="s">
        <v>3207</v>
      </c>
      <c r="D944" s="752" t="s">
        <v>5850</v>
      </c>
      <c r="E944" s="754">
        <v>0</v>
      </c>
    </row>
    <row r="945" spans="1:5" ht="16.3" customHeight="1">
      <c r="A945" s="754" t="s">
        <v>4448</v>
      </c>
      <c r="B945" s="759" t="s">
        <v>5915</v>
      </c>
      <c r="C945" s="731" t="s">
        <v>2680</v>
      </c>
      <c r="D945" s="752" t="s">
        <v>5851</v>
      </c>
      <c r="E945" s="754">
        <v>0</v>
      </c>
    </row>
    <row r="946" spans="1:5" ht="16.3" customHeight="1">
      <c r="A946" s="754" t="s">
        <v>4448</v>
      </c>
      <c r="B946" s="759" t="s">
        <v>5915</v>
      </c>
      <c r="C946" s="731" t="s">
        <v>3208</v>
      </c>
      <c r="D946" s="752" t="s">
        <v>5851</v>
      </c>
      <c r="E946" s="754">
        <v>0</v>
      </c>
    </row>
    <row r="947" spans="1:5" ht="16.3" customHeight="1">
      <c r="A947" s="754" t="s">
        <v>4448</v>
      </c>
      <c r="B947" s="759" t="s">
        <v>5915</v>
      </c>
      <c r="C947" s="731" t="s">
        <v>3209</v>
      </c>
      <c r="D947" s="752" t="s">
        <v>5851</v>
      </c>
      <c r="E947" s="754">
        <v>0</v>
      </c>
    </row>
    <row r="948" spans="1:5" ht="16.3" customHeight="1">
      <c r="A948" s="754" t="s">
        <v>4448</v>
      </c>
      <c r="B948" s="759" t="s">
        <v>5915</v>
      </c>
      <c r="C948" s="731" t="s">
        <v>2680</v>
      </c>
      <c r="D948" s="752" t="s">
        <v>5851</v>
      </c>
      <c r="E948" s="754">
        <v>0</v>
      </c>
    </row>
    <row r="949" spans="1:5" ht="16.3" customHeight="1">
      <c r="A949" s="754" t="s">
        <v>4448</v>
      </c>
      <c r="B949" s="767" t="s">
        <v>5916</v>
      </c>
      <c r="C949" s="731" t="s">
        <v>2680</v>
      </c>
      <c r="D949" s="752" t="s">
        <v>5852</v>
      </c>
      <c r="E949" s="754">
        <v>0</v>
      </c>
    </row>
    <row r="950" spans="1:5" ht="16.3" customHeight="1">
      <c r="A950" s="754" t="s">
        <v>4448</v>
      </c>
      <c r="B950" s="767" t="s">
        <v>5916</v>
      </c>
      <c r="C950" s="731" t="s">
        <v>3210</v>
      </c>
      <c r="D950" s="752" t="s">
        <v>5852</v>
      </c>
      <c r="E950" s="754">
        <v>0</v>
      </c>
    </row>
    <row r="951" spans="1:5" ht="16.3" customHeight="1">
      <c r="A951" s="754" t="s">
        <v>4448</v>
      </c>
      <c r="B951" s="767" t="s">
        <v>5916</v>
      </c>
      <c r="C951" s="731" t="s">
        <v>3211</v>
      </c>
      <c r="D951" s="752" t="s">
        <v>5852</v>
      </c>
      <c r="E951" s="754">
        <v>0</v>
      </c>
    </row>
    <row r="952" spans="1:5" ht="16.3" customHeight="1">
      <c r="A952" s="754" t="s">
        <v>4448</v>
      </c>
      <c r="B952" s="767" t="s">
        <v>5916</v>
      </c>
      <c r="C952" s="731" t="s">
        <v>3212</v>
      </c>
      <c r="D952" s="752" t="s">
        <v>5852</v>
      </c>
      <c r="E952" s="754">
        <v>0</v>
      </c>
    </row>
    <row r="953" spans="1:5" ht="16.3" customHeight="1">
      <c r="A953" s="754" t="s">
        <v>4448</v>
      </c>
      <c r="B953" s="767" t="s">
        <v>5916</v>
      </c>
      <c r="C953" s="731" t="s">
        <v>3213</v>
      </c>
      <c r="D953" s="752" t="s">
        <v>5852</v>
      </c>
      <c r="E953" s="754">
        <v>0</v>
      </c>
    </row>
    <row r="954" spans="1:5" ht="16.3" customHeight="1">
      <c r="A954" s="754" t="s">
        <v>4448</v>
      </c>
      <c r="B954" s="761" t="s">
        <v>5917</v>
      </c>
      <c r="C954" s="731" t="s">
        <v>2680</v>
      </c>
      <c r="D954" s="752" t="s">
        <v>5853</v>
      </c>
      <c r="E954" s="754">
        <v>0</v>
      </c>
    </row>
    <row r="955" spans="1:5" ht="16.3" customHeight="1">
      <c r="A955" s="754" t="s">
        <v>4448</v>
      </c>
      <c r="B955" s="761" t="s">
        <v>5917</v>
      </c>
      <c r="C955" s="731" t="s">
        <v>3214</v>
      </c>
      <c r="D955" s="752" t="s">
        <v>5853</v>
      </c>
      <c r="E955" s="754">
        <v>0</v>
      </c>
    </row>
    <row r="956" spans="1:5" ht="16.3" customHeight="1">
      <c r="A956" s="754" t="s">
        <v>4448</v>
      </c>
      <c r="B956" s="732" t="s">
        <v>5912</v>
      </c>
      <c r="C956" s="731" t="s">
        <v>3217</v>
      </c>
      <c r="D956" s="752" t="s">
        <v>3486</v>
      </c>
      <c r="E956" s="754">
        <v>0</v>
      </c>
    </row>
    <row r="957" spans="1:5" ht="16.3" customHeight="1">
      <c r="A957" s="754" t="s">
        <v>4448</v>
      </c>
      <c r="B957" s="732" t="s">
        <v>5912</v>
      </c>
      <c r="C957" s="731" t="s">
        <v>3218</v>
      </c>
      <c r="D957" s="752" t="s">
        <v>3486</v>
      </c>
      <c r="E957" s="754">
        <v>0</v>
      </c>
    </row>
    <row r="958" spans="1:5" ht="16.3" customHeight="1">
      <c r="A958" s="754" t="s">
        <v>4448</v>
      </c>
      <c r="B958" s="733" t="s">
        <v>5914</v>
      </c>
      <c r="C958" s="731" t="s">
        <v>5791</v>
      </c>
      <c r="D958" s="752" t="s">
        <v>3452</v>
      </c>
      <c r="E958" s="754">
        <v>0</v>
      </c>
    </row>
    <row r="959" spans="1:5" ht="16.3" customHeight="1">
      <c r="A959" s="754" t="s">
        <v>4448</v>
      </c>
      <c r="B959" s="733" t="s">
        <v>5914</v>
      </c>
      <c r="C959" s="731" t="s">
        <v>2680</v>
      </c>
      <c r="D959" s="752" t="s">
        <v>3452</v>
      </c>
      <c r="E959" s="754">
        <v>0</v>
      </c>
    </row>
    <row r="960" spans="1:5" ht="16.3" customHeight="1">
      <c r="A960" s="754" t="s">
        <v>4448</v>
      </c>
      <c r="B960" s="758" t="s">
        <v>5913</v>
      </c>
      <c r="C960" s="731" t="s">
        <v>3219</v>
      </c>
      <c r="D960" s="752" t="s">
        <v>5850</v>
      </c>
      <c r="E960" s="754">
        <v>0</v>
      </c>
    </row>
    <row r="961" spans="1:5" ht="16.3" customHeight="1">
      <c r="A961" s="754" t="s">
        <v>4448</v>
      </c>
      <c r="B961" s="758" t="s">
        <v>5913</v>
      </c>
      <c r="C961" s="731" t="s">
        <v>2680</v>
      </c>
      <c r="D961" s="752" t="s">
        <v>5850</v>
      </c>
      <c r="E961" s="754">
        <v>0</v>
      </c>
    </row>
    <row r="962" spans="1:5" ht="16.3" customHeight="1">
      <c r="A962" s="754" t="s">
        <v>4448</v>
      </c>
      <c r="B962" s="758" t="s">
        <v>5913</v>
      </c>
      <c r="C962" s="731" t="s">
        <v>2680</v>
      </c>
      <c r="D962" s="752" t="s">
        <v>5850</v>
      </c>
      <c r="E962" s="754">
        <v>0</v>
      </c>
    </row>
    <row r="963" spans="1:5" ht="16.3" customHeight="1">
      <c r="A963" s="754" t="s">
        <v>4448</v>
      </c>
      <c r="B963" s="759" t="s">
        <v>5915</v>
      </c>
      <c r="C963" s="731" t="s">
        <v>3171</v>
      </c>
      <c r="D963" s="752" t="s">
        <v>5851</v>
      </c>
      <c r="E963" s="754">
        <v>0</v>
      </c>
    </row>
    <row r="964" spans="1:5" ht="16.3" customHeight="1">
      <c r="A964" s="754" t="s">
        <v>4448</v>
      </c>
      <c r="B964" s="759" t="s">
        <v>5915</v>
      </c>
      <c r="C964" s="731" t="s">
        <v>2680</v>
      </c>
      <c r="D964" s="752" t="s">
        <v>5851</v>
      </c>
      <c r="E964" s="754">
        <v>0</v>
      </c>
    </row>
    <row r="965" spans="1:5" ht="16.3" customHeight="1">
      <c r="A965" s="754" t="s">
        <v>4448</v>
      </c>
      <c r="B965" s="759" t="s">
        <v>5915</v>
      </c>
      <c r="C965" s="731" t="s">
        <v>3220</v>
      </c>
      <c r="D965" s="752" t="s">
        <v>5851</v>
      </c>
      <c r="E965" s="754">
        <v>0</v>
      </c>
    </row>
    <row r="966" spans="1:5" ht="16.3" customHeight="1">
      <c r="A966" s="754" t="s">
        <v>4448</v>
      </c>
      <c r="B966" s="759" t="s">
        <v>5915</v>
      </c>
      <c r="C966" s="731" t="s">
        <v>2680</v>
      </c>
      <c r="D966" s="752" t="s">
        <v>5851</v>
      </c>
      <c r="E966" s="754">
        <v>0</v>
      </c>
    </row>
    <row r="967" spans="1:5" ht="16.3" customHeight="1">
      <c r="A967" s="754" t="s">
        <v>4448</v>
      </c>
      <c r="B967" s="767" t="s">
        <v>5916</v>
      </c>
      <c r="C967" s="731" t="s">
        <v>3221</v>
      </c>
      <c r="D967" s="752" t="s">
        <v>5852</v>
      </c>
      <c r="E967" s="754">
        <v>0</v>
      </c>
    </row>
    <row r="968" spans="1:5" ht="16.3" customHeight="1">
      <c r="A968" s="754" t="s">
        <v>4448</v>
      </c>
      <c r="B968" s="767" t="s">
        <v>5916</v>
      </c>
      <c r="C968" s="731" t="s">
        <v>3222</v>
      </c>
      <c r="D968" s="752" t="s">
        <v>5852</v>
      </c>
      <c r="E968" s="754">
        <v>0</v>
      </c>
    </row>
    <row r="969" spans="1:5" ht="16.3" customHeight="1">
      <c r="A969" s="754" t="s">
        <v>4448</v>
      </c>
      <c r="B969" s="767" t="s">
        <v>5916</v>
      </c>
      <c r="C969" s="731" t="s">
        <v>3223</v>
      </c>
      <c r="D969" s="752" t="s">
        <v>5852</v>
      </c>
      <c r="E969" s="754">
        <v>0</v>
      </c>
    </row>
    <row r="970" spans="1:5" ht="16.3" customHeight="1">
      <c r="A970" s="754" t="s">
        <v>4448</v>
      </c>
      <c r="B970" s="767" t="s">
        <v>5916</v>
      </c>
      <c r="C970" s="731" t="s">
        <v>3224</v>
      </c>
      <c r="D970" s="752" t="s">
        <v>5852</v>
      </c>
      <c r="E970" s="754">
        <v>0</v>
      </c>
    </row>
    <row r="971" spans="1:5" ht="16.3" customHeight="1">
      <c r="A971" s="754" t="s">
        <v>4448</v>
      </c>
      <c r="B971" s="767" t="s">
        <v>5916</v>
      </c>
      <c r="C971" s="731" t="s">
        <v>2680</v>
      </c>
      <c r="D971" s="752" t="s">
        <v>5852</v>
      </c>
      <c r="E971" s="754">
        <v>0</v>
      </c>
    </row>
    <row r="972" spans="1:5" ht="16.3" customHeight="1">
      <c r="A972" s="754" t="s">
        <v>4448</v>
      </c>
      <c r="B972" s="761" t="s">
        <v>5917</v>
      </c>
      <c r="C972" s="731" t="s">
        <v>5946</v>
      </c>
      <c r="D972" s="752" t="s">
        <v>5853</v>
      </c>
      <c r="E972" s="754">
        <v>0</v>
      </c>
    </row>
    <row r="973" spans="1:5" ht="16.3" customHeight="1">
      <c r="A973" s="754" t="s">
        <v>4448</v>
      </c>
      <c r="B973" s="761" t="s">
        <v>5917</v>
      </c>
      <c r="C973" s="731" t="s">
        <v>3225</v>
      </c>
      <c r="D973" s="752" t="s">
        <v>5853</v>
      </c>
      <c r="E973" s="754">
        <v>0</v>
      </c>
    </row>
    <row r="974" spans="1:5" ht="16.3" customHeight="1">
      <c r="A974" s="754" t="s">
        <v>4448</v>
      </c>
      <c r="B974" s="732" t="s">
        <v>5912</v>
      </c>
      <c r="C974" s="731" t="s">
        <v>3227</v>
      </c>
      <c r="D974" s="752" t="s">
        <v>3486</v>
      </c>
      <c r="E974" s="754">
        <v>0</v>
      </c>
    </row>
    <row r="975" spans="1:5" ht="16.3" customHeight="1">
      <c r="A975" s="754" t="s">
        <v>4448</v>
      </c>
      <c r="B975" s="732" t="s">
        <v>5912</v>
      </c>
      <c r="C975" s="731" t="s">
        <v>2680</v>
      </c>
      <c r="D975" s="752" t="s">
        <v>3486</v>
      </c>
      <c r="E975" s="754">
        <v>0</v>
      </c>
    </row>
    <row r="976" spans="1:5" ht="16.3" customHeight="1">
      <c r="A976" s="754" t="s">
        <v>4448</v>
      </c>
      <c r="B976" s="733" t="s">
        <v>5914</v>
      </c>
      <c r="C976" s="731" t="s">
        <v>5792</v>
      </c>
      <c r="D976" s="752" t="s">
        <v>3452</v>
      </c>
      <c r="E976" s="754">
        <v>0</v>
      </c>
    </row>
    <row r="977" spans="1:5" ht="16.3" customHeight="1">
      <c r="A977" s="754" t="s">
        <v>4448</v>
      </c>
      <c r="B977" s="733" t="s">
        <v>5914</v>
      </c>
      <c r="C977" s="731" t="s">
        <v>2680</v>
      </c>
      <c r="D977" s="752" t="s">
        <v>3452</v>
      </c>
      <c r="E977" s="754">
        <v>0</v>
      </c>
    </row>
    <row r="978" spans="1:5" ht="16.3" customHeight="1">
      <c r="A978" s="754" t="s">
        <v>4448</v>
      </c>
      <c r="B978" s="758" t="s">
        <v>5913</v>
      </c>
      <c r="C978" s="731" t="s">
        <v>3228</v>
      </c>
      <c r="D978" s="752" t="s">
        <v>5850</v>
      </c>
      <c r="E978" s="754">
        <v>0</v>
      </c>
    </row>
    <row r="979" spans="1:5" ht="16.3" customHeight="1">
      <c r="A979" s="754" t="s">
        <v>4448</v>
      </c>
      <c r="B979" s="758" t="s">
        <v>5913</v>
      </c>
      <c r="C979" s="731" t="s">
        <v>2680</v>
      </c>
      <c r="D979" s="752" t="s">
        <v>5850</v>
      </c>
      <c r="E979" s="754">
        <v>0</v>
      </c>
    </row>
    <row r="980" spans="1:5" ht="16.3" customHeight="1">
      <c r="A980" s="754" t="s">
        <v>4448</v>
      </c>
      <c r="B980" s="758" t="s">
        <v>5913</v>
      </c>
      <c r="C980" s="731" t="s">
        <v>2680</v>
      </c>
      <c r="D980" s="752" t="s">
        <v>5850</v>
      </c>
      <c r="E980" s="754">
        <v>0</v>
      </c>
    </row>
    <row r="981" spans="1:5" ht="16.3" customHeight="1">
      <c r="A981" s="754" t="s">
        <v>4448</v>
      </c>
      <c r="B981" s="759" t="s">
        <v>5915</v>
      </c>
      <c r="C981" s="731" t="s">
        <v>3229</v>
      </c>
      <c r="D981" s="752" t="s">
        <v>5851</v>
      </c>
      <c r="E981" s="754">
        <v>0</v>
      </c>
    </row>
    <row r="982" spans="1:5" ht="16.3" customHeight="1">
      <c r="A982" s="754" t="s">
        <v>4448</v>
      </c>
      <c r="B982" s="759" t="s">
        <v>5915</v>
      </c>
      <c r="C982" s="731" t="s">
        <v>2680</v>
      </c>
      <c r="D982" s="752" t="s">
        <v>5851</v>
      </c>
      <c r="E982" s="754">
        <v>0</v>
      </c>
    </row>
    <row r="983" spans="1:5" ht="16.3" customHeight="1">
      <c r="A983" s="754" t="s">
        <v>4448</v>
      </c>
      <c r="B983" s="759" t="s">
        <v>5915</v>
      </c>
      <c r="C983" s="731" t="s">
        <v>3230</v>
      </c>
      <c r="D983" s="752" t="s">
        <v>5851</v>
      </c>
      <c r="E983" s="754">
        <v>0</v>
      </c>
    </row>
    <row r="984" spans="1:5" ht="16.3" customHeight="1">
      <c r="A984" s="754" t="s">
        <v>4448</v>
      </c>
      <c r="B984" s="759" t="s">
        <v>5915</v>
      </c>
      <c r="C984" s="731" t="s">
        <v>2680</v>
      </c>
      <c r="D984" s="752" t="s">
        <v>5851</v>
      </c>
      <c r="E984" s="754">
        <v>0</v>
      </c>
    </row>
    <row r="985" spans="1:5" ht="16.3" customHeight="1">
      <c r="A985" s="754" t="s">
        <v>4448</v>
      </c>
      <c r="B985" s="767" t="s">
        <v>5916</v>
      </c>
      <c r="C985" s="731" t="s">
        <v>3231</v>
      </c>
      <c r="D985" s="752" t="s">
        <v>5852</v>
      </c>
      <c r="E985" s="754">
        <v>0</v>
      </c>
    </row>
    <row r="986" spans="1:5" ht="16.3" customHeight="1">
      <c r="A986" s="754" t="s">
        <v>4448</v>
      </c>
      <c r="B986" s="767" t="s">
        <v>5916</v>
      </c>
      <c r="C986" s="731" t="s">
        <v>3232</v>
      </c>
      <c r="D986" s="752" t="s">
        <v>5852</v>
      </c>
      <c r="E986" s="754">
        <v>0</v>
      </c>
    </row>
    <row r="987" spans="1:5" ht="16.3" customHeight="1">
      <c r="A987" s="754" t="s">
        <v>4448</v>
      </c>
      <c r="B987" s="767" t="s">
        <v>5916</v>
      </c>
      <c r="C987" s="731" t="s">
        <v>3233</v>
      </c>
      <c r="D987" s="752" t="s">
        <v>5852</v>
      </c>
      <c r="E987" s="754">
        <v>0</v>
      </c>
    </row>
    <row r="988" spans="1:5" ht="16.3" customHeight="1">
      <c r="A988" s="754" t="s">
        <v>4448</v>
      </c>
      <c r="B988" s="767" t="s">
        <v>5916</v>
      </c>
      <c r="C988" s="731" t="s">
        <v>2680</v>
      </c>
      <c r="D988" s="752" t="s">
        <v>5852</v>
      </c>
      <c r="E988" s="754">
        <v>0</v>
      </c>
    </row>
    <row r="989" spans="1:5" ht="16.3" customHeight="1">
      <c r="A989" s="754" t="s">
        <v>4448</v>
      </c>
      <c r="B989" s="767" t="s">
        <v>5916</v>
      </c>
      <c r="C989" s="731" t="s">
        <v>2680</v>
      </c>
      <c r="D989" s="752" t="s">
        <v>5852</v>
      </c>
      <c r="E989" s="754">
        <v>0</v>
      </c>
    </row>
    <row r="990" spans="1:5" ht="16.3" customHeight="1">
      <c r="A990" s="754" t="s">
        <v>4448</v>
      </c>
      <c r="B990" s="761" t="s">
        <v>5917</v>
      </c>
      <c r="C990" s="731" t="s">
        <v>3234</v>
      </c>
      <c r="D990" s="752" t="s">
        <v>5853</v>
      </c>
      <c r="E990" s="754">
        <v>0</v>
      </c>
    </row>
    <row r="991" spans="1:5" ht="16.3" customHeight="1">
      <c r="A991" s="754" t="s">
        <v>4448</v>
      </c>
      <c r="B991" s="761" t="s">
        <v>5917</v>
      </c>
      <c r="C991" s="731" t="s">
        <v>2680</v>
      </c>
      <c r="D991" s="752" t="s">
        <v>5853</v>
      </c>
      <c r="E991" s="754">
        <v>0</v>
      </c>
    </row>
    <row r="992" spans="1:5" ht="16.3" customHeight="1">
      <c r="A992" s="754" t="s">
        <v>4448</v>
      </c>
      <c r="B992" s="732" t="s">
        <v>5912</v>
      </c>
      <c r="C992" s="731" t="s">
        <v>3236</v>
      </c>
      <c r="D992" s="752" t="s">
        <v>3486</v>
      </c>
      <c r="E992" s="754">
        <v>0</v>
      </c>
    </row>
    <row r="993" spans="1:5" ht="16.3" customHeight="1">
      <c r="A993" s="754" t="s">
        <v>4448</v>
      </c>
      <c r="B993" s="732" t="s">
        <v>5912</v>
      </c>
      <c r="C993" s="731" t="s">
        <v>2680</v>
      </c>
      <c r="D993" s="752" t="s">
        <v>3486</v>
      </c>
      <c r="E993" s="754">
        <v>0</v>
      </c>
    </row>
    <row r="994" spans="1:5" ht="16.3" customHeight="1">
      <c r="A994" s="754" t="s">
        <v>4448</v>
      </c>
      <c r="B994" s="733" t="s">
        <v>5914</v>
      </c>
      <c r="C994" s="731" t="s">
        <v>5793</v>
      </c>
      <c r="D994" s="752" t="s">
        <v>3452</v>
      </c>
      <c r="E994" s="754">
        <v>0</v>
      </c>
    </row>
    <row r="995" spans="1:5" ht="16.3" customHeight="1">
      <c r="A995" s="754" t="s">
        <v>4448</v>
      </c>
      <c r="B995" s="733" t="s">
        <v>5914</v>
      </c>
      <c r="C995" s="731" t="s">
        <v>2680</v>
      </c>
      <c r="D995" s="752" t="s">
        <v>3452</v>
      </c>
      <c r="E995" s="754">
        <v>0</v>
      </c>
    </row>
    <row r="996" spans="1:5" ht="16.3" customHeight="1">
      <c r="A996" s="754" t="s">
        <v>4448</v>
      </c>
      <c r="B996" s="758" t="s">
        <v>5913</v>
      </c>
      <c r="C996" s="731" t="s">
        <v>3237</v>
      </c>
      <c r="D996" s="752" t="s">
        <v>5850</v>
      </c>
      <c r="E996" s="754">
        <v>0</v>
      </c>
    </row>
    <row r="997" spans="1:5" ht="16.3" customHeight="1">
      <c r="A997" s="754" t="s">
        <v>4448</v>
      </c>
      <c r="B997" s="758" t="s">
        <v>5913</v>
      </c>
      <c r="C997" s="731" t="s">
        <v>3238</v>
      </c>
      <c r="D997" s="752" t="s">
        <v>5850</v>
      </c>
      <c r="E997" s="754">
        <v>0</v>
      </c>
    </row>
    <row r="998" spans="1:5" ht="16.3" customHeight="1">
      <c r="A998" s="754" t="s">
        <v>4448</v>
      </c>
      <c r="B998" s="758" t="s">
        <v>5913</v>
      </c>
      <c r="C998" s="731" t="s">
        <v>2680</v>
      </c>
      <c r="D998" s="752" t="s">
        <v>5850</v>
      </c>
      <c r="E998" s="754">
        <v>0</v>
      </c>
    </row>
    <row r="999" spans="1:5" ht="16.3" customHeight="1">
      <c r="A999" s="754" t="s">
        <v>4448</v>
      </c>
      <c r="B999" s="759" t="s">
        <v>5915</v>
      </c>
      <c r="C999" s="731" t="s">
        <v>2680</v>
      </c>
      <c r="D999" s="752" t="s">
        <v>5851</v>
      </c>
      <c r="E999" s="754">
        <v>0</v>
      </c>
    </row>
    <row r="1000" spans="1:5" ht="16.3" customHeight="1">
      <c r="A1000" s="754" t="s">
        <v>4448</v>
      </c>
      <c r="B1000" s="759" t="s">
        <v>5915</v>
      </c>
      <c r="C1000" s="731" t="s">
        <v>3239</v>
      </c>
      <c r="D1000" s="752" t="s">
        <v>5851</v>
      </c>
      <c r="E1000" s="754">
        <v>0</v>
      </c>
    </row>
    <row r="1001" spans="1:5" ht="16.3" customHeight="1">
      <c r="A1001" s="754" t="s">
        <v>4448</v>
      </c>
      <c r="B1001" s="759" t="s">
        <v>5915</v>
      </c>
      <c r="C1001" s="731" t="s">
        <v>3240</v>
      </c>
      <c r="D1001" s="752" t="s">
        <v>5851</v>
      </c>
      <c r="E1001" s="754">
        <v>0</v>
      </c>
    </row>
    <row r="1002" spans="1:5" ht="16.3" customHeight="1">
      <c r="A1002" s="754" t="s">
        <v>4448</v>
      </c>
      <c r="B1002" s="759" t="s">
        <v>5915</v>
      </c>
      <c r="C1002" s="731" t="s">
        <v>2680</v>
      </c>
      <c r="D1002" s="752" t="s">
        <v>5851</v>
      </c>
      <c r="E1002" s="754">
        <v>0</v>
      </c>
    </row>
    <row r="1003" spans="1:5" ht="16.3" customHeight="1">
      <c r="A1003" s="754" t="s">
        <v>4448</v>
      </c>
      <c r="B1003" s="767" t="s">
        <v>5916</v>
      </c>
      <c r="C1003" s="731" t="s">
        <v>2680</v>
      </c>
      <c r="D1003" s="752" t="s">
        <v>5852</v>
      </c>
      <c r="E1003" s="754">
        <v>0</v>
      </c>
    </row>
    <row r="1004" spans="1:5" ht="16.3" customHeight="1">
      <c r="A1004" s="754" t="s">
        <v>4448</v>
      </c>
      <c r="B1004" s="767" t="s">
        <v>5916</v>
      </c>
      <c r="C1004" s="731" t="s">
        <v>3241</v>
      </c>
      <c r="D1004" s="752" t="s">
        <v>5852</v>
      </c>
      <c r="E1004" s="754">
        <v>0</v>
      </c>
    </row>
    <row r="1005" spans="1:5" ht="16.3" customHeight="1">
      <c r="A1005" s="754" t="s">
        <v>4448</v>
      </c>
      <c r="B1005" s="767" t="s">
        <v>5916</v>
      </c>
      <c r="C1005" s="731" t="s">
        <v>2680</v>
      </c>
      <c r="D1005" s="752" t="s">
        <v>5852</v>
      </c>
      <c r="E1005" s="754">
        <v>0</v>
      </c>
    </row>
    <row r="1006" spans="1:5" ht="16.3" customHeight="1">
      <c r="A1006" s="754" t="s">
        <v>4448</v>
      </c>
      <c r="B1006" s="767" t="s">
        <v>5916</v>
      </c>
      <c r="C1006" s="736" t="s">
        <v>3242</v>
      </c>
      <c r="D1006" s="752" t="s">
        <v>5852</v>
      </c>
      <c r="E1006" s="754">
        <v>0</v>
      </c>
    </row>
    <row r="1007" spans="1:5" ht="16.3" customHeight="1">
      <c r="A1007" s="754" t="s">
        <v>4448</v>
      </c>
      <c r="B1007" s="767" t="s">
        <v>5916</v>
      </c>
      <c r="C1007" s="731" t="s">
        <v>2680</v>
      </c>
      <c r="D1007" s="752" t="s">
        <v>5852</v>
      </c>
      <c r="E1007" s="754">
        <v>0</v>
      </c>
    </row>
    <row r="1008" spans="1:5" ht="16.3" customHeight="1">
      <c r="A1008" s="754" t="s">
        <v>4448</v>
      </c>
      <c r="B1008" s="761" t="s">
        <v>5917</v>
      </c>
      <c r="C1008" s="731" t="s">
        <v>3243</v>
      </c>
      <c r="D1008" s="752" t="s">
        <v>5853</v>
      </c>
      <c r="E1008" s="754">
        <v>0</v>
      </c>
    </row>
    <row r="1009" spans="1:5" ht="16.3" customHeight="1">
      <c r="A1009" s="754" t="s">
        <v>4448</v>
      </c>
      <c r="B1009" s="761" t="s">
        <v>5917</v>
      </c>
      <c r="C1009" s="731" t="s">
        <v>3244</v>
      </c>
      <c r="D1009" s="752" t="s">
        <v>5853</v>
      </c>
      <c r="E1009" s="754">
        <v>0</v>
      </c>
    </row>
    <row r="1010" spans="1:5" ht="16.3" customHeight="1">
      <c r="A1010" s="754" t="s">
        <v>4448</v>
      </c>
      <c r="B1010" s="732" t="s">
        <v>5912</v>
      </c>
      <c r="C1010" s="731" t="s">
        <v>3246</v>
      </c>
      <c r="D1010" s="752" t="s">
        <v>3486</v>
      </c>
      <c r="E1010" s="754">
        <v>0</v>
      </c>
    </row>
    <row r="1011" spans="1:5" ht="16.3" customHeight="1">
      <c r="A1011" s="754" t="s">
        <v>4448</v>
      </c>
      <c r="B1011" s="732" t="s">
        <v>5912</v>
      </c>
      <c r="C1011" s="731" t="s">
        <v>3247</v>
      </c>
      <c r="D1011" s="752" t="s">
        <v>3486</v>
      </c>
      <c r="E1011" s="754">
        <v>0</v>
      </c>
    </row>
    <row r="1012" spans="1:5" ht="16.3" customHeight="1">
      <c r="A1012" s="754" t="s">
        <v>4448</v>
      </c>
      <c r="B1012" s="733" t="s">
        <v>5914</v>
      </c>
      <c r="C1012" s="731" t="s">
        <v>5794</v>
      </c>
      <c r="D1012" s="752" t="s">
        <v>3452</v>
      </c>
      <c r="E1012" s="754">
        <v>0</v>
      </c>
    </row>
    <row r="1013" spans="1:5" ht="16.3" customHeight="1">
      <c r="A1013" s="754" t="s">
        <v>4448</v>
      </c>
      <c r="B1013" s="733" t="s">
        <v>5914</v>
      </c>
      <c r="C1013" s="731" t="s">
        <v>2680</v>
      </c>
      <c r="D1013" s="752" t="s">
        <v>3452</v>
      </c>
      <c r="E1013" s="754">
        <v>0</v>
      </c>
    </row>
    <row r="1014" spans="1:5" ht="16.3" customHeight="1">
      <c r="A1014" s="754" t="s">
        <v>4448</v>
      </c>
      <c r="B1014" s="758" t="s">
        <v>5913</v>
      </c>
      <c r="C1014" s="731" t="s">
        <v>3248</v>
      </c>
      <c r="D1014" s="752" t="s">
        <v>5850</v>
      </c>
      <c r="E1014" s="754">
        <v>0</v>
      </c>
    </row>
    <row r="1015" spans="1:5" ht="16.3" customHeight="1">
      <c r="A1015" s="754" t="s">
        <v>4448</v>
      </c>
      <c r="B1015" s="758" t="s">
        <v>5913</v>
      </c>
      <c r="C1015" s="731" t="s">
        <v>3249</v>
      </c>
      <c r="D1015" s="752" t="s">
        <v>5850</v>
      </c>
      <c r="E1015" s="754">
        <v>0</v>
      </c>
    </row>
    <row r="1016" spans="1:5" ht="16.3" customHeight="1">
      <c r="A1016" s="754" t="s">
        <v>4448</v>
      </c>
      <c r="B1016" s="758" t="s">
        <v>5913</v>
      </c>
      <c r="C1016" s="731" t="s">
        <v>3250</v>
      </c>
      <c r="D1016" s="752" t="s">
        <v>5850</v>
      </c>
      <c r="E1016" s="754">
        <v>0</v>
      </c>
    </row>
    <row r="1017" spans="1:5" ht="16.3" customHeight="1">
      <c r="A1017" s="754" t="s">
        <v>4448</v>
      </c>
      <c r="B1017" s="759" t="s">
        <v>5915</v>
      </c>
      <c r="C1017" s="731" t="s">
        <v>3251</v>
      </c>
      <c r="D1017" s="752" t="s">
        <v>5851</v>
      </c>
      <c r="E1017" s="754">
        <v>0</v>
      </c>
    </row>
    <row r="1018" spans="1:5" ht="16.3" customHeight="1">
      <c r="A1018" s="754" t="s">
        <v>4448</v>
      </c>
      <c r="B1018" s="759" t="s">
        <v>5915</v>
      </c>
      <c r="C1018" s="731" t="s">
        <v>3252</v>
      </c>
      <c r="D1018" s="752" t="s">
        <v>5851</v>
      </c>
      <c r="E1018" s="754">
        <v>0</v>
      </c>
    </row>
    <row r="1019" spans="1:5" ht="16.3" customHeight="1">
      <c r="A1019" s="754" t="s">
        <v>4448</v>
      </c>
      <c r="B1019" s="759" t="s">
        <v>5915</v>
      </c>
      <c r="C1019" s="731" t="s">
        <v>3253</v>
      </c>
      <c r="D1019" s="752" t="s">
        <v>5851</v>
      </c>
      <c r="E1019" s="754">
        <v>0</v>
      </c>
    </row>
    <row r="1020" spans="1:5" ht="16.3" customHeight="1">
      <c r="A1020" s="754" t="s">
        <v>4448</v>
      </c>
      <c r="B1020" s="759" t="s">
        <v>5915</v>
      </c>
      <c r="C1020" s="731" t="s">
        <v>2680</v>
      </c>
      <c r="D1020" s="752" t="s">
        <v>5851</v>
      </c>
      <c r="E1020" s="754">
        <v>0</v>
      </c>
    </row>
    <row r="1021" spans="1:5" ht="16.3" customHeight="1">
      <c r="A1021" s="754" t="s">
        <v>4448</v>
      </c>
      <c r="B1021" s="767" t="s">
        <v>5916</v>
      </c>
      <c r="C1021" s="731" t="s">
        <v>3254</v>
      </c>
      <c r="D1021" s="752" t="s">
        <v>5852</v>
      </c>
      <c r="E1021" s="754">
        <v>0</v>
      </c>
    </row>
    <row r="1022" spans="1:5" ht="16.3" customHeight="1">
      <c r="A1022" s="754" t="s">
        <v>4448</v>
      </c>
      <c r="B1022" s="767" t="s">
        <v>5916</v>
      </c>
      <c r="C1022" s="731" t="s">
        <v>2680</v>
      </c>
      <c r="D1022" s="752" t="s">
        <v>5852</v>
      </c>
      <c r="E1022" s="754">
        <v>0</v>
      </c>
    </row>
    <row r="1023" spans="1:5" ht="16.3" customHeight="1">
      <c r="A1023" s="754" t="s">
        <v>4448</v>
      </c>
      <c r="B1023" s="767" t="s">
        <v>5916</v>
      </c>
      <c r="C1023" s="731" t="s">
        <v>3255</v>
      </c>
      <c r="D1023" s="752" t="s">
        <v>5852</v>
      </c>
      <c r="E1023" s="754">
        <v>0</v>
      </c>
    </row>
    <row r="1024" spans="1:5" ht="16.3" customHeight="1">
      <c r="A1024" s="754" t="s">
        <v>4448</v>
      </c>
      <c r="B1024" s="767" t="s">
        <v>5916</v>
      </c>
      <c r="C1024" s="731" t="s">
        <v>2680</v>
      </c>
      <c r="D1024" s="752" t="s">
        <v>5852</v>
      </c>
      <c r="E1024" s="754">
        <v>0</v>
      </c>
    </row>
    <row r="1025" spans="1:5" ht="16.3" customHeight="1">
      <c r="A1025" s="754" t="s">
        <v>4448</v>
      </c>
      <c r="B1025" s="767" t="s">
        <v>5916</v>
      </c>
      <c r="C1025" s="731" t="s">
        <v>2680</v>
      </c>
      <c r="D1025" s="752" t="s">
        <v>5852</v>
      </c>
      <c r="E1025" s="754">
        <v>0</v>
      </c>
    </row>
    <row r="1026" spans="1:5" ht="16.3" customHeight="1">
      <c r="A1026" s="754" t="s">
        <v>4448</v>
      </c>
      <c r="B1026" s="761" t="s">
        <v>5917</v>
      </c>
      <c r="C1026" s="731" t="s">
        <v>3256</v>
      </c>
      <c r="D1026" s="752" t="s">
        <v>5853</v>
      </c>
      <c r="E1026" s="754">
        <v>0</v>
      </c>
    </row>
    <row r="1027" spans="1:5" ht="16.3" customHeight="1">
      <c r="A1027" s="754" t="s">
        <v>4448</v>
      </c>
      <c r="B1027" s="761" t="s">
        <v>5917</v>
      </c>
      <c r="C1027" s="731" t="s">
        <v>2680</v>
      </c>
      <c r="D1027" s="752" t="s">
        <v>5853</v>
      </c>
      <c r="E1027" s="754">
        <v>0</v>
      </c>
    </row>
    <row r="1028" spans="1:5" ht="16.3" customHeight="1">
      <c r="A1028" s="754" t="s">
        <v>4448</v>
      </c>
      <c r="B1028" s="732" t="s">
        <v>5912</v>
      </c>
      <c r="C1028" s="731" t="s">
        <v>3258</v>
      </c>
      <c r="D1028" s="752" t="s">
        <v>3486</v>
      </c>
      <c r="E1028" s="754">
        <v>0</v>
      </c>
    </row>
    <row r="1029" spans="1:5" ht="16.3" customHeight="1">
      <c r="A1029" s="754" t="s">
        <v>4448</v>
      </c>
      <c r="B1029" s="732" t="s">
        <v>5912</v>
      </c>
      <c r="C1029" s="731" t="s">
        <v>2680</v>
      </c>
      <c r="D1029" s="752" t="s">
        <v>3486</v>
      </c>
      <c r="E1029" s="754">
        <v>0</v>
      </c>
    </row>
    <row r="1030" spans="1:5" ht="16.3" customHeight="1">
      <c r="A1030" s="754" t="s">
        <v>4448</v>
      </c>
      <c r="B1030" s="733" t="s">
        <v>5914</v>
      </c>
      <c r="C1030" s="731" t="s">
        <v>5795</v>
      </c>
      <c r="D1030" s="752" t="s">
        <v>3452</v>
      </c>
      <c r="E1030" s="754">
        <v>0</v>
      </c>
    </row>
    <row r="1031" spans="1:5" ht="16.3" customHeight="1">
      <c r="A1031" s="754" t="s">
        <v>4448</v>
      </c>
      <c r="B1031" s="733" t="s">
        <v>5914</v>
      </c>
      <c r="C1031" s="731" t="s">
        <v>2680</v>
      </c>
      <c r="D1031" s="752" t="s">
        <v>3452</v>
      </c>
      <c r="E1031" s="754">
        <v>0</v>
      </c>
    </row>
    <row r="1032" spans="1:5" ht="16.3" customHeight="1">
      <c r="A1032" s="754" t="s">
        <v>4448</v>
      </c>
      <c r="B1032" s="758" t="s">
        <v>5913</v>
      </c>
      <c r="C1032" s="731" t="s">
        <v>3259</v>
      </c>
      <c r="D1032" s="752" t="s">
        <v>5850</v>
      </c>
      <c r="E1032" s="754">
        <v>0</v>
      </c>
    </row>
    <row r="1033" spans="1:5" ht="16.3" customHeight="1">
      <c r="A1033" s="754" t="s">
        <v>4448</v>
      </c>
      <c r="B1033" s="758" t="s">
        <v>5913</v>
      </c>
      <c r="C1033" s="731" t="s">
        <v>3260</v>
      </c>
      <c r="D1033" s="752" t="s">
        <v>5850</v>
      </c>
      <c r="E1033" s="754">
        <v>0</v>
      </c>
    </row>
    <row r="1034" spans="1:5" ht="16.3" customHeight="1">
      <c r="A1034" s="754" t="s">
        <v>4448</v>
      </c>
      <c r="B1034" s="758" t="s">
        <v>5913</v>
      </c>
      <c r="C1034" s="731" t="s">
        <v>2680</v>
      </c>
      <c r="D1034" s="752" t="s">
        <v>5850</v>
      </c>
      <c r="E1034" s="754">
        <v>0</v>
      </c>
    </row>
    <row r="1035" spans="1:5" ht="16.3" customHeight="1">
      <c r="A1035" s="754" t="s">
        <v>4448</v>
      </c>
      <c r="B1035" s="759" t="s">
        <v>5915</v>
      </c>
      <c r="C1035" s="731" t="s">
        <v>3261</v>
      </c>
      <c r="D1035" s="752" t="s">
        <v>5851</v>
      </c>
      <c r="E1035" s="754">
        <v>0</v>
      </c>
    </row>
    <row r="1036" spans="1:5" ht="16.3" customHeight="1">
      <c r="A1036" s="754" t="s">
        <v>4448</v>
      </c>
      <c r="B1036" s="759" t="s">
        <v>5915</v>
      </c>
      <c r="C1036" s="731" t="s">
        <v>3262</v>
      </c>
      <c r="D1036" s="752" t="s">
        <v>5851</v>
      </c>
      <c r="E1036" s="754">
        <v>0</v>
      </c>
    </row>
    <row r="1037" spans="1:5" ht="16.3" customHeight="1">
      <c r="A1037" s="754" t="s">
        <v>4448</v>
      </c>
      <c r="B1037" s="759" t="s">
        <v>5915</v>
      </c>
      <c r="C1037" s="731" t="s">
        <v>3263</v>
      </c>
      <c r="D1037" s="752" t="s">
        <v>5851</v>
      </c>
      <c r="E1037" s="754">
        <v>0</v>
      </c>
    </row>
    <row r="1038" spans="1:5" ht="16.3" customHeight="1">
      <c r="A1038" s="754" t="s">
        <v>4448</v>
      </c>
      <c r="B1038" s="759" t="s">
        <v>5915</v>
      </c>
      <c r="C1038" s="731" t="s">
        <v>2680</v>
      </c>
      <c r="D1038" s="752" t="s">
        <v>5851</v>
      </c>
      <c r="E1038" s="754">
        <v>0</v>
      </c>
    </row>
    <row r="1039" spans="1:5" ht="16.3" customHeight="1">
      <c r="A1039" s="754" t="s">
        <v>4448</v>
      </c>
      <c r="B1039" s="767" t="s">
        <v>5916</v>
      </c>
      <c r="C1039" s="731" t="s">
        <v>3264</v>
      </c>
      <c r="D1039" s="752" t="s">
        <v>5852</v>
      </c>
      <c r="E1039" s="754">
        <v>0</v>
      </c>
    </row>
    <row r="1040" spans="1:5" ht="16.3" customHeight="1">
      <c r="A1040" s="754" t="s">
        <v>4448</v>
      </c>
      <c r="B1040" s="767" t="s">
        <v>5916</v>
      </c>
      <c r="C1040" s="731" t="s">
        <v>5796</v>
      </c>
      <c r="D1040" s="752" t="s">
        <v>5852</v>
      </c>
      <c r="E1040" s="754">
        <v>0</v>
      </c>
    </row>
    <row r="1041" spans="1:5" ht="16.3" customHeight="1">
      <c r="A1041" s="754" t="s">
        <v>4448</v>
      </c>
      <c r="B1041" s="767" t="s">
        <v>5916</v>
      </c>
      <c r="C1041" s="731" t="s">
        <v>2680</v>
      </c>
      <c r="D1041" s="752" t="s">
        <v>5852</v>
      </c>
      <c r="E1041" s="754">
        <v>0</v>
      </c>
    </row>
    <row r="1042" spans="1:5" ht="16.3" customHeight="1">
      <c r="A1042" s="754" t="s">
        <v>4448</v>
      </c>
      <c r="B1042" s="767" t="s">
        <v>5916</v>
      </c>
      <c r="C1042" s="731" t="s">
        <v>2680</v>
      </c>
      <c r="D1042" s="752" t="s">
        <v>5852</v>
      </c>
      <c r="E1042" s="754">
        <v>0</v>
      </c>
    </row>
    <row r="1043" spans="1:5" ht="16.3" customHeight="1">
      <c r="A1043" s="754" t="s">
        <v>4448</v>
      </c>
      <c r="B1043" s="767" t="s">
        <v>5916</v>
      </c>
      <c r="C1043" s="731" t="s">
        <v>2680</v>
      </c>
      <c r="D1043" s="752" t="s">
        <v>5852</v>
      </c>
      <c r="E1043" s="754">
        <v>0</v>
      </c>
    </row>
    <row r="1044" spans="1:5" ht="16.3" customHeight="1">
      <c r="A1044" s="754" t="s">
        <v>4448</v>
      </c>
      <c r="B1044" s="761" t="s">
        <v>5917</v>
      </c>
      <c r="C1044" s="731" t="s">
        <v>3265</v>
      </c>
      <c r="D1044" s="752" t="s">
        <v>5853</v>
      </c>
      <c r="E1044" s="754">
        <v>0</v>
      </c>
    </row>
    <row r="1045" spans="1:5" ht="16.3" customHeight="1">
      <c r="A1045" s="754" t="s">
        <v>4448</v>
      </c>
      <c r="B1045" s="761" t="s">
        <v>5917</v>
      </c>
      <c r="C1045" s="731" t="s">
        <v>2680</v>
      </c>
      <c r="D1045" s="752" t="s">
        <v>5853</v>
      </c>
      <c r="E1045" s="754">
        <v>0</v>
      </c>
    </row>
    <row r="1046" spans="1:5" ht="16.3" customHeight="1">
      <c r="A1046" s="754" t="s">
        <v>4448</v>
      </c>
      <c r="B1046" s="732" t="s">
        <v>5912</v>
      </c>
      <c r="C1046" s="731" t="s">
        <v>3267</v>
      </c>
      <c r="D1046" s="752" t="s">
        <v>3486</v>
      </c>
      <c r="E1046" s="754">
        <v>0</v>
      </c>
    </row>
    <row r="1047" spans="1:5" ht="16.3" customHeight="1">
      <c r="A1047" s="754" t="s">
        <v>4448</v>
      </c>
      <c r="B1047" s="732" t="s">
        <v>5912</v>
      </c>
      <c r="C1047" s="731" t="s">
        <v>2680</v>
      </c>
      <c r="D1047" s="752" t="s">
        <v>3486</v>
      </c>
      <c r="E1047" s="754">
        <v>0</v>
      </c>
    </row>
    <row r="1048" spans="1:5" ht="16.3" customHeight="1">
      <c r="A1048" s="754" t="s">
        <v>4448</v>
      </c>
      <c r="B1048" s="733" t="s">
        <v>5914</v>
      </c>
      <c r="C1048" s="731" t="s">
        <v>5797</v>
      </c>
      <c r="D1048" s="752" t="s">
        <v>3452</v>
      </c>
      <c r="E1048" s="754">
        <v>0</v>
      </c>
    </row>
    <row r="1049" spans="1:5" ht="16.3" customHeight="1">
      <c r="A1049" s="754" t="s">
        <v>4448</v>
      </c>
      <c r="B1049" s="733" t="s">
        <v>5914</v>
      </c>
      <c r="C1049" s="731" t="s">
        <v>2680</v>
      </c>
      <c r="D1049" s="752" t="s">
        <v>3452</v>
      </c>
      <c r="E1049" s="754">
        <v>0</v>
      </c>
    </row>
    <row r="1050" spans="1:5" ht="16.3" customHeight="1">
      <c r="A1050" s="754" t="s">
        <v>4448</v>
      </c>
      <c r="B1050" s="758" t="s">
        <v>5913</v>
      </c>
      <c r="C1050" s="731" t="s">
        <v>3268</v>
      </c>
      <c r="D1050" s="752" t="s">
        <v>5850</v>
      </c>
      <c r="E1050" s="754">
        <v>0</v>
      </c>
    </row>
    <row r="1051" spans="1:5" ht="16.3" customHeight="1">
      <c r="A1051" s="754" t="s">
        <v>4448</v>
      </c>
      <c r="B1051" s="758" t="s">
        <v>5913</v>
      </c>
      <c r="C1051" s="731" t="s">
        <v>3269</v>
      </c>
      <c r="D1051" s="752" t="s">
        <v>5850</v>
      </c>
      <c r="E1051" s="754">
        <v>0</v>
      </c>
    </row>
    <row r="1052" spans="1:5" ht="16.3" customHeight="1">
      <c r="A1052" s="754" t="s">
        <v>4448</v>
      </c>
      <c r="B1052" s="758" t="s">
        <v>5913</v>
      </c>
      <c r="C1052" s="731" t="s">
        <v>3270</v>
      </c>
      <c r="D1052" s="752" t="s">
        <v>5850</v>
      </c>
      <c r="E1052" s="754">
        <v>0</v>
      </c>
    </row>
    <row r="1053" spans="1:5" ht="16.3" customHeight="1">
      <c r="A1053" s="754" t="s">
        <v>4448</v>
      </c>
      <c r="B1053" s="759" t="s">
        <v>5915</v>
      </c>
      <c r="C1053" s="731" t="s">
        <v>3271</v>
      </c>
      <c r="D1053" s="752" t="s">
        <v>5851</v>
      </c>
      <c r="E1053" s="754">
        <v>0</v>
      </c>
    </row>
    <row r="1054" spans="1:5" ht="16.3" customHeight="1">
      <c r="A1054" s="754" t="s">
        <v>4448</v>
      </c>
      <c r="B1054" s="759" t="s">
        <v>5915</v>
      </c>
      <c r="C1054" s="731" t="s">
        <v>3272</v>
      </c>
      <c r="D1054" s="752" t="s">
        <v>5851</v>
      </c>
      <c r="E1054" s="754">
        <v>0</v>
      </c>
    </row>
    <row r="1055" spans="1:5" ht="16.3" customHeight="1">
      <c r="A1055" s="754" t="s">
        <v>4448</v>
      </c>
      <c r="B1055" s="759" t="s">
        <v>5915</v>
      </c>
      <c r="C1055" s="731" t="s">
        <v>2680</v>
      </c>
      <c r="D1055" s="752" t="s">
        <v>5851</v>
      </c>
      <c r="E1055" s="754">
        <v>0</v>
      </c>
    </row>
    <row r="1056" spans="1:5" ht="16.3" customHeight="1">
      <c r="A1056" s="754" t="s">
        <v>4448</v>
      </c>
      <c r="B1056" s="759" t="s">
        <v>5915</v>
      </c>
      <c r="C1056" s="731" t="s">
        <v>2680</v>
      </c>
      <c r="D1056" s="752" t="s">
        <v>5851</v>
      </c>
      <c r="E1056" s="754">
        <v>0</v>
      </c>
    </row>
    <row r="1057" spans="1:5" ht="16.3" customHeight="1">
      <c r="A1057" s="754" t="s">
        <v>4448</v>
      </c>
      <c r="B1057" s="767" t="s">
        <v>5916</v>
      </c>
      <c r="C1057" s="731" t="s">
        <v>3273</v>
      </c>
      <c r="D1057" s="752" t="s">
        <v>5852</v>
      </c>
      <c r="E1057" s="754">
        <v>0</v>
      </c>
    </row>
    <row r="1058" spans="1:5" ht="16.3" customHeight="1">
      <c r="A1058" s="754" t="s">
        <v>4448</v>
      </c>
      <c r="B1058" s="767" t="s">
        <v>5916</v>
      </c>
      <c r="C1058" s="731" t="s">
        <v>3274</v>
      </c>
      <c r="D1058" s="752" t="s">
        <v>5852</v>
      </c>
      <c r="E1058" s="754">
        <v>0</v>
      </c>
    </row>
    <row r="1059" spans="1:5" ht="16.3" customHeight="1">
      <c r="A1059" s="754" t="s">
        <v>4448</v>
      </c>
      <c r="B1059" s="767" t="s">
        <v>5916</v>
      </c>
      <c r="C1059" s="731" t="s">
        <v>3275</v>
      </c>
      <c r="D1059" s="752" t="s">
        <v>5852</v>
      </c>
      <c r="E1059" s="754">
        <v>0</v>
      </c>
    </row>
    <row r="1060" spans="1:5" ht="16.3" customHeight="1">
      <c r="A1060" s="754" t="s">
        <v>4448</v>
      </c>
      <c r="B1060" s="767" t="s">
        <v>5916</v>
      </c>
      <c r="C1060" s="731" t="s">
        <v>3276</v>
      </c>
      <c r="D1060" s="752" t="s">
        <v>5852</v>
      </c>
      <c r="E1060" s="754">
        <v>0</v>
      </c>
    </row>
    <row r="1061" spans="1:5" ht="16.3" customHeight="1">
      <c r="A1061" s="754" t="s">
        <v>4448</v>
      </c>
      <c r="B1061" s="767" t="s">
        <v>5916</v>
      </c>
      <c r="C1061" s="731" t="s">
        <v>3277</v>
      </c>
      <c r="D1061" s="752" t="s">
        <v>5852</v>
      </c>
      <c r="E1061" s="754">
        <v>0</v>
      </c>
    </row>
    <row r="1062" spans="1:5" ht="16.3" customHeight="1">
      <c r="A1062" s="754" t="s">
        <v>4448</v>
      </c>
      <c r="B1062" s="761" t="s">
        <v>5917</v>
      </c>
      <c r="C1062" s="731" t="s">
        <v>3278</v>
      </c>
      <c r="D1062" s="752" t="s">
        <v>5853</v>
      </c>
      <c r="E1062" s="754">
        <v>0</v>
      </c>
    </row>
    <row r="1063" spans="1:5" ht="16.3" customHeight="1">
      <c r="A1063" s="754" t="s">
        <v>4448</v>
      </c>
      <c r="B1063" s="761" t="s">
        <v>5917</v>
      </c>
      <c r="C1063" s="731" t="s">
        <v>2680</v>
      </c>
      <c r="D1063" s="752" t="s">
        <v>5853</v>
      </c>
      <c r="E1063" s="754">
        <v>0</v>
      </c>
    </row>
    <row r="1064" spans="1:5" ht="16.3" customHeight="1">
      <c r="A1064" s="754" t="s">
        <v>4448</v>
      </c>
      <c r="B1064" s="732" t="s">
        <v>5912</v>
      </c>
      <c r="C1064" s="731" t="s">
        <v>3280</v>
      </c>
      <c r="D1064" s="752" t="s">
        <v>3486</v>
      </c>
      <c r="E1064" s="754">
        <v>0</v>
      </c>
    </row>
    <row r="1065" spans="1:5" ht="16.3" customHeight="1">
      <c r="A1065" s="754" t="s">
        <v>4448</v>
      </c>
      <c r="B1065" s="732" t="s">
        <v>5912</v>
      </c>
      <c r="C1065" s="731" t="s">
        <v>2680</v>
      </c>
      <c r="D1065" s="752" t="s">
        <v>3486</v>
      </c>
      <c r="E1065" s="754">
        <v>0</v>
      </c>
    </row>
    <row r="1066" spans="1:5" ht="16.3" customHeight="1">
      <c r="A1066" s="754" t="s">
        <v>4448</v>
      </c>
      <c r="B1066" s="733" t="s">
        <v>5914</v>
      </c>
      <c r="C1066" s="731" t="s">
        <v>5798</v>
      </c>
      <c r="D1066" s="752" t="s">
        <v>3452</v>
      </c>
      <c r="E1066" s="754">
        <v>0</v>
      </c>
    </row>
    <row r="1067" spans="1:5" ht="16.3" customHeight="1">
      <c r="A1067" s="754" t="s">
        <v>4448</v>
      </c>
      <c r="B1067" s="733" t="s">
        <v>5914</v>
      </c>
      <c r="C1067" s="731" t="s">
        <v>2680</v>
      </c>
      <c r="D1067" s="752" t="s">
        <v>3452</v>
      </c>
      <c r="E1067" s="754">
        <v>0</v>
      </c>
    </row>
    <row r="1068" spans="1:5" ht="16.3" customHeight="1">
      <c r="A1068" s="754" t="s">
        <v>4448</v>
      </c>
      <c r="B1068" s="758" t="s">
        <v>5913</v>
      </c>
      <c r="C1068" s="731" t="s">
        <v>3281</v>
      </c>
      <c r="D1068" s="752" t="s">
        <v>5850</v>
      </c>
      <c r="E1068" s="754">
        <v>0</v>
      </c>
    </row>
    <row r="1069" spans="1:5" ht="16.3" customHeight="1">
      <c r="A1069" s="754" t="s">
        <v>4448</v>
      </c>
      <c r="B1069" s="758" t="s">
        <v>5913</v>
      </c>
      <c r="C1069" s="731" t="s">
        <v>2680</v>
      </c>
      <c r="D1069" s="752" t="s">
        <v>5850</v>
      </c>
      <c r="E1069" s="754">
        <v>0</v>
      </c>
    </row>
    <row r="1070" spans="1:5" ht="16.3" customHeight="1">
      <c r="A1070" s="754" t="s">
        <v>4448</v>
      </c>
      <c r="B1070" s="758" t="s">
        <v>5913</v>
      </c>
      <c r="C1070" s="731" t="s">
        <v>2680</v>
      </c>
      <c r="D1070" s="752" t="s">
        <v>5850</v>
      </c>
      <c r="E1070" s="754">
        <v>0</v>
      </c>
    </row>
    <row r="1071" spans="1:5" ht="16.3" customHeight="1">
      <c r="A1071" s="754" t="s">
        <v>4448</v>
      </c>
      <c r="B1071" s="759" t="s">
        <v>5915</v>
      </c>
      <c r="C1071" s="731" t="s">
        <v>3282</v>
      </c>
      <c r="D1071" s="752" t="s">
        <v>5851</v>
      </c>
      <c r="E1071" s="754">
        <v>0</v>
      </c>
    </row>
    <row r="1072" spans="1:5" ht="16.3" customHeight="1">
      <c r="A1072" s="754" t="s">
        <v>4448</v>
      </c>
      <c r="B1072" s="759" t="s">
        <v>5915</v>
      </c>
      <c r="C1072" s="731" t="s">
        <v>2680</v>
      </c>
      <c r="D1072" s="752" t="s">
        <v>5851</v>
      </c>
      <c r="E1072" s="754">
        <v>0</v>
      </c>
    </row>
    <row r="1073" spans="1:5" ht="16.3" customHeight="1">
      <c r="A1073" s="754" t="s">
        <v>4448</v>
      </c>
      <c r="B1073" s="759" t="s">
        <v>5915</v>
      </c>
      <c r="C1073" s="731" t="s">
        <v>2680</v>
      </c>
      <c r="D1073" s="752" t="s">
        <v>5851</v>
      </c>
      <c r="E1073" s="754">
        <v>0</v>
      </c>
    </row>
    <row r="1074" spans="1:5" ht="16.3" customHeight="1">
      <c r="A1074" s="754" t="s">
        <v>4448</v>
      </c>
      <c r="B1074" s="759" t="s">
        <v>5915</v>
      </c>
      <c r="C1074" s="731" t="s">
        <v>2680</v>
      </c>
      <c r="D1074" s="752" t="s">
        <v>5851</v>
      </c>
      <c r="E1074" s="754">
        <v>0</v>
      </c>
    </row>
    <row r="1075" spans="1:5" ht="16.3" customHeight="1">
      <c r="A1075" s="754" t="s">
        <v>4448</v>
      </c>
      <c r="B1075" s="767" t="s">
        <v>5916</v>
      </c>
      <c r="C1075" s="731" t="s">
        <v>3283</v>
      </c>
      <c r="D1075" s="752" t="s">
        <v>5852</v>
      </c>
      <c r="E1075" s="754">
        <v>0</v>
      </c>
    </row>
    <row r="1076" spans="1:5" ht="16.3" customHeight="1">
      <c r="A1076" s="754" t="s">
        <v>4448</v>
      </c>
      <c r="B1076" s="767" t="s">
        <v>5916</v>
      </c>
      <c r="C1076" s="731" t="s">
        <v>3284</v>
      </c>
      <c r="D1076" s="752" t="s">
        <v>5852</v>
      </c>
      <c r="E1076" s="754">
        <v>0</v>
      </c>
    </row>
    <row r="1077" spans="1:5" ht="16.3" customHeight="1">
      <c r="A1077" s="754" t="s">
        <v>4448</v>
      </c>
      <c r="B1077" s="767" t="s">
        <v>5916</v>
      </c>
      <c r="C1077" s="731" t="s">
        <v>3285</v>
      </c>
      <c r="D1077" s="752" t="s">
        <v>5852</v>
      </c>
      <c r="E1077" s="754">
        <v>0</v>
      </c>
    </row>
    <row r="1078" spans="1:5" ht="16.3" customHeight="1">
      <c r="A1078" s="754" t="s">
        <v>4448</v>
      </c>
      <c r="B1078" s="767" t="s">
        <v>5916</v>
      </c>
      <c r="C1078" s="736" t="s">
        <v>3286</v>
      </c>
      <c r="D1078" s="752" t="s">
        <v>5852</v>
      </c>
      <c r="E1078" s="754">
        <v>0</v>
      </c>
    </row>
    <row r="1079" spans="1:5" ht="16.3" customHeight="1">
      <c r="A1079" s="754" t="s">
        <v>4448</v>
      </c>
      <c r="B1079" s="767" t="s">
        <v>5916</v>
      </c>
      <c r="C1079" s="731" t="s">
        <v>2680</v>
      </c>
      <c r="D1079" s="752" t="s">
        <v>5852</v>
      </c>
      <c r="E1079" s="754">
        <v>0</v>
      </c>
    </row>
    <row r="1080" spans="1:5" ht="16.3" customHeight="1">
      <c r="A1080" s="754" t="s">
        <v>4448</v>
      </c>
      <c r="B1080" s="761" t="s">
        <v>5917</v>
      </c>
      <c r="C1080" s="731" t="s">
        <v>3287</v>
      </c>
      <c r="D1080" s="752" t="s">
        <v>5853</v>
      </c>
      <c r="E1080" s="754">
        <v>0</v>
      </c>
    </row>
    <row r="1081" spans="1:5" ht="16.3" customHeight="1">
      <c r="A1081" s="754" t="s">
        <v>4448</v>
      </c>
      <c r="B1081" s="761" t="s">
        <v>5917</v>
      </c>
      <c r="C1081" s="731" t="s">
        <v>2680</v>
      </c>
      <c r="D1081" s="752" t="s">
        <v>5853</v>
      </c>
      <c r="E1081" s="754">
        <v>0</v>
      </c>
    </row>
    <row r="1082" spans="1:5" ht="16.3" customHeight="1">
      <c r="A1082" s="754" t="s">
        <v>4448</v>
      </c>
      <c r="B1082" s="732" t="s">
        <v>5912</v>
      </c>
      <c r="C1082" s="731" t="s">
        <v>3289</v>
      </c>
      <c r="D1082" s="752" t="s">
        <v>3486</v>
      </c>
      <c r="E1082" s="754">
        <v>0</v>
      </c>
    </row>
    <row r="1083" spans="1:5" ht="16.3" customHeight="1">
      <c r="A1083" s="754" t="s">
        <v>4448</v>
      </c>
      <c r="B1083" s="732" t="s">
        <v>5912</v>
      </c>
      <c r="C1083" s="731" t="s">
        <v>2680</v>
      </c>
      <c r="D1083" s="752" t="s">
        <v>3486</v>
      </c>
      <c r="E1083" s="754">
        <v>0</v>
      </c>
    </row>
    <row r="1084" spans="1:5" ht="16.3" customHeight="1">
      <c r="A1084" s="754" t="s">
        <v>4448</v>
      </c>
      <c r="B1084" s="733" t="s">
        <v>5914</v>
      </c>
      <c r="C1084" s="731" t="s">
        <v>5799</v>
      </c>
      <c r="D1084" s="752" t="s">
        <v>3452</v>
      </c>
      <c r="E1084" s="754">
        <v>0</v>
      </c>
    </row>
    <row r="1085" spans="1:5" ht="16.3" customHeight="1">
      <c r="A1085" s="754" t="s">
        <v>4448</v>
      </c>
      <c r="B1085" s="733" t="s">
        <v>5914</v>
      </c>
      <c r="C1085" s="731" t="s">
        <v>2680</v>
      </c>
      <c r="D1085" s="752" t="s">
        <v>3452</v>
      </c>
      <c r="E1085" s="754">
        <v>0</v>
      </c>
    </row>
    <row r="1086" spans="1:5" ht="16.3" customHeight="1">
      <c r="A1086" s="754" t="s">
        <v>4448</v>
      </c>
      <c r="B1086" s="758" t="s">
        <v>5913</v>
      </c>
      <c r="C1086" s="731" t="s">
        <v>3290</v>
      </c>
      <c r="D1086" s="752" t="s">
        <v>5850</v>
      </c>
      <c r="E1086" s="754">
        <v>0</v>
      </c>
    </row>
    <row r="1087" spans="1:5" ht="16.3" customHeight="1">
      <c r="A1087" s="754" t="s">
        <v>4448</v>
      </c>
      <c r="B1087" s="758" t="s">
        <v>5913</v>
      </c>
      <c r="C1087" s="731" t="s">
        <v>3291</v>
      </c>
      <c r="D1087" s="752" t="s">
        <v>5850</v>
      </c>
      <c r="E1087" s="754">
        <v>0</v>
      </c>
    </row>
    <row r="1088" spans="1:5" ht="16.3" customHeight="1">
      <c r="A1088" s="754" t="s">
        <v>4448</v>
      </c>
      <c r="B1088" s="758" t="s">
        <v>5913</v>
      </c>
      <c r="C1088" s="731" t="s">
        <v>3292</v>
      </c>
      <c r="D1088" s="752" t="s">
        <v>5850</v>
      </c>
      <c r="E1088" s="754">
        <v>0</v>
      </c>
    </row>
    <row r="1089" spans="1:5" ht="16.3" customHeight="1">
      <c r="A1089" s="754" t="s">
        <v>4448</v>
      </c>
      <c r="B1089" s="759" t="s">
        <v>5915</v>
      </c>
      <c r="C1089" s="731" t="s">
        <v>3293</v>
      </c>
      <c r="D1089" s="752" t="s">
        <v>5851</v>
      </c>
      <c r="E1089" s="754">
        <v>0</v>
      </c>
    </row>
    <row r="1090" spans="1:5" ht="16.3" customHeight="1">
      <c r="A1090" s="754" t="s">
        <v>4448</v>
      </c>
      <c r="B1090" s="759" t="s">
        <v>5915</v>
      </c>
      <c r="C1090" s="731" t="s">
        <v>3294</v>
      </c>
      <c r="D1090" s="752" t="s">
        <v>5851</v>
      </c>
      <c r="E1090" s="754">
        <v>0</v>
      </c>
    </row>
    <row r="1091" spans="1:5" ht="16.3" customHeight="1">
      <c r="A1091" s="754" t="s">
        <v>4448</v>
      </c>
      <c r="B1091" s="759" t="s">
        <v>5915</v>
      </c>
      <c r="C1091" s="731" t="s">
        <v>3295</v>
      </c>
      <c r="D1091" s="752" t="s">
        <v>5851</v>
      </c>
      <c r="E1091" s="754">
        <v>0</v>
      </c>
    </row>
    <row r="1092" spans="1:5" ht="16.3" customHeight="1">
      <c r="A1092" s="754" t="s">
        <v>4448</v>
      </c>
      <c r="B1092" s="759" t="s">
        <v>5915</v>
      </c>
      <c r="C1092" s="731" t="s">
        <v>3296</v>
      </c>
      <c r="D1092" s="752" t="s">
        <v>5851</v>
      </c>
      <c r="E1092" s="754">
        <v>0</v>
      </c>
    </row>
    <row r="1093" spans="1:5" ht="16.3" customHeight="1">
      <c r="A1093" s="754" t="s">
        <v>4448</v>
      </c>
      <c r="B1093" s="767" t="s">
        <v>5916</v>
      </c>
      <c r="C1093" s="731" t="s">
        <v>3297</v>
      </c>
      <c r="D1093" s="752" t="s">
        <v>5852</v>
      </c>
      <c r="E1093" s="754">
        <v>0</v>
      </c>
    </row>
    <row r="1094" spans="1:5" ht="16.3" customHeight="1">
      <c r="A1094" s="754" t="s">
        <v>4448</v>
      </c>
      <c r="B1094" s="767" t="s">
        <v>5916</v>
      </c>
      <c r="C1094" s="731" t="s">
        <v>2680</v>
      </c>
      <c r="D1094" s="752" t="s">
        <v>5852</v>
      </c>
      <c r="E1094" s="754">
        <v>0</v>
      </c>
    </row>
    <row r="1095" spans="1:5" ht="16.3" customHeight="1">
      <c r="A1095" s="754" t="s">
        <v>4448</v>
      </c>
      <c r="B1095" s="767" t="s">
        <v>5916</v>
      </c>
      <c r="C1095" s="731" t="s">
        <v>3298</v>
      </c>
      <c r="D1095" s="752" t="s">
        <v>5852</v>
      </c>
      <c r="E1095" s="754">
        <v>0</v>
      </c>
    </row>
    <row r="1096" spans="1:5" ht="16.3" customHeight="1">
      <c r="A1096" s="754" t="s">
        <v>4448</v>
      </c>
      <c r="B1096" s="767" t="s">
        <v>5916</v>
      </c>
      <c r="C1096" s="731" t="s">
        <v>3299</v>
      </c>
      <c r="D1096" s="752" t="s">
        <v>5852</v>
      </c>
      <c r="E1096" s="754">
        <v>0</v>
      </c>
    </row>
    <row r="1097" spans="1:5" ht="16.3" customHeight="1">
      <c r="A1097" s="754" t="s">
        <v>4448</v>
      </c>
      <c r="B1097" s="767" t="s">
        <v>5916</v>
      </c>
      <c r="C1097" s="731" t="s">
        <v>3300</v>
      </c>
      <c r="D1097" s="752" t="s">
        <v>5852</v>
      </c>
      <c r="E1097" s="754">
        <v>0</v>
      </c>
    </row>
    <row r="1098" spans="1:5" ht="16.3" customHeight="1">
      <c r="A1098" s="754" t="s">
        <v>4448</v>
      </c>
      <c r="B1098" s="761" t="s">
        <v>5917</v>
      </c>
      <c r="C1098" s="731" t="s">
        <v>3301</v>
      </c>
      <c r="D1098" s="752" t="s">
        <v>5853</v>
      </c>
      <c r="E1098" s="754">
        <v>0</v>
      </c>
    </row>
    <row r="1099" spans="1:5" ht="16.3" customHeight="1">
      <c r="A1099" s="754" t="s">
        <v>4448</v>
      </c>
      <c r="B1099" s="761" t="s">
        <v>5917</v>
      </c>
      <c r="C1099" s="731" t="s">
        <v>2680</v>
      </c>
      <c r="D1099" s="752" t="s">
        <v>5853</v>
      </c>
      <c r="E1099" s="754">
        <v>0</v>
      </c>
    </row>
    <row r="1100" spans="1:5" ht="16.3" customHeight="1">
      <c r="A1100" s="754" t="s">
        <v>4448</v>
      </c>
      <c r="B1100" s="732" t="s">
        <v>5912</v>
      </c>
      <c r="C1100" s="731" t="s">
        <v>3303</v>
      </c>
      <c r="D1100" s="752" t="s">
        <v>3486</v>
      </c>
      <c r="E1100" s="754">
        <v>0</v>
      </c>
    </row>
    <row r="1101" spans="1:5" ht="16.3" customHeight="1">
      <c r="A1101" s="754" t="s">
        <v>4448</v>
      </c>
      <c r="B1101" s="732" t="s">
        <v>5912</v>
      </c>
      <c r="C1101" s="731" t="s">
        <v>2680</v>
      </c>
      <c r="D1101" s="752" t="s">
        <v>3486</v>
      </c>
      <c r="E1101" s="754">
        <v>0</v>
      </c>
    </row>
    <row r="1102" spans="1:5" ht="16.3" customHeight="1">
      <c r="A1102" s="754" t="s">
        <v>4448</v>
      </c>
      <c r="B1102" s="733" t="s">
        <v>5914</v>
      </c>
      <c r="C1102" s="731" t="s">
        <v>5800</v>
      </c>
      <c r="D1102" s="752" t="s">
        <v>3452</v>
      </c>
      <c r="E1102" s="754">
        <v>0</v>
      </c>
    </row>
    <row r="1103" spans="1:5" ht="16.3" customHeight="1">
      <c r="A1103" s="754" t="s">
        <v>4448</v>
      </c>
      <c r="B1103" s="733" t="s">
        <v>5914</v>
      </c>
      <c r="C1103" s="731" t="s">
        <v>2680</v>
      </c>
      <c r="D1103" s="752" t="s">
        <v>3452</v>
      </c>
      <c r="E1103" s="754">
        <v>0</v>
      </c>
    </row>
    <row r="1104" spans="1:5" ht="16.3" customHeight="1">
      <c r="A1104" s="754" t="s">
        <v>4448</v>
      </c>
      <c r="B1104" s="758" t="s">
        <v>5913</v>
      </c>
      <c r="C1104" s="731" t="s">
        <v>3304</v>
      </c>
      <c r="D1104" s="752" t="s">
        <v>5850</v>
      </c>
      <c r="E1104" s="754">
        <v>0</v>
      </c>
    </row>
    <row r="1105" spans="1:5" ht="16.3" customHeight="1">
      <c r="A1105" s="754" t="s">
        <v>4448</v>
      </c>
      <c r="B1105" s="758" t="s">
        <v>5913</v>
      </c>
      <c r="C1105" s="731" t="s">
        <v>3305</v>
      </c>
      <c r="D1105" s="752" t="s">
        <v>5850</v>
      </c>
      <c r="E1105" s="754">
        <v>0</v>
      </c>
    </row>
    <row r="1106" spans="1:5" ht="16.3" customHeight="1">
      <c r="A1106" s="754" t="s">
        <v>4448</v>
      </c>
      <c r="B1106" s="758" t="s">
        <v>5913</v>
      </c>
      <c r="C1106" s="731" t="s">
        <v>2680</v>
      </c>
      <c r="D1106" s="752" t="s">
        <v>5850</v>
      </c>
      <c r="E1106" s="754">
        <v>0</v>
      </c>
    </row>
    <row r="1107" spans="1:5" ht="16.3" customHeight="1">
      <c r="A1107" s="754" t="s">
        <v>4448</v>
      </c>
      <c r="B1107" s="759" t="s">
        <v>5915</v>
      </c>
      <c r="C1107" s="731" t="s">
        <v>3306</v>
      </c>
      <c r="D1107" s="752" t="s">
        <v>5851</v>
      </c>
      <c r="E1107" s="754">
        <v>0</v>
      </c>
    </row>
    <row r="1108" spans="1:5" ht="16.3" customHeight="1">
      <c r="A1108" s="754" t="s">
        <v>4448</v>
      </c>
      <c r="B1108" s="759" t="s">
        <v>5915</v>
      </c>
      <c r="C1108" s="731" t="s">
        <v>2680</v>
      </c>
      <c r="D1108" s="752" t="s">
        <v>5851</v>
      </c>
      <c r="E1108" s="754">
        <v>0</v>
      </c>
    </row>
    <row r="1109" spans="1:5" ht="16.3" customHeight="1">
      <c r="A1109" s="754" t="s">
        <v>4448</v>
      </c>
      <c r="B1109" s="759" t="s">
        <v>5915</v>
      </c>
      <c r="C1109" s="731" t="s">
        <v>2680</v>
      </c>
      <c r="D1109" s="752" t="s">
        <v>5851</v>
      </c>
      <c r="E1109" s="754">
        <v>0</v>
      </c>
    </row>
    <row r="1110" spans="1:5" ht="16.3" customHeight="1">
      <c r="A1110" s="754" t="s">
        <v>4448</v>
      </c>
      <c r="B1110" s="759" t="s">
        <v>5915</v>
      </c>
      <c r="C1110" s="731" t="s">
        <v>2680</v>
      </c>
      <c r="D1110" s="752" t="s">
        <v>5851</v>
      </c>
      <c r="E1110" s="754">
        <v>0</v>
      </c>
    </row>
    <row r="1111" spans="1:5" ht="16.3" customHeight="1">
      <c r="A1111" s="754" t="s">
        <v>4448</v>
      </c>
      <c r="B1111" s="767" t="s">
        <v>5916</v>
      </c>
      <c r="C1111" s="731" t="s">
        <v>3307</v>
      </c>
      <c r="D1111" s="752" t="s">
        <v>5852</v>
      </c>
      <c r="E1111" s="754">
        <v>0</v>
      </c>
    </row>
    <row r="1112" spans="1:5" ht="16.3" customHeight="1">
      <c r="A1112" s="754" t="s">
        <v>4448</v>
      </c>
      <c r="B1112" s="767" t="s">
        <v>5916</v>
      </c>
      <c r="C1112" s="731" t="s">
        <v>3308</v>
      </c>
      <c r="D1112" s="752" t="s">
        <v>5852</v>
      </c>
      <c r="E1112" s="754">
        <v>0</v>
      </c>
    </row>
    <row r="1113" spans="1:5" ht="16.3" customHeight="1">
      <c r="A1113" s="754" t="s">
        <v>4448</v>
      </c>
      <c r="B1113" s="767" t="s">
        <v>5916</v>
      </c>
      <c r="C1113" s="731" t="s">
        <v>2680</v>
      </c>
      <c r="D1113" s="752" t="s">
        <v>5852</v>
      </c>
      <c r="E1113" s="754">
        <v>0</v>
      </c>
    </row>
    <row r="1114" spans="1:5" ht="16.3" customHeight="1">
      <c r="A1114" s="754" t="s">
        <v>4448</v>
      </c>
      <c r="B1114" s="767" t="s">
        <v>5916</v>
      </c>
      <c r="C1114" s="731" t="s">
        <v>2680</v>
      </c>
      <c r="D1114" s="752" t="s">
        <v>5852</v>
      </c>
      <c r="E1114" s="754">
        <v>0</v>
      </c>
    </row>
    <row r="1115" spans="1:5" ht="16.3" customHeight="1">
      <c r="A1115" s="754" t="s">
        <v>4448</v>
      </c>
      <c r="B1115" s="767" t="s">
        <v>5916</v>
      </c>
      <c r="C1115" s="731" t="s">
        <v>2680</v>
      </c>
      <c r="D1115" s="752" t="s">
        <v>5852</v>
      </c>
      <c r="E1115" s="754">
        <v>0</v>
      </c>
    </row>
    <row r="1116" spans="1:5" ht="16.3" customHeight="1">
      <c r="A1116" s="754" t="s">
        <v>4448</v>
      </c>
      <c r="B1116" s="761" t="s">
        <v>5917</v>
      </c>
      <c r="C1116" s="731" t="s">
        <v>3309</v>
      </c>
      <c r="D1116" s="752" t="s">
        <v>5853</v>
      </c>
      <c r="E1116" s="754">
        <v>0</v>
      </c>
    </row>
    <row r="1117" spans="1:5" ht="16.3" customHeight="1">
      <c r="A1117" s="754" t="s">
        <v>4448</v>
      </c>
      <c r="B1117" s="761" t="s">
        <v>5917</v>
      </c>
      <c r="C1117" s="731" t="s">
        <v>2680</v>
      </c>
      <c r="D1117" s="752" t="s">
        <v>5853</v>
      </c>
      <c r="E1117" s="754">
        <v>0</v>
      </c>
    </row>
    <row r="1118" spans="1:5" ht="16.3" customHeight="1">
      <c r="A1118" s="754" t="s">
        <v>4448</v>
      </c>
      <c r="B1118" s="732" t="s">
        <v>5912</v>
      </c>
      <c r="C1118" s="731" t="s">
        <v>3313</v>
      </c>
      <c r="D1118" s="752" t="s">
        <v>5854</v>
      </c>
      <c r="E1118" s="754">
        <v>0</v>
      </c>
    </row>
    <row r="1119" spans="1:5" ht="16.3" customHeight="1">
      <c r="A1119" s="754" t="s">
        <v>4448</v>
      </c>
      <c r="B1119" s="732" t="s">
        <v>5912</v>
      </c>
      <c r="C1119" s="731" t="s">
        <v>3314</v>
      </c>
      <c r="D1119" s="752" t="s">
        <v>5854</v>
      </c>
      <c r="E1119" s="754">
        <v>0</v>
      </c>
    </row>
    <row r="1120" spans="1:5" ht="16.3" customHeight="1">
      <c r="A1120" s="754" t="s">
        <v>4448</v>
      </c>
      <c r="B1120" s="732" t="s">
        <v>5912</v>
      </c>
      <c r="C1120" s="731" t="s">
        <v>3315</v>
      </c>
      <c r="D1120" s="752" t="s">
        <v>5854</v>
      </c>
      <c r="E1120" s="754">
        <v>0</v>
      </c>
    </row>
    <row r="1121" spans="1:5" ht="16.3" customHeight="1">
      <c r="A1121" s="754" t="s">
        <v>4448</v>
      </c>
      <c r="B1121" s="732" t="s">
        <v>5912</v>
      </c>
      <c r="C1121" s="731" t="s">
        <v>3316</v>
      </c>
      <c r="D1121" s="752" t="s">
        <v>5854</v>
      </c>
      <c r="E1121" s="754">
        <v>0</v>
      </c>
    </row>
    <row r="1122" spans="1:5" ht="16.3" customHeight="1">
      <c r="A1122" s="754" t="s">
        <v>4448</v>
      </c>
      <c r="B1122" s="732" t="s">
        <v>5912</v>
      </c>
      <c r="C1122" s="731" t="s">
        <v>3317</v>
      </c>
      <c r="D1122" s="752" t="s">
        <v>5854</v>
      </c>
      <c r="E1122" s="754">
        <v>0</v>
      </c>
    </row>
    <row r="1123" spans="1:5" ht="16.3" customHeight="1">
      <c r="A1123" s="754" t="s">
        <v>4448</v>
      </c>
      <c r="B1123" s="732" t="s">
        <v>5912</v>
      </c>
      <c r="C1123" s="731" t="s">
        <v>3318</v>
      </c>
      <c r="D1123" s="752" t="s">
        <v>5854</v>
      </c>
      <c r="E1123" s="754">
        <v>0</v>
      </c>
    </row>
    <row r="1124" spans="1:5" ht="16.3" customHeight="1">
      <c r="A1124" s="754" t="s">
        <v>4448</v>
      </c>
      <c r="B1124" s="732" t="s">
        <v>5912</v>
      </c>
      <c r="C1124" s="731" t="s">
        <v>3319</v>
      </c>
      <c r="D1124" s="752" t="s">
        <v>5854</v>
      </c>
      <c r="E1124" s="754">
        <v>0</v>
      </c>
    </row>
    <row r="1125" spans="1:5" ht="16.3" customHeight="1">
      <c r="A1125" s="754" t="s">
        <v>4448</v>
      </c>
      <c r="B1125" s="732" t="s">
        <v>5912</v>
      </c>
      <c r="C1125" s="731" t="s">
        <v>3320</v>
      </c>
      <c r="D1125" s="752" t="s">
        <v>5854</v>
      </c>
      <c r="E1125" s="754">
        <v>0</v>
      </c>
    </row>
    <row r="1126" spans="1:5" ht="16.3" customHeight="1">
      <c r="A1126" s="754" t="s">
        <v>4448</v>
      </c>
      <c r="B1126" s="732" t="s">
        <v>5912</v>
      </c>
      <c r="C1126" s="731" t="s">
        <v>3321</v>
      </c>
      <c r="D1126" s="752" t="s">
        <v>5854</v>
      </c>
      <c r="E1126" s="754">
        <v>0</v>
      </c>
    </row>
    <row r="1127" spans="1:5" ht="16.3" customHeight="1">
      <c r="A1127" s="754" t="s">
        <v>4448</v>
      </c>
      <c r="B1127" s="732" t="s">
        <v>5912</v>
      </c>
      <c r="C1127" s="731" t="s">
        <v>5801</v>
      </c>
      <c r="D1127" s="752" t="s">
        <v>5854</v>
      </c>
      <c r="E1127" s="754">
        <v>0</v>
      </c>
    </row>
    <row r="1128" spans="1:5" ht="16.3" customHeight="1">
      <c r="A1128" s="754" t="s">
        <v>4448</v>
      </c>
      <c r="B1128" s="733" t="s">
        <v>5914</v>
      </c>
      <c r="C1128" s="731" t="s">
        <v>5802</v>
      </c>
      <c r="D1128" s="752" t="s">
        <v>3452</v>
      </c>
      <c r="E1128" s="754">
        <v>0</v>
      </c>
    </row>
    <row r="1129" spans="1:5" ht="16.3" customHeight="1">
      <c r="A1129" s="754" t="s">
        <v>4448</v>
      </c>
      <c r="B1129" s="733" t="s">
        <v>5914</v>
      </c>
      <c r="C1129" s="731" t="s">
        <v>5803</v>
      </c>
      <c r="D1129" s="752" t="s">
        <v>3452</v>
      </c>
      <c r="E1129" s="754">
        <v>0</v>
      </c>
    </row>
    <row r="1130" spans="1:5" ht="16.3" customHeight="1">
      <c r="A1130" s="754" t="s">
        <v>4448</v>
      </c>
      <c r="B1130" s="733" t="s">
        <v>5914</v>
      </c>
      <c r="C1130" s="731" t="s">
        <v>5804</v>
      </c>
      <c r="D1130" s="752" t="s">
        <v>3452</v>
      </c>
      <c r="E1130" s="754">
        <v>0</v>
      </c>
    </row>
    <row r="1131" spans="1:5" ht="16.3" customHeight="1">
      <c r="A1131" s="754" t="s">
        <v>4448</v>
      </c>
      <c r="B1131" s="733" t="s">
        <v>5914</v>
      </c>
      <c r="C1131" s="731" t="s">
        <v>5805</v>
      </c>
      <c r="D1131" s="752" t="s">
        <v>3452</v>
      </c>
      <c r="E1131" s="754">
        <v>0</v>
      </c>
    </row>
    <row r="1132" spans="1:5" ht="16.3" customHeight="1">
      <c r="A1132" s="754" t="s">
        <v>4448</v>
      </c>
      <c r="B1132" s="733" t="s">
        <v>5914</v>
      </c>
      <c r="C1132" s="731" t="s">
        <v>5806</v>
      </c>
      <c r="D1132" s="752" t="s">
        <v>3452</v>
      </c>
      <c r="E1132" s="754">
        <v>0</v>
      </c>
    </row>
    <row r="1133" spans="1:5" ht="16.3" customHeight="1">
      <c r="A1133" s="754" t="s">
        <v>4448</v>
      </c>
      <c r="B1133" s="733" t="s">
        <v>5914</v>
      </c>
      <c r="C1133" s="731" t="s">
        <v>5807</v>
      </c>
      <c r="D1133" s="752" t="s">
        <v>3452</v>
      </c>
      <c r="E1133" s="754">
        <v>0</v>
      </c>
    </row>
    <row r="1134" spans="1:5" ht="16.3" customHeight="1">
      <c r="A1134" s="754" t="s">
        <v>4448</v>
      </c>
      <c r="B1134" s="733" t="s">
        <v>5914</v>
      </c>
      <c r="C1134" s="731" t="s">
        <v>2680</v>
      </c>
      <c r="D1134" s="752" t="s">
        <v>3452</v>
      </c>
      <c r="E1134" s="754">
        <v>0</v>
      </c>
    </row>
    <row r="1135" spans="1:5" ht="16.3" customHeight="1">
      <c r="A1135" s="754" t="s">
        <v>4448</v>
      </c>
      <c r="B1135" s="733" t="s">
        <v>5914</v>
      </c>
      <c r="C1135" s="731" t="s">
        <v>2680</v>
      </c>
      <c r="D1135" s="752" t="s">
        <v>3452</v>
      </c>
      <c r="E1135" s="754">
        <v>0</v>
      </c>
    </row>
    <row r="1136" spans="1:5" ht="16.3" customHeight="1">
      <c r="A1136" s="754" t="s">
        <v>4448</v>
      </c>
      <c r="B1136" s="733" t="s">
        <v>5914</v>
      </c>
      <c r="C1136" s="731" t="s">
        <v>2680</v>
      </c>
      <c r="D1136" s="752" t="s">
        <v>3452</v>
      </c>
      <c r="E1136" s="754">
        <v>0</v>
      </c>
    </row>
    <row r="1137" spans="1:5" ht="16.3" customHeight="1">
      <c r="A1137" s="754" t="s">
        <v>4448</v>
      </c>
      <c r="B1137" s="733" t="s">
        <v>5914</v>
      </c>
      <c r="C1137" s="731" t="s">
        <v>2680</v>
      </c>
      <c r="D1137" s="752" t="s">
        <v>3452</v>
      </c>
      <c r="E1137" s="754">
        <v>0</v>
      </c>
    </row>
    <row r="1138" spans="1:5" ht="16.3" customHeight="1">
      <c r="A1138" s="754" t="s">
        <v>4448</v>
      </c>
      <c r="B1138" s="758" t="s">
        <v>5913</v>
      </c>
      <c r="C1138" s="731" t="s">
        <v>3322</v>
      </c>
      <c r="D1138" s="752" t="s">
        <v>5850</v>
      </c>
      <c r="E1138" s="754">
        <v>0</v>
      </c>
    </row>
    <row r="1139" spans="1:5" ht="16.3" customHeight="1">
      <c r="A1139" s="754" t="s">
        <v>4448</v>
      </c>
      <c r="B1139" s="758" t="s">
        <v>5913</v>
      </c>
      <c r="C1139" s="731" t="s">
        <v>3323</v>
      </c>
      <c r="D1139" s="752" t="s">
        <v>5850</v>
      </c>
      <c r="E1139" s="754">
        <v>0</v>
      </c>
    </row>
    <row r="1140" spans="1:5" ht="16.3" customHeight="1">
      <c r="A1140" s="754" t="s">
        <v>4448</v>
      </c>
      <c r="B1140" s="758" t="s">
        <v>5913</v>
      </c>
      <c r="C1140" s="731" t="s">
        <v>3324</v>
      </c>
      <c r="D1140" s="752" t="s">
        <v>5850</v>
      </c>
      <c r="E1140" s="754">
        <v>0</v>
      </c>
    </row>
    <row r="1141" spans="1:5" ht="16.3" customHeight="1">
      <c r="A1141" s="754" t="s">
        <v>4448</v>
      </c>
      <c r="B1141" s="758" t="s">
        <v>5913</v>
      </c>
      <c r="C1141" s="731" t="s">
        <v>3325</v>
      </c>
      <c r="D1141" s="752" t="s">
        <v>5850</v>
      </c>
      <c r="E1141" s="754">
        <v>0</v>
      </c>
    </row>
    <row r="1142" spans="1:5" ht="16.3" customHeight="1">
      <c r="A1142" s="754" t="s">
        <v>4448</v>
      </c>
      <c r="B1142" s="758" t="s">
        <v>5913</v>
      </c>
      <c r="C1142" s="731" t="s">
        <v>3326</v>
      </c>
      <c r="D1142" s="752" t="s">
        <v>5850</v>
      </c>
      <c r="E1142" s="754">
        <v>0</v>
      </c>
    </row>
    <row r="1143" spans="1:5" ht="16.3" customHeight="1">
      <c r="A1143" s="754" t="s">
        <v>4448</v>
      </c>
      <c r="B1143" s="758" t="s">
        <v>5913</v>
      </c>
      <c r="C1143" s="731" t="s">
        <v>3327</v>
      </c>
      <c r="D1143" s="752" t="s">
        <v>5850</v>
      </c>
      <c r="E1143" s="754">
        <v>0</v>
      </c>
    </row>
    <row r="1144" spans="1:5" ht="16.3" customHeight="1">
      <c r="A1144" s="754" t="s">
        <v>4448</v>
      </c>
      <c r="B1144" s="758" t="s">
        <v>5913</v>
      </c>
      <c r="C1144" s="731" t="s">
        <v>3328</v>
      </c>
      <c r="D1144" s="752" t="s">
        <v>5850</v>
      </c>
      <c r="E1144" s="754">
        <v>0</v>
      </c>
    </row>
    <row r="1145" spans="1:5" ht="16.3" customHeight="1">
      <c r="A1145" s="754" t="s">
        <v>4448</v>
      </c>
      <c r="B1145" s="758" t="s">
        <v>5913</v>
      </c>
      <c r="C1145" s="731" t="s">
        <v>5808</v>
      </c>
      <c r="D1145" s="752" t="s">
        <v>5850</v>
      </c>
      <c r="E1145" s="754">
        <v>0</v>
      </c>
    </row>
    <row r="1146" spans="1:5" ht="16.3" customHeight="1">
      <c r="A1146" s="754" t="s">
        <v>4448</v>
      </c>
      <c r="B1146" s="758" t="s">
        <v>5913</v>
      </c>
      <c r="C1146" s="731" t="s">
        <v>5809</v>
      </c>
      <c r="D1146" s="752" t="s">
        <v>5850</v>
      </c>
      <c r="E1146" s="754">
        <v>0</v>
      </c>
    </row>
    <row r="1147" spans="1:5" ht="16.3" customHeight="1">
      <c r="A1147" s="754" t="s">
        <v>4448</v>
      </c>
      <c r="B1147" s="758" t="s">
        <v>5913</v>
      </c>
      <c r="C1147" s="731" t="s">
        <v>5810</v>
      </c>
      <c r="D1147" s="752" t="s">
        <v>5850</v>
      </c>
      <c r="E1147" s="754">
        <v>0</v>
      </c>
    </row>
    <row r="1148" spans="1:5" ht="16.3" customHeight="1">
      <c r="A1148" s="754" t="s">
        <v>4448</v>
      </c>
      <c r="B1148" s="759" t="s">
        <v>5915</v>
      </c>
      <c r="C1148" s="731" t="s">
        <v>5811</v>
      </c>
      <c r="D1148" s="752" t="s">
        <v>5851</v>
      </c>
      <c r="E1148" s="754">
        <v>0</v>
      </c>
    </row>
    <row r="1149" spans="1:5" ht="16.3" customHeight="1">
      <c r="A1149" s="754" t="s">
        <v>4448</v>
      </c>
      <c r="B1149" s="759" t="s">
        <v>5915</v>
      </c>
      <c r="C1149" s="731" t="s">
        <v>2680</v>
      </c>
      <c r="D1149" s="752" t="s">
        <v>5851</v>
      </c>
      <c r="E1149" s="754">
        <v>0</v>
      </c>
    </row>
    <row r="1150" spans="1:5" ht="16.3" customHeight="1">
      <c r="A1150" s="754" t="s">
        <v>4448</v>
      </c>
      <c r="B1150" s="759" t="s">
        <v>5915</v>
      </c>
      <c r="C1150" s="731" t="s">
        <v>2680</v>
      </c>
      <c r="D1150" s="752" t="s">
        <v>5851</v>
      </c>
      <c r="E1150" s="754">
        <v>0</v>
      </c>
    </row>
    <row r="1151" spans="1:5" ht="16.3" customHeight="1">
      <c r="A1151" s="754" t="s">
        <v>4448</v>
      </c>
      <c r="B1151" s="759" t="s">
        <v>5915</v>
      </c>
      <c r="C1151" s="731" t="s">
        <v>3329</v>
      </c>
      <c r="D1151" s="752" t="s">
        <v>5851</v>
      </c>
      <c r="E1151" s="754">
        <v>0</v>
      </c>
    </row>
    <row r="1152" spans="1:5" ht="16.3" customHeight="1">
      <c r="A1152" s="754" t="s">
        <v>4448</v>
      </c>
      <c r="B1152" s="759" t="s">
        <v>5915</v>
      </c>
      <c r="C1152" s="731" t="s">
        <v>3330</v>
      </c>
      <c r="D1152" s="752" t="s">
        <v>5851</v>
      </c>
      <c r="E1152" s="754">
        <v>0</v>
      </c>
    </row>
    <row r="1153" spans="1:5" ht="16.3" customHeight="1">
      <c r="A1153" s="754" t="s">
        <v>4448</v>
      </c>
      <c r="B1153" s="759" t="s">
        <v>5915</v>
      </c>
      <c r="C1153" s="731" t="s">
        <v>3331</v>
      </c>
      <c r="D1153" s="752" t="s">
        <v>5851</v>
      </c>
      <c r="E1153" s="754">
        <v>0</v>
      </c>
    </row>
    <row r="1154" spans="1:5" ht="16.3" customHeight="1">
      <c r="A1154" s="754" t="s">
        <v>4448</v>
      </c>
      <c r="B1154" s="759" t="s">
        <v>5915</v>
      </c>
      <c r="C1154" s="731" t="s">
        <v>3332</v>
      </c>
      <c r="D1154" s="752" t="s">
        <v>5851</v>
      </c>
      <c r="E1154" s="754">
        <v>0</v>
      </c>
    </row>
    <row r="1155" spans="1:5" ht="16.3" customHeight="1">
      <c r="A1155" s="754" t="s">
        <v>4448</v>
      </c>
      <c r="B1155" s="759" t="s">
        <v>5915</v>
      </c>
      <c r="C1155" s="731" t="s">
        <v>3333</v>
      </c>
      <c r="D1155" s="752" t="s">
        <v>5851</v>
      </c>
      <c r="E1155" s="754">
        <v>0</v>
      </c>
    </row>
    <row r="1156" spans="1:5" ht="16.3" customHeight="1">
      <c r="A1156" s="754" t="s">
        <v>4448</v>
      </c>
      <c r="B1156" s="759" t="s">
        <v>5915</v>
      </c>
      <c r="C1156" s="731" t="s">
        <v>3334</v>
      </c>
      <c r="D1156" s="752" t="s">
        <v>5851</v>
      </c>
      <c r="E1156" s="754">
        <v>0</v>
      </c>
    </row>
    <row r="1157" spans="1:5" ht="16.3" customHeight="1">
      <c r="A1157" s="754" t="s">
        <v>4448</v>
      </c>
      <c r="B1157" s="759" t="s">
        <v>5915</v>
      </c>
      <c r="C1157" s="731" t="s">
        <v>3335</v>
      </c>
      <c r="D1157" s="752" t="s">
        <v>5851</v>
      </c>
      <c r="E1157" s="754">
        <v>0</v>
      </c>
    </row>
    <row r="1158" spans="1:5" ht="16.3" customHeight="1">
      <c r="A1158" s="754" t="s">
        <v>4448</v>
      </c>
      <c r="B1158" s="767" t="s">
        <v>5916</v>
      </c>
      <c r="C1158" s="731" t="s">
        <v>3336</v>
      </c>
      <c r="D1158" s="752" t="s">
        <v>5852</v>
      </c>
      <c r="E1158" s="754">
        <v>0</v>
      </c>
    </row>
    <row r="1159" spans="1:5" ht="16.3" customHeight="1">
      <c r="A1159" s="754" t="s">
        <v>4448</v>
      </c>
      <c r="B1159" s="767" t="s">
        <v>5916</v>
      </c>
      <c r="C1159" s="731" t="s">
        <v>3337</v>
      </c>
      <c r="D1159" s="752" t="s">
        <v>5852</v>
      </c>
      <c r="E1159" s="754">
        <v>0</v>
      </c>
    </row>
    <row r="1160" spans="1:5" ht="16.3" customHeight="1">
      <c r="A1160" s="754" t="s">
        <v>4448</v>
      </c>
      <c r="B1160" s="767" t="s">
        <v>5916</v>
      </c>
      <c r="C1160" s="731" t="s">
        <v>3338</v>
      </c>
      <c r="D1160" s="752" t="s">
        <v>5852</v>
      </c>
      <c r="E1160" s="754">
        <v>0</v>
      </c>
    </row>
    <row r="1161" spans="1:5" ht="16.3" customHeight="1">
      <c r="A1161" s="754" t="s">
        <v>4448</v>
      </c>
      <c r="B1161" s="767" t="s">
        <v>5916</v>
      </c>
      <c r="C1161" s="731" t="s">
        <v>3339</v>
      </c>
      <c r="D1161" s="752" t="s">
        <v>5852</v>
      </c>
      <c r="E1161" s="754">
        <v>0</v>
      </c>
    </row>
    <row r="1162" spans="1:5" ht="16.3" customHeight="1">
      <c r="A1162" s="754" t="s">
        <v>4448</v>
      </c>
      <c r="B1162" s="767" t="s">
        <v>5916</v>
      </c>
      <c r="C1162" s="731" t="s">
        <v>3340</v>
      </c>
      <c r="D1162" s="752" t="s">
        <v>5852</v>
      </c>
      <c r="E1162" s="754">
        <v>0</v>
      </c>
    </row>
    <row r="1163" spans="1:5" ht="16.3" customHeight="1">
      <c r="A1163" s="754" t="s">
        <v>4448</v>
      </c>
      <c r="B1163" s="767" t="s">
        <v>5916</v>
      </c>
      <c r="C1163" s="731" t="s">
        <v>3341</v>
      </c>
      <c r="D1163" s="752" t="s">
        <v>5852</v>
      </c>
      <c r="E1163" s="754">
        <v>0</v>
      </c>
    </row>
    <row r="1164" spans="1:5" ht="16.3" customHeight="1">
      <c r="A1164" s="754" t="s">
        <v>4448</v>
      </c>
      <c r="B1164" s="767" t="s">
        <v>5916</v>
      </c>
      <c r="C1164" s="731" t="s">
        <v>3342</v>
      </c>
      <c r="D1164" s="752" t="s">
        <v>5852</v>
      </c>
      <c r="E1164" s="754">
        <v>0</v>
      </c>
    </row>
    <row r="1165" spans="1:5" ht="16.3" customHeight="1">
      <c r="A1165" s="754" t="s">
        <v>4448</v>
      </c>
      <c r="B1165" s="767" t="s">
        <v>5916</v>
      </c>
      <c r="C1165" s="731" t="s">
        <v>3343</v>
      </c>
      <c r="D1165" s="752" t="s">
        <v>5852</v>
      </c>
      <c r="E1165" s="754">
        <v>0</v>
      </c>
    </row>
    <row r="1166" spans="1:5" ht="16.3" customHeight="1">
      <c r="A1166" s="754" t="s">
        <v>4448</v>
      </c>
      <c r="B1166" s="767" t="s">
        <v>5916</v>
      </c>
      <c r="C1166" s="731" t="s">
        <v>3344</v>
      </c>
      <c r="D1166" s="752" t="s">
        <v>5852</v>
      </c>
      <c r="E1166" s="754">
        <v>0</v>
      </c>
    </row>
    <row r="1167" spans="1:5" ht="16.3" customHeight="1">
      <c r="A1167" s="754" t="s">
        <v>4448</v>
      </c>
      <c r="B1167" s="767" t="s">
        <v>5916</v>
      </c>
      <c r="C1167" s="731" t="s">
        <v>3345</v>
      </c>
      <c r="D1167" s="752" t="s">
        <v>5852</v>
      </c>
      <c r="E1167" s="754">
        <v>0</v>
      </c>
    </row>
    <row r="1168" spans="1:5" ht="16.3" customHeight="1">
      <c r="A1168" s="754" t="s">
        <v>4448</v>
      </c>
      <c r="B1168" s="761" t="s">
        <v>5917</v>
      </c>
      <c r="C1168" s="731" t="s">
        <v>3346</v>
      </c>
      <c r="D1168" s="752" t="s">
        <v>5853</v>
      </c>
      <c r="E1168" s="754">
        <v>0</v>
      </c>
    </row>
    <row r="1169" spans="1:5" ht="16.3" customHeight="1">
      <c r="A1169" s="754" t="s">
        <v>4448</v>
      </c>
      <c r="B1169" s="761" t="s">
        <v>5917</v>
      </c>
      <c r="C1169" s="731" t="s">
        <v>3347</v>
      </c>
      <c r="D1169" s="752" t="s">
        <v>5853</v>
      </c>
      <c r="E1169" s="754">
        <v>0</v>
      </c>
    </row>
    <row r="1170" spans="1:5" ht="16.3" customHeight="1">
      <c r="A1170" s="754" t="s">
        <v>4448</v>
      </c>
      <c r="B1170" s="761" t="s">
        <v>5917</v>
      </c>
      <c r="C1170" s="731" t="s">
        <v>3348</v>
      </c>
      <c r="D1170" s="752" t="s">
        <v>5853</v>
      </c>
      <c r="E1170" s="754">
        <v>0</v>
      </c>
    </row>
    <row r="1171" spans="1:5" ht="16.3" customHeight="1">
      <c r="A1171" s="754" t="s">
        <v>4448</v>
      </c>
      <c r="B1171" s="761" t="s">
        <v>5917</v>
      </c>
      <c r="C1171" s="731" t="s">
        <v>3349</v>
      </c>
      <c r="D1171" s="752" t="s">
        <v>5853</v>
      </c>
      <c r="E1171" s="754">
        <v>0</v>
      </c>
    </row>
    <row r="1172" spans="1:5" ht="16.3" customHeight="1">
      <c r="A1172" s="754" t="s">
        <v>4448</v>
      </c>
      <c r="B1172" s="761" t="s">
        <v>5917</v>
      </c>
      <c r="C1172" s="731" t="s">
        <v>3350</v>
      </c>
      <c r="D1172" s="752" t="s">
        <v>5853</v>
      </c>
      <c r="E1172" s="754">
        <v>0</v>
      </c>
    </row>
    <row r="1173" spans="1:5" ht="16.3" customHeight="1">
      <c r="A1173" s="754" t="s">
        <v>4448</v>
      </c>
      <c r="B1173" s="732" t="s">
        <v>5912</v>
      </c>
      <c r="C1173" s="731" t="s">
        <v>3353</v>
      </c>
      <c r="D1173" s="752" t="s">
        <v>5854</v>
      </c>
      <c r="E1173" s="754">
        <v>0</v>
      </c>
    </row>
    <row r="1174" spans="1:5" ht="16.3" customHeight="1">
      <c r="A1174" s="754" t="s">
        <v>4448</v>
      </c>
      <c r="B1174" s="733" t="s">
        <v>5914</v>
      </c>
      <c r="C1174" s="731" t="s">
        <v>5812</v>
      </c>
      <c r="D1174" s="752" t="s">
        <v>3452</v>
      </c>
      <c r="E1174" s="754">
        <v>0</v>
      </c>
    </row>
    <row r="1175" spans="1:5" ht="16.3" customHeight="1">
      <c r="A1175" s="754" t="s">
        <v>4448</v>
      </c>
      <c r="B1175" s="733" t="s">
        <v>5914</v>
      </c>
      <c r="C1175" s="731" t="s">
        <v>5813</v>
      </c>
      <c r="D1175" s="752" t="s">
        <v>3452</v>
      </c>
      <c r="E1175" s="754">
        <v>0</v>
      </c>
    </row>
    <row r="1176" spans="1:5" ht="16.3" customHeight="1">
      <c r="A1176" s="754" t="s">
        <v>4448</v>
      </c>
      <c r="B1176" s="733" t="s">
        <v>5914</v>
      </c>
      <c r="C1176" s="731" t="s">
        <v>5814</v>
      </c>
      <c r="D1176" s="752" t="s">
        <v>3452</v>
      </c>
      <c r="E1176" s="754">
        <v>0</v>
      </c>
    </row>
    <row r="1177" spans="1:5" ht="16.3" customHeight="1">
      <c r="A1177" s="754" t="s">
        <v>4448</v>
      </c>
      <c r="B1177" s="733" t="s">
        <v>5914</v>
      </c>
      <c r="C1177" s="731" t="s">
        <v>5815</v>
      </c>
      <c r="D1177" s="752" t="s">
        <v>3452</v>
      </c>
      <c r="E1177" s="754">
        <v>0</v>
      </c>
    </row>
    <row r="1178" spans="1:5" ht="16.3" customHeight="1">
      <c r="A1178" s="754" t="s">
        <v>4448</v>
      </c>
      <c r="B1178" s="733" t="s">
        <v>5914</v>
      </c>
      <c r="C1178" s="731" t="s">
        <v>5816</v>
      </c>
      <c r="D1178" s="752" t="s">
        <v>3452</v>
      </c>
      <c r="E1178" s="754">
        <v>0</v>
      </c>
    </row>
    <row r="1179" spans="1:5" ht="16.3" customHeight="1">
      <c r="A1179" s="754" t="s">
        <v>4448</v>
      </c>
      <c r="B1179" s="733" t="s">
        <v>5914</v>
      </c>
      <c r="C1179" s="731" t="s">
        <v>2680</v>
      </c>
      <c r="D1179" s="752" t="s">
        <v>3452</v>
      </c>
      <c r="E1179" s="754">
        <v>0</v>
      </c>
    </row>
    <row r="1180" spans="1:5" ht="16.3" customHeight="1">
      <c r="A1180" s="754" t="s">
        <v>4448</v>
      </c>
      <c r="B1180" s="733" t="s">
        <v>5914</v>
      </c>
      <c r="C1180" s="731" t="s">
        <v>2680</v>
      </c>
      <c r="D1180" s="752" t="s">
        <v>3452</v>
      </c>
      <c r="E1180" s="754">
        <v>0</v>
      </c>
    </row>
    <row r="1181" spans="1:5" ht="16.3" customHeight="1">
      <c r="A1181" s="754" t="s">
        <v>4448</v>
      </c>
      <c r="B1181" s="733" t="s">
        <v>5914</v>
      </c>
      <c r="C1181" s="731" t="s">
        <v>2680</v>
      </c>
      <c r="D1181" s="752" t="s">
        <v>3452</v>
      </c>
      <c r="E1181" s="754">
        <v>0</v>
      </c>
    </row>
    <row r="1182" spans="1:5" ht="16.3" customHeight="1">
      <c r="A1182" s="754" t="s">
        <v>4448</v>
      </c>
      <c r="B1182" s="733" t="s">
        <v>5914</v>
      </c>
      <c r="C1182" s="731" t="s">
        <v>2680</v>
      </c>
      <c r="D1182" s="752" t="s">
        <v>3452</v>
      </c>
      <c r="E1182" s="754">
        <v>0</v>
      </c>
    </row>
    <row r="1183" spans="1:5" ht="16.3" customHeight="1">
      <c r="A1183" s="754" t="s">
        <v>4448</v>
      </c>
      <c r="B1183" s="733" t="s">
        <v>5914</v>
      </c>
      <c r="C1183" s="731" t="s">
        <v>2680</v>
      </c>
      <c r="D1183" s="752" t="s">
        <v>3452</v>
      </c>
      <c r="E1183" s="754">
        <v>0</v>
      </c>
    </row>
    <row r="1184" spans="1:5" ht="16.3" customHeight="1">
      <c r="A1184" s="754" t="s">
        <v>4448</v>
      </c>
      <c r="B1184" s="758" t="s">
        <v>5913</v>
      </c>
      <c r="C1184" s="731" t="s">
        <v>3354</v>
      </c>
      <c r="D1184" s="752" t="s">
        <v>5850</v>
      </c>
      <c r="E1184" s="754">
        <v>0</v>
      </c>
    </row>
    <row r="1185" spans="1:5" ht="16.3" customHeight="1">
      <c r="A1185" s="754" t="s">
        <v>4448</v>
      </c>
      <c r="B1185" s="758" t="s">
        <v>5913</v>
      </c>
      <c r="C1185" s="731" t="s">
        <v>3355</v>
      </c>
      <c r="D1185" s="752" t="s">
        <v>5850</v>
      </c>
      <c r="E1185" s="754">
        <v>0</v>
      </c>
    </row>
    <row r="1186" spans="1:5" ht="16.3" customHeight="1">
      <c r="A1186" s="754" t="s">
        <v>4448</v>
      </c>
      <c r="B1186" s="758" t="s">
        <v>5913</v>
      </c>
      <c r="C1186" s="731" t="s">
        <v>3356</v>
      </c>
      <c r="D1186" s="752" t="s">
        <v>5850</v>
      </c>
      <c r="E1186" s="754">
        <v>0</v>
      </c>
    </row>
    <row r="1187" spans="1:5" ht="16.3" customHeight="1">
      <c r="A1187" s="754" t="s">
        <v>4448</v>
      </c>
      <c r="B1187" s="758" t="s">
        <v>5913</v>
      </c>
      <c r="C1187" s="731" t="s">
        <v>3357</v>
      </c>
      <c r="D1187" s="752" t="s">
        <v>5850</v>
      </c>
      <c r="E1187" s="754">
        <v>0</v>
      </c>
    </row>
    <row r="1188" spans="1:5" ht="16.3" customHeight="1">
      <c r="A1188" s="754" t="s">
        <v>4448</v>
      </c>
      <c r="B1188" s="758" t="s">
        <v>5913</v>
      </c>
      <c r="C1188" s="731" t="s">
        <v>3358</v>
      </c>
      <c r="D1188" s="752" t="s">
        <v>5850</v>
      </c>
      <c r="E1188" s="754">
        <v>0</v>
      </c>
    </row>
    <row r="1189" spans="1:5" ht="16.3" customHeight="1">
      <c r="A1189" s="754" t="s">
        <v>4448</v>
      </c>
      <c r="B1189" s="758" t="s">
        <v>5913</v>
      </c>
      <c r="C1189" s="731" t="s">
        <v>3359</v>
      </c>
      <c r="D1189" s="752" t="s">
        <v>5850</v>
      </c>
      <c r="E1189" s="754">
        <v>0</v>
      </c>
    </row>
    <row r="1190" spans="1:5" ht="16.3" customHeight="1">
      <c r="A1190" s="754" t="s">
        <v>4448</v>
      </c>
      <c r="B1190" s="758" t="s">
        <v>5913</v>
      </c>
      <c r="C1190" s="731" t="s">
        <v>3360</v>
      </c>
      <c r="D1190" s="752" t="s">
        <v>5850</v>
      </c>
      <c r="E1190" s="754">
        <v>0</v>
      </c>
    </row>
    <row r="1191" spans="1:5" ht="16.3" customHeight="1">
      <c r="A1191" s="754" t="s">
        <v>4448</v>
      </c>
      <c r="B1191" s="758" t="s">
        <v>5913</v>
      </c>
      <c r="C1191" s="731" t="s">
        <v>3361</v>
      </c>
      <c r="D1191" s="752" t="s">
        <v>5850</v>
      </c>
      <c r="E1191" s="754">
        <v>0</v>
      </c>
    </row>
    <row r="1192" spans="1:5" ht="16.3" customHeight="1">
      <c r="A1192" s="754" t="s">
        <v>4448</v>
      </c>
      <c r="B1192" s="758" t="s">
        <v>5913</v>
      </c>
      <c r="C1192" s="731" t="s">
        <v>3362</v>
      </c>
      <c r="D1192" s="752" t="s">
        <v>5850</v>
      </c>
      <c r="E1192" s="754">
        <v>0</v>
      </c>
    </row>
    <row r="1193" spans="1:5" ht="16.3" customHeight="1">
      <c r="A1193" s="754" t="s">
        <v>4448</v>
      </c>
      <c r="B1193" s="758" t="s">
        <v>5913</v>
      </c>
      <c r="C1193" s="731" t="s">
        <v>3363</v>
      </c>
      <c r="D1193" s="752" t="s">
        <v>5850</v>
      </c>
      <c r="E1193" s="754">
        <v>0</v>
      </c>
    </row>
    <row r="1194" spans="1:5" ht="16.3" customHeight="1">
      <c r="A1194" s="754" t="s">
        <v>4448</v>
      </c>
      <c r="B1194" s="759" t="s">
        <v>5915</v>
      </c>
      <c r="C1194" s="731" t="s">
        <v>2680</v>
      </c>
      <c r="D1194" s="752" t="s">
        <v>5851</v>
      </c>
      <c r="E1194" s="754">
        <v>0</v>
      </c>
    </row>
    <row r="1195" spans="1:5" ht="16.3" customHeight="1">
      <c r="A1195" s="754" t="s">
        <v>4448</v>
      </c>
      <c r="B1195" s="759" t="s">
        <v>5915</v>
      </c>
      <c r="C1195" s="731" t="s">
        <v>2680</v>
      </c>
      <c r="D1195" s="752" t="s">
        <v>5851</v>
      </c>
      <c r="E1195" s="754">
        <v>0</v>
      </c>
    </row>
    <row r="1196" spans="1:5" ht="16.3" customHeight="1">
      <c r="A1196" s="754" t="s">
        <v>4448</v>
      </c>
      <c r="B1196" s="759" t="s">
        <v>5915</v>
      </c>
      <c r="C1196" s="731" t="s">
        <v>2680</v>
      </c>
      <c r="D1196" s="752" t="s">
        <v>5851</v>
      </c>
      <c r="E1196" s="754">
        <v>0</v>
      </c>
    </row>
    <row r="1197" spans="1:5" ht="16.3" customHeight="1">
      <c r="A1197" s="754" t="s">
        <v>4448</v>
      </c>
      <c r="B1197" s="759" t="s">
        <v>5915</v>
      </c>
      <c r="C1197" s="731" t="s">
        <v>2680</v>
      </c>
      <c r="D1197" s="752" t="s">
        <v>5851</v>
      </c>
      <c r="E1197" s="754">
        <v>0</v>
      </c>
    </row>
    <row r="1198" spans="1:5" ht="16.3" customHeight="1">
      <c r="A1198" s="754" t="s">
        <v>4448</v>
      </c>
      <c r="B1198" s="759" t="s">
        <v>5915</v>
      </c>
      <c r="C1198" s="731" t="s">
        <v>3364</v>
      </c>
      <c r="D1198" s="752" t="s">
        <v>5851</v>
      </c>
      <c r="E1198" s="754">
        <v>0</v>
      </c>
    </row>
    <row r="1199" spans="1:5" ht="16.3" customHeight="1">
      <c r="A1199" s="754" t="s">
        <v>4448</v>
      </c>
      <c r="B1199" s="759" t="s">
        <v>5915</v>
      </c>
      <c r="C1199" s="731" t="s">
        <v>3365</v>
      </c>
      <c r="D1199" s="752" t="s">
        <v>5851</v>
      </c>
      <c r="E1199" s="754">
        <v>0</v>
      </c>
    </row>
    <row r="1200" spans="1:5" ht="16.3" customHeight="1">
      <c r="A1200" s="754" t="s">
        <v>4448</v>
      </c>
      <c r="B1200" s="759" t="s">
        <v>5915</v>
      </c>
      <c r="C1200" s="731" t="s">
        <v>3366</v>
      </c>
      <c r="D1200" s="752" t="s">
        <v>5851</v>
      </c>
      <c r="E1200" s="754">
        <v>0</v>
      </c>
    </row>
    <row r="1201" spans="1:5" ht="16.3" customHeight="1">
      <c r="A1201" s="754" t="s">
        <v>4448</v>
      </c>
      <c r="B1201" s="759" t="s">
        <v>5915</v>
      </c>
      <c r="C1201" s="731" t="s">
        <v>3367</v>
      </c>
      <c r="D1201" s="752" t="s">
        <v>5851</v>
      </c>
      <c r="E1201" s="754">
        <v>0</v>
      </c>
    </row>
    <row r="1202" spans="1:5" ht="16.3" customHeight="1">
      <c r="A1202" s="754" t="s">
        <v>4448</v>
      </c>
      <c r="B1202" s="759" t="s">
        <v>5915</v>
      </c>
      <c r="C1202" s="731" t="s">
        <v>3368</v>
      </c>
      <c r="D1202" s="752" t="s">
        <v>5851</v>
      </c>
      <c r="E1202" s="754">
        <v>0</v>
      </c>
    </row>
    <row r="1203" spans="1:5" ht="16.3" customHeight="1">
      <c r="A1203" s="754" t="s">
        <v>4448</v>
      </c>
      <c r="B1203" s="759" t="s">
        <v>5915</v>
      </c>
      <c r="C1203" s="731" t="s">
        <v>3369</v>
      </c>
      <c r="D1203" s="752" t="s">
        <v>5851</v>
      </c>
      <c r="E1203" s="754">
        <v>0</v>
      </c>
    </row>
    <row r="1204" spans="1:5" ht="16.3" customHeight="1">
      <c r="A1204" s="754" t="s">
        <v>4448</v>
      </c>
      <c r="B1204" s="767" t="s">
        <v>5916</v>
      </c>
      <c r="C1204" s="731" t="s">
        <v>3370</v>
      </c>
      <c r="D1204" s="752" t="s">
        <v>5852</v>
      </c>
      <c r="E1204" s="754">
        <v>0</v>
      </c>
    </row>
    <row r="1205" spans="1:5" ht="16.3" customHeight="1">
      <c r="A1205" s="754" t="s">
        <v>4448</v>
      </c>
      <c r="B1205" s="767" t="s">
        <v>5916</v>
      </c>
      <c r="C1205" s="731" t="s">
        <v>3371</v>
      </c>
      <c r="D1205" s="752" t="s">
        <v>5852</v>
      </c>
      <c r="E1205" s="754">
        <v>0</v>
      </c>
    </row>
    <row r="1206" spans="1:5" ht="16.3" customHeight="1">
      <c r="A1206" s="754" t="s">
        <v>4448</v>
      </c>
      <c r="B1206" s="767" t="s">
        <v>5916</v>
      </c>
      <c r="C1206" s="731" t="s">
        <v>3372</v>
      </c>
      <c r="D1206" s="752" t="s">
        <v>5852</v>
      </c>
      <c r="E1206" s="754">
        <v>0</v>
      </c>
    </row>
    <row r="1207" spans="1:5" ht="16.3" customHeight="1">
      <c r="A1207" s="754" t="s">
        <v>4448</v>
      </c>
      <c r="B1207" s="767" t="s">
        <v>5916</v>
      </c>
      <c r="C1207" s="731" t="s">
        <v>3373</v>
      </c>
      <c r="D1207" s="752" t="s">
        <v>5852</v>
      </c>
      <c r="E1207" s="754">
        <v>0</v>
      </c>
    </row>
    <row r="1208" spans="1:5" ht="16.3" customHeight="1">
      <c r="A1208" s="754" t="s">
        <v>4448</v>
      </c>
      <c r="B1208" s="767" t="s">
        <v>5916</v>
      </c>
      <c r="C1208" s="731" t="s">
        <v>3374</v>
      </c>
      <c r="D1208" s="752" t="s">
        <v>5852</v>
      </c>
      <c r="E1208" s="754">
        <v>0</v>
      </c>
    </row>
    <row r="1209" spans="1:5" ht="16.3" customHeight="1">
      <c r="A1209" s="754" t="s">
        <v>4448</v>
      </c>
      <c r="B1209" s="767" t="s">
        <v>5916</v>
      </c>
      <c r="C1209" s="731" t="s">
        <v>3375</v>
      </c>
      <c r="D1209" s="752" t="s">
        <v>5852</v>
      </c>
      <c r="E1209" s="754">
        <v>0</v>
      </c>
    </row>
    <row r="1210" spans="1:5" ht="16.3" customHeight="1">
      <c r="A1210" s="754" t="s">
        <v>4448</v>
      </c>
      <c r="B1210" s="767" t="s">
        <v>5916</v>
      </c>
      <c r="C1210" s="731" t="s">
        <v>3376</v>
      </c>
      <c r="D1210" s="752" t="s">
        <v>5852</v>
      </c>
      <c r="E1210" s="754">
        <v>0</v>
      </c>
    </row>
    <row r="1211" spans="1:5" ht="16.3" customHeight="1">
      <c r="A1211" s="754" t="s">
        <v>4448</v>
      </c>
      <c r="B1211" s="767" t="s">
        <v>5916</v>
      </c>
      <c r="C1211" s="731" t="s">
        <v>3377</v>
      </c>
      <c r="D1211" s="752" t="s">
        <v>5852</v>
      </c>
      <c r="E1211" s="754">
        <v>0</v>
      </c>
    </row>
    <row r="1212" spans="1:5" ht="16.3" customHeight="1">
      <c r="A1212" s="754" t="s">
        <v>4448</v>
      </c>
      <c r="B1212" s="767" t="s">
        <v>5916</v>
      </c>
      <c r="C1212" s="731" t="s">
        <v>3378</v>
      </c>
      <c r="D1212" s="752" t="s">
        <v>5852</v>
      </c>
      <c r="E1212" s="754">
        <v>0</v>
      </c>
    </row>
    <row r="1213" spans="1:5" ht="16.3" customHeight="1">
      <c r="A1213" s="754" t="s">
        <v>4448</v>
      </c>
      <c r="B1213" s="767" t="s">
        <v>5916</v>
      </c>
      <c r="C1213" s="731" t="s">
        <v>2680</v>
      </c>
      <c r="D1213" s="752" t="s">
        <v>5852</v>
      </c>
      <c r="E1213" s="754">
        <v>0</v>
      </c>
    </row>
    <row r="1214" spans="1:5" ht="16.3" customHeight="1">
      <c r="A1214" s="754" t="s">
        <v>4448</v>
      </c>
      <c r="B1214" s="761" t="s">
        <v>5917</v>
      </c>
      <c r="C1214" s="731" t="s">
        <v>2680</v>
      </c>
      <c r="D1214" s="752" t="s">
        <v>5853</v>
      </c>
      <c r="E1214" s="754">
        <v>0</v>
      </c>
    </row>
    <row r="1215" spans="1:5" ht="16.3" customHeight="1">
      <c r="A1215" s="754" t="s">
        <v>4448</v>
      </c>
      <c r="B1215" s="761" t="s">
        <v>5917</v>
      </c>
      <c r="C1215" s="731" t="s">
        <v>3379</v>
      </c>
      <c r="D1215" s="752" t="s">
        <v>5853</v>
      </c>
      <c r="E1215" s="754">
        <v>0</v>
      </c>
    </row>
    <row r="1216" spans="1:5" ht="16.3" customHeight="1">
      <c r="A1216" s="754" t="s">
        <v>4448</v>
      </c>
      <c r="B1216" s="761" t="s">
        <v>5917</v>
      </c>
      <c r="C1216" s="731" t="s">
        <v>3380</v>
      </c>
      <c r="D1216" s="752" t="s">
        <v>5853</v>
      </c>
      <c r="E1216" s="754">
        <v>0</v>
      </c>
    </row>
    <row r="1217" spans="1:5" ht="16.3" customHeight="1">
      <c r="A1217" s="754" t="s">
        <v>4448</v>
      </c>
      <c r="B1217" s="761" t="s">
        <v>5917</v>
      </c>
      <c r="C1217" s="731" t="s">
        <v>3381</v>
      </c>
      <c r="D1217" s="752" t="s">
        <v>5853</v>
      </c>
      <c r="E1217" s="754">
        <v>0</v>
      </c>
    </row>
    <row r="1218" spans="1:5" ht="16.3" customHeight="1">
      <c r="A1218" s="754" t="s">
        <v>4448</v>
      </c>
      <c r="B1218" s="761" t="s">
        <v>5917</v>
      </c>
      <c r="C1218" s="731" t="s">
        <v>3382</v>
      </c>
      <c r="D1218" s="752" t="s">
        <v>5853</v>
      </c>
      <c r="E1218" s="754">
        <v>0</v>
      </c>
    </row>
    <row r="1219" spans="1:5" ht="16.3" customHeight="1">
      <c r="A1219" s="754" t="s">
        <v>4448</v>
      </c>
      <c r="B1219" s="767" t="s">
        <v>5916</v>
      </c>
      <c r="C1219" s="731" t="s">
        <v>3386</v>
      </c>
      <c r="D1219" s="752" t="s">
        <v>5855</v>
      </c>
      <c r="E1219" s="754">
        <v>1</v>
      </c>
    </row>
    <row r="1220" spans="1:5" ht="16.3" customHeight="1">
      <c r="A1220" s="754" t="s">
        <v>4448</v>
      </c>
      <c r="B1220" s="767" t="s">
        <v>5916</v>
      </c>
      <c r="C1220" s="731" t="s">
        <v>3387</v>
      </c>
      <c r="D1220" s="752" t="s">
        <v>5855</v>
      </c>
      <c r="E1220" s="754">
        <v>1</v>
      </c>
    </row>
    <row r="1221" spans="1:5" ht="16.3" customHeight="1">
      <c r="A1221" s="754" t="s">
        <v>4448</v>
      </c>
      <c r="B1221" s="767" t="s">
        <v>5916</v>
      </c>
      <c r="C1221" s="731" t="s">
        <v>3388</v>
      </c>
      <c r="D1221" s="752" t="s">
        <v>5855</v>
      </c>
      <c r="E1221" s="754">
        <v>1</v>
      </c>
    </row>
    <row r="1222" spans="1:5" ht="16.3" customHeight="1">
      <c r="A1222" s="754" t="s">
        <v>4448</v>
      </c>
      <c r="B1222" s="767" t="s">
        <v>5916</v>
      </c>
      <c r="C1222" s="731" t="s">
        <v>3389</v>
      </c>
      <c r="D1222" s="752" t="s">
        <v>5855</v>
      </c>
      <c r="E1222" s="754">
        <v>1</v>
      </c>
    </row>
    <row r="1223" spans="1:5" ht="16.3" customHeight="1">
      <c r="A1223" s="754" t="s">
        <v>4448</v>
      </c>
      <c r="B1223" s="767" t="s">
        <v>5916</v>
      </c>
      <c r="C1223" s="731" t="s">
        <v>3390</v>
      </c>
      <c r="D1223" s="752" t="s">
        <v>5855</v>
      </c>
      <c r="E1223" s="754">
        <v>1</v>
      </c>
    </row>
    <row r="1224" spans="1:5" ht="16.3" customHeight="1">
      <c r="A1224" s="754" t="s">
        <v>4448</v>
      </c>
      <c r="B1224" s="767" t="s">
        <v>5916</v>
      </c>
      <c r="C1224" s="731" t="s">
        <v>3391</v>
      </c>
      <c r="D1224" s="752" t="s">
        <v>5855</v>
      </c>
      <c r="E1224" s="754">
        <v>1</v>
      </c>
    </row>
    <row r="1225" spans="1:5" ht="16.3" customHeight="1">
      <c r="A1225" s="754" t="s">
        <v>4448</v>
      </c>
      <c r="B1225" s="767" t="s">
        <v>5916</v>
      </c>
      <c r="C1225" s="731" t="s">
        <v>3392</v>
      </c>
      <c r="D1225" s="752" t="s">
        <v>5855</v>
      </c>
      <c r="E1225" s="754">
        <v>1</v>
      </c>
    </row>
    <row r="1226" spans="1:5" ht="16.3" customHeight="1">
      <c r="A1226" s="754" t="s">
        <v>4448</v>
      </c>
      <c r="B1226" s="767" t="s">
        <v>5916</v>
      </c>
      <c r="C1226" s="731" t="s">
        <v>3393</v>
      </c>
      <c r="D1226" s="752" t="s">
        <v>5855</v>
      </c>
      <c r="E1226" s="754">
        <v>1</v>
      </c>
    </row>
    <row r="1227" spans="1:5" ht="16.3" customHeight="1">
      <c r="A1227" s="754" t="s">
        <v>4448</v>
      </c>
      <c r="B1227" s="767" t="s">
        <v>5916</v>
      </c>
      <c r="C1227" s="731" t="s">
        <v>3394</v>
      </c>
      <c r="D1227" s="752" t="s">
        <v>5855</v>
      </c>
      <c r="E1227" s="754">
        <v>1</v>
      </c>
    </row>
    <row r="1228" spans="1:5" ht="16.3" customHeight="1">
      <c r="A1228" s="754" t="s">
        <v>4448</v>
      </c>
      <c r="B1228" s="767" t="s">
        <v>5916</v>
      </c>
      <c r="C1228" s="731" t="s">
        <v>3395</v>
      </c>
      <c r="D1228" s="752" t="s">
        <v>5855</v>
      </c>
      <c r="E1228" s="754">
        <v>1</v>
      </c>
    </row>
    <row r="1229" spans="1:5" ht="16.3" customHeight="1">
      <c r="A1229" s="754" t="s">
        <v>4448</v>
      </c>
      <c r="B1229" s="767" t="s">
        <v>5916</v>
      </c>
      <c r="C1229" s="731" t="s">
        <v>3396</v>
      </c>
      <c r="D1229" s="752" t="s">
        <v>5855</v>
      </c>
      <c r="E1229" s="754">
        <v>1</v>
      </c>
    </row>
    <row r="1230" spans="1:5" ht="16.3" customHeight="1">
      <c r="A1230" s="754" t="s">
        <v>4448</v>
      </c>
      <c r="B1230" s="767" t="s">
        <v>5916</v>
      </c>
      <c r="C1230" s="731" t="s">
        <v>3397</v>
      </c>
      <c r="D1230" s="752" t="s">
        <v>5855</v>
      </c>
      <c r="E1230" s="754">
        <v>1</v>
      </c>
    </row>
    <row r="1231" spans="1:5" ht="16.3" customHeight="1">
      <c r="A1231" s="754" t="s">
        <v>4448</v>
      </c>
      <c r="B1231" s="767" t="s">
        <v>5916</v>
      </c>
      <c r="C1231" s="731" t="s">
        <v>3398</v>
      </c>
      <c r="D1231" s="752" t="s">
        <v>5855</v>
      </c>
      <c r="E1231" s="754">
        <v>1</v>
      </c>
    </row>
    <row r="1232" spans="1:5" ht="16.3" customHeight="1">
      <c r="A1232" s="754" t="s">
        <v>4448</v>
      </c>
      <c r="B1232" s="767" t="s">
        <v>5916</v>
      </c>
      <c r="C1232" s="736" t="s">
        <v>3399</v>
      </c>
      <c r="D1232" s="752" t="s">
        <v>5855</v>
      </c>
      <c r="E1232" s="754">
        <v>1</v>
      </c>
    </row>
    <row r="1233" spans="1:5" ht="16.3" customHeight="1">
      <c r="A1233" s="754" t="s">
        <v>4448</v>
      </c>
      <c r="B1233" s="767" t="s">
        <v>5916</v>
      </c>
      <c r="C1233" s="736" t="s">
        <v>3400</v>
      </c>
      <c r="D1233" s="752" t="s">
        <v>5855</v>
      </c>
      <c r="E1233" s="754">
        <v>1</v>
      </c>
    </row>
    <row r="1234" spans="1:5" ht="16.3" customHeight="1">
      <c r="A1234" s="754" t="s">
        <v>4448</v>
      </c>
      <c r="B1234" s="767" t="s">
        <v>5916</v>
      </c>
      <c r="C1234" s="736" t="s">
        <v>3401</v>
      </c>
      <c r="D1234" s="752" t="s">
        <v>5855</v>
      </c>
      <c r="E1234" s="754">
        <v>1</v>
      </c>
    </row>
    <row r="1235" spans="1:5" ht="16.3" customHeight="1">
      <c r="A1235" s="754" t="s">
        <v>4448</v>
      </c>
      <c r="B1235" s="767" t="s">
        <v>5916</v>
      </c>
      <c r="C1235" s="736" t="s">
        <v>3402</v>
      </c>
      <c r="D1235" s="752" t="s">
        <v>5855</v>
      </c>
      <c r="E1235" s="754">
        <v>1</v>
      </c>
    </row>
    <row r="1236" spans="1:5" ht="16.3" customHeight="1">
      <c r="A1236" s="754" t="s">
        <v>4448</v>
      </c>
      <c r="B1236" s="767" t="s">
        <v>5916</v>
      </c>
      <c r="C1236" s="736" t="s">
        <v>3403</v>
      </c>
      <c r="D1236" s="752" t="s">
        <v>5855</v>
      </c>
      <c r="E1236" s="754">
        <v>1</v>
      </c>
    </row>
    <row r="1237" spans="1:5" ht="16.3" customHeight="1">
      <c r="A1237" s="754" t="s">
        <v>4448</v>
      </c>
      <c r="B1237" s="767" t="s">
        <v>5916</v>
      </c>
      <c r="C1237" s="736" t="s">
        <v>3404</v>
      </c>
      <c r="D1237" s="752" t="s">
        <v>5855</v>
      </c>
      <c r="E1237" s="754">
        <v>1</v>
      </c>
    </row>
    <row r="1238" spans="1:5" ht="16.3" customHeight="1">
      <c r="A1238" s="754" t="s">
        <v>4448</v>
      </c>
      <c r="B1238" s="767" t="s">
        <v>5916</v>
      </c>
      <c r="C1238" s="736" t="s">
        <v>3405</v>
      </c>
      <c r="D1238" s="752" t="s">
        <v>5855</v>
      </c>
      <c r="E1238" s="754">
        <v>1</v>
      </c>
    </row>
    <row r="1239" spans="1:5" ht="16.3" customHeight="1">
      <c r="A1239" s="754" t="s">
        <v>4448</v>
      </c>
      <c r="B1239" s="767" t="s">
        <v>5916</v>
      </c>
      <c r="C1239" s="736" t="s">
        <v>3406</v>
      </c>
      <c r="D1239" s="752" t="s">
        <v>5855</v>
      </c>
      <c r="E1239" s="754">
        <v>1</v>
      </c>
    </row>
    <row r="1240" spans="1:5" ht="16.3" customHeight="1">
      <c r="A1240" s="754" t="s">
        <v>4448</v>
      </c>
      <c r="B1240" s="767" t="s">
        <v>5916</v>
      </c>
      <c r="C1240" s="736" t="s">
        <v>3407</v>
      </c>
      <c r="D1240" s="752" t="s">
        <v>5855</v>
      </c>
      <c r="E1240" s="754">
        <v>1</v>
      </c>
    </row>
    <row r="1241" spans="1:5" ht="16.3" customHeight="1">
      <c r="A1241" s="754" t="s">
        <v>4448</v>
      </c>
      <c r="B1241" s="767" t="s">
        <v>5916</v>
      </c>
      <c r="C1241" s="731" t="s">
        <v>3408</v>
      </c>
      <c r="D1241" s="752" t="s">
        <v>5855</v>
      </c>
      <c r="E1241" s="754">
        <v>1</v>
      </c>
    </row>
    <row r="1242" spans="1:5" ht="16.3" customHeight="1">
      <c r="A1242" s="754" t="s">
        <v>4448</v>
      </c>
      <c r="B1242" s="767" t="s">
        <v>5916</v>
      </c>
      <c r="C1242" s="731" t="s">
        <v>3409</v>
      </c>
      <c r="D1242" s="752" t="s">
        <v>5855</v>
      </c>
      <c r="E1242" s="754">
        <v>1</v>
      </c>
    </row>
    <row r="1243" spans="1:5" ht="16.3" customHeight="1">
      <c r="A1243" s="754" t="s">
        <v>4448</v>
      </c>
      <c r="B1243" s="767" t="s">
        <v>5916</v>
      </c>
      <c r="C1243" s="731" t="s">
        <v>3410</v>
      </c>
      <c r="D1243" s="752" t="s">
        <v>5855</v>
      </c>
      <c r="E1243" s="754">
        <v>1</v>
      </c>
    </row>
    <row r="1244" spans="1:5" ht="16.3" customHeight="1">
      <c r="A1244" s="754" t="s">
        <v>4448</v>
      </c>
      <c r="B1244" s="767" t="s">
        <v>5916</v>
      </c>
      <c r="C1244" s="731" t="s">
        <v>3411</v>
      </c>
      <c r="D1244" s="752" t="s">
        <v>5855</v>
      </c>
      <c r="E1244" s="754">
        <v>1</v>
      </c>
    </row>
    <row r="1245" spans="1:5" ht="16.3" customHeight="1">
      <c r="A1245" s="754" t="s">
        <v>4448</v>
      </c>
      <c r="B1245" s="767" t="s">
        <v>5916</v>
      </c>
      <c r="C1245" s="731" t="s">
        <v>3412</v>
      </c>
      <c r="D1245" s="752" t="s">
        <v>5855</v>
      </c>
      <c r="E1245" s="754">
        <v>1</v>
      </c>
    </row>
    <row r="1246" spans="1:5" ht="16.3" customHeight="1">
      <c r="A1246" s="754" t="s">
        <v>4448</v>
      </c>
      <c r="B1246" s="767" t="s">
        <v>5916</v>
      </c>
      <c r="C1246" s="731" t="s">
        <v>3413</v>
      </c>
      <c r="D1246" s="752" t="s">
        <v>5855</v>
      </c>
      <c r="E1246" s="754">
        <v>1</v>
      </c>
    </row>
    <row r="1247" spans="1:5" ht="16.3" customHeight="1">
      <c r="A1247" s="754" t="s">
        <v>4448</v>
      </c>
      <c r="B1247" s="767" t="s">
        <v>5916</v>
      </c>
      <c r="C1247" s="731" t="s">
        <v>3414</v>
      </c>
      <c r="D1247" s="752" t="s">
        <v>5855</v>
      </c>
      <c r="E1247" s="754">
        <v>1</v>
      </c>
    </row>
    <row r="1248" spans="1:5" ht="16.3" customHeight="1">
      <c r="A1248" s="754" t="s">
        <v>4448</v>
      </c>
      <c r="B1248" s="767" t="s">
        <v>5916</v>
      </c>
      <c r="C1248" s="731" t="s">
        <v>3415</v>
      </c>
      <c r="D1248" s="752" t="s">
        <v>5855</v>
      </c>
      <c r="E1248" s="754">
        <v>1</v>
      </c>
    </row>
    <row r="1249" spans="1:5" ht="16.3" customHeight="1">
      <c r="A1249" s="754" t="s">
        <v>4448</v>
      </c>
      <c r="B1249" s="767" t="s">
        <v>5916</v>
      </c>
      <c r="C1249" s="736" t="s">
        <v>3416</v>
      </c>
      <c r="D1249" s="752" t="s">
        <v>5855</v>
      </c>
      <c r="E1249" s="754">
        <v>1</v>
      </c>
    </row>
    <row r="1250" spans="1:5" ht="16.3" customHeight="1">
      <c r="A1250" s="754" t="s">
        <v>4448</v>
      </c>
      <c r="B1250" s="767" t="s">
        <v>5916</v>
      </c>
      <c r="C1250" s="731" t="s">
        <v>3417</v>
      </c>
      <c r="D1250" s="752" t="s">
        <v>5855</v>
      </c>
      <c r="E1250" s="754">
        <v>1</v>
      </c>
    </row>
    <row r="1251" spans="1:5" ht="16.3" customHeight="1">
      <c r="A1251" s="754" t="s">
        <v>4448</v>
      </c>
      <c r="B1251" s="767" t="s">
        <v>5916</v>
      </c>
      <c r="C1251" s="731" t="s">
        <v>3418</v>
      </c>
      <c r="D1251" s="752" t="s">
        <v>5855</v>
      </c>
      <c r="E1251" s="754">
        <v>1</v>
      </c>
    </row>
    <row r="1252" spans="1:5" ht="16.3" customHeight="1">
      <c r="A1252" s="754" t="s">
        <v>4448</v>
      </c>
      <c r="B1252" s="767" t="s">
        <v>5916</v>
      </c>
      <c r="C1252" s="731" t="s">
        <v>3419</v>
      </c>
      <c r="D1252" s="752" t="s">
        <v>5855</v>
      </c>
      <c r="E1252" s="754">
        <v>1</v>
      </c>
    </row>
    <row r="1253" spans="1:5" ht="16.3" customHeight="1">
      <c r="A1253" s="754" t="s">
        <v>4448</v>
      </c>
      <c r="B1253" s="767" t="s">
        <v>5916</v>
      </c>
      <c r="C1253" s="731" t="s">
        <v>3420</v>
      </c>
      <c r="D1253" s="752" t="s">
        <v>5855</v>
      </c>
      <c r="E1253" s="754">
        <v>1</v>
      </c>
    </row>
    <row r="1254" spans="1:5" ht="16.3" customHeight="1">
      <c r="A1254" s="754" t="s">
        <v>4448</v>
      </c>
      <c r="B1254" s="767" t="s">
        <v>5916</v>
      </c>
      <c r="C1254" s="731" t="s">
        <v>5817</v>
      </c>
      <c r="D1254" s="752" t="s">
        <v>5855</v>
      </c>
      <c r="E1254" s="754">
        <v>1</v>
      </c>
    </row>
    <row r="1255" spans="1:5" ht="16.3" customHeight="1">
      <c r="A1255" s="754" t="s">
        <v>4448</v>
      </c>
      <c r="B1255" s="767" t="s">
        <v>5916</v>
      </c>
      <c r="C1255" s="731" t="s">
        <v>2680</v>
      </c>
      <c r="D1255" s="752" t="s">
        <v>5855</v>
      </c>
      <c r="E1255" s="754">
        <v>1</v>
      </c>
    </row>
    <row r="1256" spans="1:5" ht="16.3" customHeight="1">
      <c r="A1256" s="754" t="s">
        <v>4448</v>
      </c>
      <c r="B1256" s="767" t="s">
        <v>5916</v>
      </c>
      <c r="C1256" s="731" t="s">
        <v>2680</v>
      </c>
      <c r="D1256" s="752" t="s">
        <v>5855</v>
      </c>
      <c r="E1256" s="754">
        <v>1</v>
      </c>
    </row>
    <row r="1257" spans="1:5" ht="16.3" customHeight="1">
      <c r="A1257" s="754" t="s">
        <v>4448</v>
      </c>
      <c r="B1257" s="767" t="s">
        <v>5916</v>
      </c>
      <c r="C1257" s="731" t="s">
        <v>2680</v>
      </c>
      <c r="D1257" s="752" t="s">
        <v>5855</v>
      </c>
      <c r="E1257" s="754">
        <v>1</v>
      </c>
    </row>
    <row r="1258" spans="1:5" ht="16.3" customHeight="1">
      <c r="A1258" s="754" t="s">
        <v>4448</v>
      </c>
      <c r="B1258" s="767" t="s">
        <v>5916</v>
      </c>
      <c r="C1258" s="731" t="s">
        <v>2680</v>
      </c>
      <c r="D1258" s="752" t="s">
        <v>5855</v>
      </c>
      <c r="E1258" s="754">
        <v>1</v>
      </c>
    </row>
    <row r="1259" spans="1:5" ht="16.3" customHeight="1">
      <c r="A1259" s="754" t="s">
        <v>4448</v>
      </c>
      <c r="B1259" s="761" t="s">
        <v>5917</v>
      </c>
      <c r="C1259" s="736" t="s">
        <v>3421</v>
      </c>
      <c r="D1259" s="752" t="s">
        <v>5856</v>
      </c>
      <c r="E1259" s="754">
        <v>1</v>
      </c>
    </row>
    <row r="1260" spans="1:5" ht="16.3" customHeight="1">
      <c r="A1260" s="754" t="s">
        <v>4448</v>
      </c>
      <c r="B1260" s="761" t="s">
        <v>5917</v>
      </c>
      <c r="C1260" s="731" t="s">
        <v>3422</v>
      </c>
      <c r="D1260" s="752" t="s">
        <v>5856</v>
      </c>
      <c r="E1260" s="754">
        <v>1</v>
      </c>
    </row>
    <row r="1261" spans="1:5" ht="16.3" customHeight="1">
      <c r="A1261" s="754" t="s">
        <v>4448</v>
      </c>
      <c r="B1261" s="761" t="s">
        <v>5917</v>
      </c>
      <c r="C1261" s="731" t="s">
        <v>3423</v>
      </c>
      <c r="D1261" s="752" t="s">
        <v>5856</v>
      </c>
      <c r="E1261" s="754">
        <v>1</v>
      </c>
    </row>
    <row r="1262" spans="1:5" ht="16.3" customHeight="1">
      <c r="A1262" s="754" t="s">
        <v>4448</v>
      </c>
      <c r="B1262" s="761" t="s">
        <v>5917</v>
      </c>
      <c r="C1262" s="731" t="s">
        <v>3424</v>
      </c>
      <c r="D1262" s="752" t="s">
        <v>5856</v>
      </c>
      <c r="E1262" s="754">
        <v>1</v>
      </c>
    </row>
    <row r="1263" spans="1:5" ht="16.3" customHeight="1">
      <c r="A1263" s="754" t="s">
        <v>4448</v>
      </c>
      <c r="B1263" s="761" t="s">
        <v>5917</v>
      </c>
      <c r="C1263" s="731" t="s">
        <v>3425</v>
      </c>
      <c r="D1263" s="752" t="s">
        <v>5856</v>
      </c>
      <c r="E1263" s="754">
        <v>1</v>
      </c>
    </row>
    <row r="1264" spans="1:5" ht="16.3" customHeight="1">
      <c r="A1264" s="754" t="s">
        <v>5857</v>
      </c>
      <c r="B1264" s="761" t="s">
        <v>5917</v>
      </c>
      <c r="C1264" s="731" t="s">
        <v>2680</v>
      </c>
      <c r="D1264" s="752" t="s">
        <v>5856</v>
      </c>
      <c r="E1264" s="754">
        <v>1</v>
      </c>
    </row>
    <row r="1265" spans="1:5" ht="16.3" customHeight="1">
      <c r="A1265" s="754" t="s">
        <v>5857</v>
      </c>
      <c r="B1265" s="761" t="s">
        <v>5917</v>
      </c>
      <c r="C1265" s="731" t="s">
        <v>2680</v>
      </c>
      <c r="D1265" s="752" t="s">
        <v>5856</v>
      </c>
      <c r="E1265" s="754">
        <v>1</v>
      </c>
    </row>
    <row r="1266" spans="1:5" ht="16.3" customHeight="1">
      <c r="A1266" s="754" t="s">
        <v>5857</v>
      </c>
      <c r="B1266" s="761" t="s">
        <v>5917</v>
      </c>
      <c r="C1266" s="731" t="s">
        <v>2680</v>
      </c>
      <c r="D1266" s="752" t="s">
        <v>5856</v>
      </c>
      <c r="E1266" s="754">
        <v>1</v>
      </c>
    </row>
    <row r="1267" spans="1:5" ht="16.3" customHeight="1">
      <c r="A1267" s="754" t="s">
        <v>5857</v>
      </c>
      <c r="B1267" s="732" t="s">
        <v>5912</v>
      </c>
      <c r="C1267" s="756" t="s">
        <v>5858</v>
      </c>
      <c r="D1267" s="752" t="s">
        <v>3443</v>
      </c>
      <c r="E1267" s="754">
        <v>0</v>
      </c>
    </row>
    <row r="1268" spans="1:5" ht="16.3" customHeight="1">
      <c r="A1268" s="754" t="s">
        <v>5857</v>
      </c>
      <c r="B1268" s="757" t="s">
        <v>5914</v>
      </c>
      <c r="C1268" s="756" t="s">
        <v>5859</v>
      </c>
      <c r="D1268" s="752" t="s">
        <v>3449</v>
      </c>
      <c r="E1268" s="754">
        <v>0</v>
      </c>
    </row>
    <row r="1269" spans="1:5" ht="16.3" customHeight="1">
      <c r="A1269" s="754" t="s">
        <v>5857</v>
      </c>
      <c r="B1269" s="757" t="s">
        <v>5914</v>
      </c>
      <c r="C1269" s="773" t="s">
        <v>5969</v>
      </c>
      <c r="D1269" s="752" t="s">
        <v>3449</v>
      </c>
      <c r="E1269" s="754">
        <v>0</v>
      </c>
    </row>
    <row r="1270" spans="1:5" ht="16.3" customHeight="1">
      <c r="A1270" s="754" t="s">
        <v>5857</v>
      </c>
      <c r="B1270" s="758" t="s">
        <v>5913</v>
      </c>
      <c r="C1270" s="756" t="s">
        <v>3445</v>
      </c>
      <c r="D1270" s="752" t="s">
        <v>5860</v>
      </c>
      <c r="E1270" s="754">
        <v>0</v>
      </c>
    </row>
    <row r="1271" spans="1:5" ht="16.3" customHeight="1">
      <c r="A1271" s="754" t="s">
        <v>5857</v>
      </c>
      <c r="B1271" s="758" t="s">
        <v>5913</v>
      </c>
      <c r="C1271" s="756" t="s">
        <v>3446</v>
      </c>
      <c r="D1271" s="752" t="s">
        <v>5860</v>
      </c>
      <c r="E1271" s="754">
        <v>0</v>
      </c>
    </row>
    <row r="1272" spans="1:5" ht="16.3" customHeight="1">
      <c r="A1272" s="754" t="s">
        <v>5857</v>
      </c>
      <c r="B1272" s="759" t="s">
        <v>5915</v>
      </c>
      <c r="C1272" s="756" t="s">
        <v>3448</v>
      </c>
      <c r="D1272" s="752" t="s">
        <v>3486</v>
      </c>
      <c r="E1272" s="754">
        <v>0</v>
      </c>
    </row>
    <row r="1273" spans="1:5" ht="16.3" customHeight="1">
      <c r="A1273" s="754" t="s">
        <v>5857</v>
      </c>
      <c r="B1273" s="759" t="s">
        <v>5915</v>
      </c>
      <c r="C1273" s="756" t="s">
        <v>2680</v>
      </c>
      <c r="D1273" s="752" t="s">
        <v>3486</v>
      </c>
      <c r="E1273" s="754">
        <v>0</v>
      </c>
    </row>
    <row r="1274" spans="1:5" ht="16.3" customHeight="1">
      <c r="A1274" s="754" t="s">
        <v>5857</v>
      </c>
      <c r="B1274" s="759" t="s">
        <v>5915</v>
      </c>
      <c r="C1274" s="756" t="s">
        <v>2680</v>
      </c>
      <c r="D1274" s="752" t="s">
        <v>3486</v>
      </c>
      <c r="E1274" s="754">
        <v>0</v>
      </c>
    </row>
    <row r="1275" spans="1:5" ht="16.3" customHeight="1">
      <c r="A1275" s="754" t="s">
        <v>5857</v>
      </c>
      <c r="B1275" s="767" t="s">
        <v>5916</v>
      </c>
      <c r="C1275" s="756" t="s">
        <v>3451</v>
      </c>
      <c r="D1275" s="752" t="s">
        <v>3452</v>
      </c>
      <c r="E1275" s="754">
        <v>0</v>
      </c>
    </row>
    <row r="1276" spans="1:5" ht="16.3" customHeight="1">
      <c r="A1276" s="754" t="s">
        <v>5857</v>
      </c>
      <c r="B1276" s="767" t="s">
        <v>5916</v>
      </c>
      <c r="C1276" s="756" t="s">
        <v>5861</v>
      </c>
      <c r="D1276" s="752" t="s">
        <v>3452</v>
      </c>
      <c r="E1276" s="754">
        <v>0</v>
      </c>
    </row>
    <row r="1277" spans="1:5" ht="16.3" customHeight="1">
      <c r="A1277" s="754" t="s">
        <v>5857</v>
      </c>
      <c r="B1277" s="767" t="s">
        <v>5916</v>
      </c>
      <c r="C1277" s="756" t="s">
        <v>2680</v>
      </c>
      <c r="D1277" s="752" t="s">
        <v>3452</v>
      </c>
      <c r="E1277" s="754">
        <v>0</v>
      </c>
    </row>
    <row r="1278" spans="1:5" ht="16.3" customHeight="1">
      <c r="A1278" s="754" t="s">
        <v>5857</v>
      </c>
      <c r="B1278" s="761" t="s">
        <v>5917</v>
      </c>
      <c r="C1278" s="756" t="s">
        <v>3454</v>
      </c>
      <c r="D1278" s="752" t="s">
        <v>3455</v>
      </c>
      <c r="E1278" s="754">
        <v>0</v>
      </c>
    </row>
    <row r="1279" spans="1:5" ht="16.3" customHeight="1">
      <c r="A1279" s="754" t="s">
        <v>5857</v>
      </c>
      <c r="B1279" s="732" t="s">
        <v>5912</v>
      </c>
      <c r="C1279" s="756" t="s">
        <v>3459</v>
      </c>
      <c r="D1279" s="752" t="s">
        <v>3443</v>
      </c>
      <c r="E1279" s="754">
        <v>0</v>
      </c>
    </row>
    <row r="1280" spans="1:5" ht="16.3" customHeight="1">
      <c r="A1280" s="754" t="s">
        <v>5857</v>
      </c>
      <c r="B1280" s="757" t="s">
        <v>5914</v>
      </c>
      <c r="C1280" s="756" t="s">
        <v>5862</v>
      </c>
      <c r="D1280" s="752" t="s">
        <v>3449</v>
      </c>
      <c r="E1280" s="754">
        <v>0</v>
      </c>
    </row>
    <row r="1281" spans="1:5" ht="16.3" customHeight="1">
      <c r="A1281" s="754" t="s">
        <v>5857</v>
      </c>
      <c r="B1281" s="757" t="s">
        <v>5914</v>
      </c>
      <c r="C1281" s="756" t="s">
        <v>2680</v>
      </c>
      <c r="D1281" s="752" t="s">
        <v>3449</v>
      </c>
      <c r="E1281" s="754">
        <v>0</v>
      </c>
    </row>
    <row r="1282" spans="1:5" ht="16.3" customHeight="1">
      <c r="A1282" s="754" t="s">
        <v>5857</v>
      </c>
      <c r="B1282" s="758" t="s">
        <v>5913</v>
      </c>
      <c r="C1282" s="756" t="s">
        <v>3460</v>
      </c>
      <c r="D1282" s="752" t="s">
        <v>5860</v>
      </c>
      <c r="E1282" s="754">
        <v>0</v>
      </c>
    </row>
    <row r="1283" spans="1:5" ht="16.3" customHeight="1">
      <c r="A1283" s="754" t="s">
        <v>5857</v>
      </c>
      <c r="B1283" s="758" t="s">
        <v>5913</v>
      </c>
      <c r="C1283" s="756" t="s">
        <v>2680</v>
      </c>
      <c r="D1283" s="752" t="s">
        <v>5860</v>
      </c>
      <c r="E1283" s="754">
        <v>0</v>
      </c>
    </row>
    <row r="1284" spans="1:5" ht="16.3" customHeight="1">
      <c r="A1284" s="754" t="s">
        <v>5857</v>
      </c>
      <c r="B1284" s="759" t="s">
        <v>5915</v>
      </c>
      <c r="C1284" s="756" t="s">
        <v>3461</v>
      </c>
      <c r="D1284" s="752" t="s">
        <v>3486</v>
      </c>
      <c r="E1284" s="754">
        <v>0</v>
      </c>
    </row>
    <row r="1285" spans="1:5" ht="16.3" customHeight="1">
      <c r="A1285" s="754" t="s">
        <v>5857</v>
      </c>
      <c r="B1285" s="759" t="s">
        <v>5915</v>
      </c>
      <c r="C1285" s="756" t="s">
        <v>2680</v>
      </c>
      <c r="D1285" s="752" t="s">
        <v>3486</v>
      </c>
      <c r="E1285" s="754">
        <v>0</v>
      </c>
    </row>
    <row r="1286" spans="1:5" ht="16.3" customHeight="1">
      <c r="A1286" s="754" t="s">
        <v>5857</v>
      </c>
      <c r="B1286" s="759" t="s">
        <v>5915</v>
      </c>
      <c r="C1286" s="756" t="s">
        <v>2680</v>
      </c>
      <c r="D1286" s="752" t="s">
        <v>3486</v>
      </c>
      <c r="E1286" s="754">
        <v>0</v>
      </c>
    </row>
    <row r="1287" spans="1:5" ht="16.3" customHeight="1">
      <c r="A1287" s="754" t="s">
        <v>5857</v>
      </c>
      <c r="B1287" s="767" t="s">
        <v>5916</v>
      </c>
      <c r="C1287" s="756" t="s">
        <v>3462</v>
      </c>
      <c r="D1287" s="752" t="s">
        <v>3452</v>
      </c>
      <c r="E1287" s="754">
        <v>0</v>
      </c>
    </row>
    <row r="1288" spans="1:5" ht="16.3" customHeight="1">
      <c r="A1288" s="754" t="s">
        <v>5857</v>
      </c>
      <c r="B1288" s="767" t="s">
        <v>5916</v>
      </c>
      <c r="C1288" s="756" t="s">
        <v>2680</v>
      </c>
      <c r="D1288" s="752" t="s">
        <v>3452</v>
      </c>
      <c r="E1288" s="754">
        <v>0</v>
      </c>
    </row>
    <row r="1289" spans="1:5" ht="16.3" customHeight="1">
      <c r="A1289" s="754" t="s">
        <v>5857</v>
      </c>
      <c r="B1289" s="767" t="s">
        <v>5916</v>
      </c>
      <c r="C1289" s="756" t="s">
        <v>2680</v>
      </c>
      <c r="D1289" s="752" t="s">
        <v>3452</v>
      </c>
      <c r="E1289" s="754">
        <v>0</v>
      </c>
    </row>
    <row r="1290" spans="1:5" ht="16.3" customHeight="1">
      <c r="A1290" s="754" t="s">
        <v>5857</v>
      </c>
      <c r="B1290" s="761" t="s">
        <v>5917</v>
      </c>
      <c r="C1290" s="756" t="s">
        <v>3463</v>
      </c>
      <c r="D1290" s="752" t="s">
        <v>3455</v>
      </c>
      <c r="E1290" s="754">
        <v>0</v>
      </c>
    </row>
    <row r="1291" spans="1:5" ht="16.3" customHeight="1">
      <c r="A1291" s="754" t="s">
        <v>5857</v>
      </c>
      <c r="B1291" s="732" t="s">
        <v>5912</v>
      </c>
      <c r="C1291" s="756" t="s">
        <v>3466</v>
      </c>
      <c r="D1291" s="752" t="s">
        <v>3443</v>
      </c>
      <c r="E1291" s="754">
        <v>0</v>
      </c>
    </row>
    <row r="1292" spans="1:5" ht="16.3" customHeight="1">
      <c r="A1292" s="754" t="s">
        <v>5857</v>
      </c>
      <c r="B1292" s="757" t="s">
        <v>5914</v>
      </c>
      <c r="C1292" s="756" t="s">
        <v>5863</v>
      </c>
      <c r="D1292" s="752" t="s">
        <v>3449</v>
      </c>
      <c r="E1292" s="754">
        <v>0</v>
      </c>
    </row>
    <row r="1293" spans="1:5" ht="16.3" customHeight="1">
      <c r="A1293" s="754" t="s">
        <v>5857</v>
      </c>
      <c r="B1293" s="757" t="s">
        <v>5914</v>
      </c>
      <c r="C1293" s="756" t="s">
        <v>2680</v>
      </c>
      <c r="D1293" s="752" t="s">
        <v>3449</v>
      </c>
      <c r="E1293" s="754">
        <v>0</v>
      </c>
    </row>
    <row r="1294" spans="1:5" ht="16.3" customHeight="1">
      <c r="A1294" s="754" t="s">
        <v>5857</v>
      </c>
      <c r="B1294" s="758" t="s">
        <v>5913</v>
      </c>
      <c r="C1294" s="756" t="s">
        <v>3467</v>
      </c>
      <c r="D1294" s="752" t="s">
        <v>5860</v>
      </c>
      <c r="E1294" s="754">
        <v>0</v>
      </c>
    </row>
    <row r="1295" spans="1:5" ht="16.3" customHeight="1">
      <c r="A1295" s="754" t="s">
        <v>5857</v>
      </c>
      <c r="B1295" s="758" t="s">
        <v>5913</v>
      </c>
      <c r="C1295" s="756" t="s">
        <v>2680</v>
      </c>
      <c r="D1295" s="752" t="s">
        <v>5860</v>
      </c>
      <c r="E1295" s="754">
        <v>0</v>
      </c>
    </row>
    <row r="1296" spans="1:5" ht="16.3" customHeight="1">
      <c r="A1296" s="754" t="s">
        <v>5857</v>
      </c>
      <c r="B1296" s="759" t="s">
        <v>5915</v>
      </c>
      <c r="C1296" s="756" t="s">
        <v>5864</v>
      </c>
      <c r="D1296" s="752" t="s">
        <v>3486</v>
      </c>
      <c r="E1296" s="754">
        <v>0</v>
      </c>
    </row>
    <row r="1297" spans="1:5" ht="16.3" customHeight="1">
      <c r="A1297" s="754" t="s">
        <v>5857</v>
      </c>
      <c r="B1297" s="759" t="s">
        <v>5915</v>
      </c>
      <c r="C1297" s="756" t="s">
        <v>2680</v>
      </c>
      <c r="D1297" s="752" t="s">
        <v>3486</v>
      </c>
      <c r="E1297" s="754">
        <v>0</v>
      </c>
    </row>
    <row r="1298" spans="1:5" ht="16.3" customHeight="1">
      <c r="A1298" s="754" t="s">
        <v>5857</v>
      </c>
      <c r="B1298" s="759" t="s">
        <v>5915</v>
      </c>
      <c r="C1298" s="756" t="s">
        <v>3468</v>
      </c>
      <c r="D1298" s="752" t="s">
        <v>3486</v>
      </c>
      <c r="E1298" s="754">
        <v>0</v>
      </c>
    </row>
    <row r="1299" spans="1:5" ht="16.3" customHeight="1">
      <c r="A1299" s="754" t="s">
        <v>5857</v>
      </c>
      <c r="B1299" s="767" t="s">
        <v>5916</v>
      </c>
      <c r="C1299" s="756" t="s">
        <v>3469</v>
      </c>
      <c r="D1299" s="752" t="s">
        <v>3452</v>
      </c>
      <c r="E1299" s="754">
        <v>0</v>
      </c>
    </row>
    <row r="1300" spans="1:5" ht="16.3" customHeight="1">
      <c r="A1300" s="754" t="s">
        <v>5857</v>
      </c>
      <c r="B1300" s="767" t="s">
        <v>5916</v>
      </c>
      <c r="C1300" s="756" t="s">
        <v>3470</v>
      </c>
      <c r="D1300" s="752" t="s">
        <v>3452</v>
      </c>
      <c r="E1300" s="754">
        <v>0</v>
      </c>
    </row>
    <row r="1301" spans="1:5" ht="16.3" customHeight="1">
      <c r="A1301" s="754" t="s">
        <v>5857</v>
      </c>
      <c r="B1301" s="767" t="s">
        <v>5916</v>
      </c>
      <c r="C1301" s="756" t="s">
        <v>3471</v>
      </c>
      <c r="D1301" s="752" t="s">
        <v>3452</v>
      </c>
      <c r="E1301" s="754">
        <v>0</v>
      </c>
    </row>
    <row r="1302" spans="1:5" ht="16.3" customHeight="1">
      <c r="A1302" s="754" t="s">
        <v>5857</v>
      </c>
      <c r="B1302" s="761" t="s">
        <v>5917</v>
      </c>
      <c r="C1302" s="756" t="s">
        <v>5865</v>
      </c>
      <c r="D1302" s="752" t="s">
        <v>3455</v>
      </c>
      <c r="E1302" s="754">
        <v>0</v>
      </c>
    </row>
    <row r="1303" spans="1:5" ht="16.3" customHeight="1">
      <c r="A1303" s="754" t="s">
        <v>5857</v>
      </c>
      <c r="B1303" s="732" t="s">
        <v>5912</v>
      </c>
      <c r="C1303" s="756" t="s">
        <v>5866</v>
      </c>
      <c r="D1303" s="752" t="s">
        <v>3443</v>
      </c>
      <c r="E1303" s="754">
        <v>0</v>
      </c>
    </row>
    <row r="1304" spans="1:5" ht="16.3" customHeight="1">
      <c r="A1304" s="754" t="s">
        <v>5857</v>
      </c>
      <c r="B1304" s="757" t="s">
        <v>5914</v>
      </c>
      <c r="C1304" s="756" t="s">
        <v>5867</v>
      </c>
      <c r="D1304" s="752" t="s">
        <v>3449</v>
      </c>
      <c r="E1304" s="754">
        <v>0</v>
      </c>
    </row>
    <row r="1305" spans="1:5" ht="16.3" customHeight="1">
      <c r="A1305" s="754" t="s">
        <v>5857</v>
      </c>
      <c r="B1305" s="757" t="s">
        <v>5914</v>
      </c>
      <c r="C1305" s="756" t="s">
        <v>2680</v>
      </c>
      <c r="D1305" s="752" t="s">
        <v>3449</v>
      </c>
      <c r="E1305" s="754">
        <v>0</v>
      </c>
    </row>
    <row r="1306" spans="1:5" ht="16.3" customHeight="1">
      <c r="A1306" s="754" t="s">
        <v>5857</v>
      </c>
      <c r="B1306" s="758" t="s">
        <v>5913</v>
      </c>
      <c r="C1306" s="756" t="s">
        <v>3474</v>
      </c>
      <c r="D1306" s="752" t="s">
        <v>5860</v>
      </c>
      <c r="E1306" s="754">
        <v>0</v>
      </c>
    </row>
    <row r="1307" spans="1:5" ht="16.3" customHeight="1">
      <c r="A1307" s="754" t="s">
        <v>5857</v>
      </c>
      <c r="B1307" s="758" t="s">
        <v>5913</v>
      </c>
      <c r="C1307" s="756" t="s">
        <v>5868</v>
      </c>
      <c r="D1307" s="752" t="s">
        <v>5860</v>
      </c>
      <c r="E1307" s="754">
        <v>0</v>
      </c>
    </row>
    <row r="1308" spans="1:5" ht="16.3" customHeight="1">
      <c r="A1308" s="754" t="s">
        <v>5857</v>
      </c>
      <c r="B1308" s="759" t="s">
        <v>5915</v>
      </c>
      <c r="C1308" s="756" t="s">
        <v>3475</v>
      </c>
      <c r="D1308" s="752" t="s">
        <v>3486</v>
      </c>
      <c r="E1308" s="754">
        <v>0</v>
      </c>
    </row>
    <row r="1309" spans="1:5" ht="16.3" customHeight="1">
      <c r="A1309" s="754" t="s">
        <v>5857</v>
      </c>
      <c r="B1309" s="759" t="s">
        <v>5915</v>
      </c>
      <c r="C1309" s="756" t="s">
        <v>3476</v>
      </c>
      <c r="D1309" s="752" t="s">
        <v>3486</v>
      </c>
      <c r="E1309" s="754">
        <v>0</v>
      </c>
    </row>
    <row r="1310" spans="1:5" ht="16.3" customHeight="1">
      <c r="A1310" s="754" t="s">
        <v>5857</v>
      </c>
      <c r="B1310" s="759" t="s">
        <v>5915</v>
      </c>
      <c r="C1310" s="756" t="s">
        <v>3477</v>
      </c>
      <c r="D1310" s="752" t="s">
        <v>3486</v>
      </c>
      <c r="E1310" s="754">
        <v>0</v>
      </c>
    </row>
    <row r="1311" spans="1:5" ht="16.3" customHeight="1">
      <c r="A1311" s="754" t="s">
        <v>5857</v>
      </c>
      <c r="B1311" s="767" t="s">
        <v>5916</v>
      </c>
      <c r="C1311" s="756" t="s">
        <v>3478</v>
      </c>
      <c r="D1311" s="752" t="s">
        <v>3452</v>
      </c>
      <c r="E1311" s="754">
        <v>0</v>
      </c>
    </row>
    <row r="1312" spans="1:5" ht="16.3" customHeight="1">
      <c r="A1312" s="754" t="s">
        <v>5857</v>
      </c>
      <c r="B1312" s="767" t="s">
        <v>5916</v>
      </c>
      <c r="C1312" s="756" t="s">
        <v>5869</v>
      </c>
      <c r="D1312" s="752" t="s">
        <v>3452</v>
      </c>
      <c r="E1312" s="754">
        <v>0</v>
      </c>
    </row>
    <row r="1313" spans="1:5" ht="16.3" customHeight="1">
      <c r="A1313" s="754" t="s">
        <v>5857</v>
      </c>
      <c r="B1313" s="767" t="s">
        <v>5916</v>
      </c>
      <c r="C1313" s="756" t="s">
        <v>3479</v>
      </c>
      <c r="D1313" s="752" t="s">
        <v>3452</v>
      </c>
      <c r="E1313" s="754">
        <v>0</v>
      </c>
    </row>
    <row r="1314" spans="1:5" ht="16.3" customHeight="1">
      <c r="A1314" s="754" t="s">
        <v>5857</v>
      </c>
      <c r="B1314" s="761" t="s">
        <v>5917</v>
      </c>
      <c r="C1314" s="756" t="s">
        <v>3480</v>
      </c>
      <c r="D1314" s="752" t="s">
        <v>3455</v>
      </c>
      <c r="E1314" s="754">
        <v>0</v>
      </c>
    </row>
    <row r="1315" spans="1:5" ht="16.3" customHeight="1">
      <c r="A1315" s="754" t="s">
        <v>5857</v>
      </c>
      <c r="B1315" s="732" t="s">
        <v>5912</v>
      </c>
      <c r="C1315" s="755" t="s">
        <v>3485</v>
      </c>
      <c r="D1315" s="752" t="s">
        <v>3486</v>
      </c>
      <c r="E1315" s="754">
        <v>0</v>
      </c>
    </row>
    <row r="1316" spans="1:5" ht="16.3" customHeight="1">
      <c r="A1316" s="754" t="s">
        <v>5857</v>
      </c>
      <c r="B1316" s="732" t="s">
        <v>5912</v>
      </c>
      <c r="C1316" s="755" t="s">
        <v>3487</v>
      </c>
      <c r="D1316" s="752" t="s">
        <v>3486</v>
      </c>
      <c r="E1316" s="754">
        <v>0</v>
      </c>
    </row>
    <row r="1317" spans="1:5" ht="16.3" customHeight="1">
      <c r="A1317" s="754" t="s">
        <v>5857</v>
      </c>
      <c r="B1317" s="732" t="s">
        <v>5912</v>
      </c>
      <c r="C1317" s="755" t="s">
        <v>3488</v>
      </c>
      <c r="D1317" s="752" t="s">
        <v>3486</v>
      </c>
      <c r="E1317" s="754">
        <v>0</v>
      </c>
    </row>
    <row r="1318" spans="1:5" ht="16.3" customHeight="1">
      <c r="A1318" s="754" t="s">
        <v>5857</v>
      </c>
      <c r="B1318" s="732" t="s">
        <v>5912</v>
      </c>
      <c r="C1318" s="755" t="s">
        <v>3489</v>
      </c>
      <c r="D1318" s="752" t="s">
        <v>3486</v>
      </c>
      <c r="E1318" s="754">
        <v>0</v>
      </c>
    </row>
    <row r="1319" spans="1:5" ht="16.3" customHeight="1">
      <c r="A1319" s="754" t="s">
        <v>5857</v>
      </c>
      <c r="B1319" s="732" t="s">
        <v>5912</v>
      </c>
      <c r="C1319" s="755" t="s">
        <v>3490</v>
      </c>
      <c r="D1319" s="752" t="s">
        <v>3486</v>
      </c>
      <c r="E1319" s="754">
        <v>0</v>
      </c>
    </row>
    <row r="1320" spans="1:5" ht="16.3" customHeight="1">
      <c r="A1320" s="754" t="s">
        <v>5857</v>
      </c>
      <c r="B1320" s="732" t="s">
        <v>5912</v>
      </c>
      <c r="C1320" s="755" t="s">
        <v>3491</v>
      </c>
      <c r="D1320" s="752" t="s">
        <v>3486</v>
      </c>
      <c r="E1320" s="754">
        <v>0</v>
      </c>
    </row>
    <row r="1321" spans="1:5" ht="16.3" customHeight="1">
      <c r="A1321" s="754" t="s">
        <v>5857</v>
      </c>
      <c r="B1321" s="732" t="s">
        <v>5912</v>
      </c>
      <c r="C1321" s="755" t="s">
        <v>3492</v>
      </c>
      <c r="D1321" s="752" t="s">
        <v>3486</v>
      </c>
      <c r="E1321" s="754">
        <v>0</v>
      </c>
    </row>
    <row r="1322" spans="1:5" ht="16.3" customHeight="1">
      <c r="A1322" s="754" t="s">
        <v>5857</v>
      </c>
      <c r="B1322" s="732" t="s">
        <v>5912</v>
      </c>
      <c r="C1322" s="755" t="s">
        <v>3493</v>
      </c>
      <c r="D1322" s="752" t="s">
        <v>3486</v>
      </c>
      <c r="E1322" s="754">
        <v>0</v>
      </c>
    </row>
    <row r="1323" spans="1:5" ht="16.3" customHeight="1">
      <c r="A1323" s="754" t="s">
        <v>5857</v>
      </c>
      <c r="B1323" s="732" t="s">
        <v>5912</v>
      </c>
      <c r="C1323" s="755" t="s">
        <v>3494</v>
      </c>
      <c r="D1323" s="752" t="s">
        <v>3486</v>
      </c>
      <c r="E1323" s="754">
        <v>0</v>
      </c>
    </row>
    <row r="1324" spans="1:5" ht="16.3" customHeight="1">
      <c r="A1324" s="754" t="s">
        <v>5857</v>
      </c>
      <c r="B1324" s="732" t="s">
        <v>5912</v>
      </c>
      <c r="C1324" s="755" t="s">
        <v>3495</v>
      </c>
      <c r="D1324" s="752" t="s">
        <v>3486</v>
      </c>
      <c r="E1324" s="754">
        <v>0</v>
      </c>
    </row>
    <row r="1325" spans="1:5" ht="16.3" customHeight="1">
      <c r="A1325" s="754" t="s">
        <v>5857</v>
      </c>
      <c r="B1325" s="732" t="s">
        <v>5912</v>
      </c>
      <c r="C1325" s="755" t="s">
        <v>3496</v>
      </c>
      <c r="D1325" s="752" t="s">
        <v>3486</v>
      </c>
      <c r="E1325" s="754">
        <v>0</v>
      </c>
    </row>
    <row r="1326" spans="1:5" ht="16.3" customHeight="1">
      <c r="A1326" s="754" t="s">
        <v>5857</v>
      </c>
      <c r="B1326" s="732" t="s">
        <v>5912</v>
      </c>
      <c r="C1326" s="755" t="s">
        <v>3497</v>
      </c>
      <c r="D1326" s="752" t="s">
        <v>3486</v>
      </c>
      <c r="E1326" s="754">
        <v>0</v>
      </c>
    </row>
    <row r="1327" spans="1:5" ht="16.3" customHeight="1">
      <c r="A1327" s="754" t="s">
        <v>5857</v>
      </c>
      <c r="B1327" s="757" t="s">
        <v>5914</v>
      </c>
      <c r="C1327" s="757" t="s">
        <v>3498</v>
      </c>
      <c r="D1327" s="752" t="s">
        <v>3452</v>
      </c>
      <c r="E1327" s="754">
        <v>0</v>
      </c>
    </row>
    <row r="1328" spans="1:5" ht="16.3" customHeight="1">
      <c r="A1328" s="754" t="s">
        <v>5857</v>
      </c>
      <c r="B1328" s="757" t="s">
        <v>5914</v>
      </c>
      <c r="C1328" s="757" t="s">
        <v>3499</v>
      </c>
      <c r="D1328" s="752" t="s">
        <v>3452</v>
      </c>
      <c r="E1328" s="754">
        <v>0</v>
      </c>
    </row>
    <row r="1329" spans="1:5" ht="16.3" customHeight="1">
      <c r="A1329" s="754" t="s">
        <v>5857</v>
      </c>
      <c r="B1329" s="757" t="s">
        <v>5914</v>
      </c>
      <c r="C1329" s="757" t="s">
        <v>3500</v>
      </c>
      <c r="D1329" s="752" t="s">
        <v>3452</v>
      </c>
      <c r="E1329" s="754">
        <v>0</v>
      </c>
    </row>
    <row r="1330" spans="1:5" ht="16.3" customHeight="1">
      <c r="A1330" s="754" t="s">
        <v>5857</v>
      </c>
      <c r="B1330" s="757" t="s">
        <v>5914</v>
      </c>
      <c r="C1330" s="757" t="s">
        <v>3501</v>
      </c>
      <c r="D1330" s="752" t="s">
        <v>3452</v>
      </c>
      <c r="E1330" s="754">
        <v>0</v>
      </c>
    </row>
    <row r="1331" spans="1:5" ht="16.3" customHeight="1">
      <c r="A1331" s="754" t="s">
        <v>5857</v>
      </c>
      <c r="B1331" s="757" t="s">
        <v>5914</v>
      </c>
      <c r="C1331" s="757" t="s">
        <v>3502</v>
      </c>
      <c r="D1331" s="752" t="s">
        <v>3452</v>
      </c>
      <c r="E1331" s="754">
        <v>0</v>
      </c>
    </row>
    <row r="1332" spans="1:5" ht="16.3" customHeight="1">
      <c r="A1332" s="754" t="s">
        <v>5857</v>
      </c>
      <c r="B1332" s="757" t="s">
        <v>5914</v>
      </c>
      <c r="C1332" s="757" t="s">
        <v>3503</v>
      </c>
      <c r="D1332" s="752" t="s">
        <v>3452</v>
      </c>
      <c r="E1332" s="754">
        <v>0</v>
      </c>
    </row>
    <row r="1333" spans="1:5" ht="16.3" customHeight="1">
      <c r="A1333" s="754" t="s">
        <v>5857</v>
      </c>
      <c r="B1333" s="757" t="s">
        <v>5914</v>
      </c>
      <c r="C1333" s="757" t="s">
        <v>3504</v>
      </c>
      <c r="D1333" s="752" t="s">
        <v>3452</v>
      </c>
      <c r="E1333" s="754">
        <v>0</v>
      </c>
    </row>
    <row r="1334" spans="1:5" ht="16.3" customHeight="1">
      <c r="A1334" s="754" t="s">
        <v>5857</v>
      </c>
      <c r="B1334" s="757" t="s">
        <v>5914</v>
      </c>
      <c r="C1334" s="757" t="s">
        <v>3505</v>
      </c>
      <c r="D1334" s="752" t="s">
        <v>3452</v>
      </c>
      <c r="E1334" s="754">
        <v>0</v>
      </c>
    </row>
    <row r="1335" spans="1:5" ht="16.3" customHeight="1">
      <c r="A1335" s="754" t="s">
        <v>5857</v>
      </c>
      <c r="B1335" s="757" t="s">
        <v>5914</v>
      </c>
      <c r="C1335" s="757" t="s">
        <v>3506</v>
      </c>
      <c r="D1335" s="752" t="s">
        <v>3452</v>
      </c>
      <c r="E1335" s="754">
        <v>0</v>
      </c>
    </row>
    <row r="1336" spans="1:5" ht="16.3" customHeight="1">
      <c r="A1336" s="754" t="s">
        <v>5857</v>
      </c>
      <c r="B1336" s="757" t="s">
        <v>5914</v>
      </c>
      <c r="C1336" s="757" t="s">
        <v>3507</v>
      </c>
      <c r="D1336" s="752" t="s">
        <v>3452</v>
      </c>
      <c r="E1336" s="754">
        <v>0</v>
      </c>
    </row>
    <row r="1337" spans="1:5" ht="16.3" customHeight="1">
      <c r="A1337" s="754" t="s">
        <v>5857</v>
      </c>
      <c r="B1337" s="757" t="s">
        <v>5914</v>
      </c>
      <c r="C1337" s="757" t="s">
        <v>3508</v>
      </c>
      <c r="D1337" s="752" t="s">
        <v>3452</v>
      </c>
      <c r="E1337" s="754">
        <v>0</v>
      </c>
    </row>
    <row r="1338" spans="1:5" ht="16.3" customHeight="1">
      <c r="A1338" s="754" t="s">
        <v>5857</v>
      </c>
      <c r="B1338" s="757" t="s">
        <v>5914</v>
      </c>
      <c r="C1338" s="757" t="s">
        <v>3509</v>
      </c>
      <c r="D1338" s="752" t="s">
        <v>3452</v>
      </c>
      <c r="E1338" s="754">
        <v>0</v>
      </c>
    </row>
    <row r="1339" spans="1:5" ht="16.3" customHeight="1">
      <c r="A1339" s="754" t="s">
        <v>5857</v>
      </c>
      <c r="B1339" s="757" t="s">
        <v>5914</v>
      </c>
      <c r="C1339" s="757" t="s">
        <v>3510</v>
      </c>
      <c r="D1339" s="752" t="s">
        <v>3452</v>
      </c>
      <c r="E1339" s="754">
        <v>0</v>
      </c>
    </row>
    <row r="1340" spans="1:5" ht="16.3" customHeight="1">
      <c r="A1340" s="754" t="s">
        <v>5857</v>
      </c>
      <c r="B1340" s="757" t="s">
        <v>5914</v>
      </c>
      <c r="C1340" s="757" t="s">
        <v>3511</v>
      </c>
      <c r="D1340" s="752" t="s">
        <v>3452</v>
      </c>
      <c r="E1340" s="754">
        <v>0</v>
      </c>
    </row>
    <row r="1341" spans="1:5" ht="16.3" customHeight="1">
      <c r="A1341" s="754" t="s">
        <v>5857</v>
      </c>
      <c r="B1341" s="757" t="s">
        <v>5914</v>
      </c>
      <c r="C1341" s="757" t="s">
        <v>3512</v>
      </c>
      <c r="D1341" s="752" t="s">
        <v>3452</v>
      </c>
      <c r="E1341" s="754">
        <v>0</v>
      </c>
    </row>
    <row r="1342" spans="1:5" ht="16.3" customHeight="1">
      <c r="A1342" s="754" t="s">
        <v>5857</v>
      </c>
      <c r="B1342" s="758" t="s">
        <v>5913</v>
      </c>
      <c r="C1342" s="758" t="s">
        <v>3513</v>
      </c>
      <c r="D1342" s="752" t="s">
        <v>3514</v>
      </c>
      <c r="E1342" s="754">
        <v>0</v>
      </c>
    </row>
    <row r="1343" spans="1:5" ht="16.3" customHeight="1">
      <c r="A1343" s="754" t="s">
        <v>5857</v>
      </c>
      <c r="B1343" s="758" t="s">
        <v>5913</v>
      </c>
      <c r="C1343" s="758" t="s">
        <v>3515</v>
      </c>
      <c r="D1343" s="752" t="s">
        <v>3514</v>
      </c>
      <c r="E1343" s="754">
        <v>0</v>
      </c>
    </row>
    <row r="1344" spans="1:5" ht="16.3" customHeight="1">
      <c r="A1344" s="754" t="s">
        <v>5857</v>
      </c>
      <c r="B1344" s="758" t="s">
        <v>5913</v>
      </c>
      <c r="C1344" s="758" t="s">
        <v>3516</v>
      </c>
      <c r="D1344" s="752" t="s">
        <v>3514</v>
      </c>
      <c r="E1344" s="754">
        <v>0</v>
      </c>
    </row>
    <row r="1345" spans="1:5" ht="16.3" customHeight="1">
      <c r="A1345" s="754" t="s">
        <v>5857</v>
      </c>
      <c r="B1345" s="758" t="s">
        <v>5913</v>
      </c>
      <c r="C1345" s="758" t="s">
        <v>3517</v>
      </c>
      <c r="D1345" s="752" t="s">
        <v>3514</v>
      </c>
      <c r="E1345" s="754">
        <v>0</v>
      </c>
    </row>
    <row r="1346" spans="1:5" ht="16.3" customHeight="1">
      <c r="A1346" s="754" t="s">
        <v>5857</v>
      </c>
      <c r="B1346" s="758" t="s">
        <v>5913</v>
      </c>
      <c r="C1346" s="758" t="s">
        <v>3518</v>
      </c>
      <c r="D1346" s="752" t="s">
        <v>3514</v>
      </c>
      <c r="E1346" s="754">
        <v>0</v>
      </c>
    </row>
    <row r="1347" spans="1:5" ht="16.3" customHeight="1">
      <c r="A1347" s="754" t="s">
        <v>5857</v>
      </c>
      <c r="B1347" s="758" t="s">
        <v>5913</v>
      </c>
      <c r="C1347" s="758" t="s">
        <v>3519</v>
      </c>
      <c r="D1347" s="752" t="s">
        <v>3514</v>
      </c>
      <c r="E1347" s="754">
        <v>0</v>
      </c>
    </row>
    <row r="1348" spans="1:5" ht="16.3" customHeight="1">
      <c r="A1348" s="754" t="s">
        <v>5857</v>
      </c>
      <c r="B1348" s="758" t="s">
        <v>5913</v>
      </c>
      <c r="C1348" s="758" t="s">
        <v>3520</v>
      </c>
      <c r="D1348" s="752" t="s">
        <v>3514</v>
      </c>
      <c r="E1348" s="754">
        <v>0</v>
      </c>
    </row>
    <row r="1349" spans="1:5" ht="16.3" customHeight="1">
      <c r="A1349" s="754" t="s">
        <v>5857</v>
      </c>
      <c r="B1349" s="758" t="s">
        <v>5913</v>
      </c>
      <c r="C1349" s="758" t="s">
        <v>3521</v>
      </c>
      <c r="D1349" s="752" t="s">
        <v>3514</v>
      </c>
      <c r="E1349" s="754">
        <v>0</v>
      </c>
    </row>
    <row r="1350" spans="1:5" ht="16.3" customHeight="1">
      <c r="A1350" s="754" t="s">
        <v>5857</v>
      </c>
      <c r="B1350" s="758" t="s">
        <v>5913</v>
      </c>
      <c r="C1350" s="758" t="s">
        <v>3522</v>
      </c>
      <c r="D1350" s="752" t="s">
        <v>3514</v>
      </c>
      <c r="E1350" s="754">
        <v>0</v>
      </c>
    </row>
    <row r="1351" spans="1:5" ht="16.3" customHeight="1">
      <c r="A1351" s="754" t="s">
        <v>5857</v>
      </c>
      <c r="B1351" s="767" t="s">
        <v>5916</v>
      </c>
      <c r="C1351" s="756" t="s">
        <v>3525</v>
      </c>
      <c r="D1351" s="752" t="s">
        <v>3455</v>
      </c>
      <c r="E1351" s="754">
        <v>0</v>
      </c>
    </row>
    <row r="1352" spans="1:5" ht="16.3" customHeight="1">
      <c r="A1352" s="754" t="s">
        <v>5857</v>
      </c>
      <c r="B1352" s="767" t="s">
        <v>5916</v>
      </c>
      <c r="C1352" s="762" t="s">
        <v>3527</v>
      </c>
      <c r="D1352" s="752" t="s">
        <v>3455</v>
      </c>
      <c r="E1352" s="754">
        <v>0</v>
      </c>
    </row>
    <row r="1353" spans="1:5" ht="16.3" customHeight="1">
      <c r="A1353" s="754" t="s">
        <v>5857</v>
      </c>
      <c r="B1353" s="767" t="s">
        <v>5916</v>
      </c>
      <c r="C1353" s="756" t="s">
        <v>3529</v>
      </c>
      <c r="D1353" s="752" t="s">
        <v>3455</v>
      </c>
      <c r="E1353" s="754">
        <v>0</v>
      </c>
    </row>
    <row r="1354" spans="1:5" ht="16.3" customHeight="1">
      <c r="A1354" s="754" t="s">
        <v>5857</v>
      </c>
      <c r="B1354" s="767" t="s">
        <v>5916</v>
      </c>
      <c r="C1354" s="756" t="s">
        <v>5870</v>
      </c>
      <c r="D1354" s="752" t="s">
        <v>3455</v>
      </c>
      <c r="E1354" s="754">
        <v>0</v>
      </c>
    </row>
    <row r="1355" spans="1:5" ht="16.3" customHeight="1">
      <c r="A1355" s="754" t="s">
        <v>5857</v>
      </c>
      <c r="B1355" s="767" t="s">
        <v>5916</v>
      </c>
      <c r="C1355" s="756" t="s">
        <v>3532</v>
      </c>
      <c r="D1355" s="752" t="s">
        <v>3455</v>
      </c>
      <c r="E1355" s="754">
        <v>0</v>
      </c>
    </row>
    <row r="1356" spans="1:5" ht="16.3" customHeight="1">
      <c r="A1356" s="754" t="s">
        <v>5857</v>
      </c>
      <c r="B1356" s="767" t="s">
        <v>5916</v>
      </c>
      <c r="C1356" s="756" t="s">
        <v>3534</v>
      </c>
      <c r="D1356" s="752" t="s">
        <v>3455</v>
      </c>
      <c r="E1356" s="754">
        <v>0</v>
      </c>
    </row>
    <row r="1357" spans="1:5" ht="16.3" customHeight="1">
      <c r="A1357" s="754" t="s">
        <v>5857</v>
      </c>
      <c r="B1357" s="767" t="s">
        <v>5916</v>
      </c>
      <c r="C1357" s="756" t="s">
        <v>3536</v>
      </c>
      <c r="D1357" s="752" t="s">
        <v>3455</v>
      </c>
      <c r="E1357" s="754">
        <v>0</v>
      </c>
    </row>
    <row r="1358" spans="1:5" ht="16.3" customHeight="1">
      <c r="A1358" s="754" t="s">
        <v>5857</v>
      </c>
      <c r="B1358" s="767" t="s">
        <v>5916</v>
      </c>
      <c r="C1358" s="756" t="s">
        <v>3537</v>
      </c>
      <c r="D1358" s="752" t="s">
        <v>3455</v>
      </c>
      <c r="E1358" s="754">
        <v>0</v>
      </c>
    </row>
    <row r="1359" spans="1:5" ht="16.3" customHeight="1">
      <c r="A1359" s="754" t="s">
        <v>5857</v>
      </c>
      <c r="B1359" s="732" t="s">
        <v>5912</v>
      </c>
      <c r="C1359" s="756" t="s">
        <v>5871</v>
      </c>
      <c r="D1359" s="752" t="s">
        <v>3449</v>
      </c>
      <c r="E1359" s="754">
        <v>0</v>
      </c>
    </row>
    <row r="1360" spans="1:5" ht="16.3" customHeight="1">
      <c r="A1360" s="754" t="s">
        <v>5857</v>
      </c>
      <c r="B1360" s="732" t="s">
        <v>5912</v>
      </c>
      <c r="C1360" s="756" t="s">
        <v>3540</v>
      </c>
      <c r="D1360" s="752" t="s">
        <v>3449</v>
      </c>
      <c r="E1360" s="754">
        <v>0</v>
      </c>
    </row>
    <row r="1361" spans="1:5" ht="16.3" customHeight="1">
      <c r="A1361" s="754" t="s">
        <v>5857</v>
      </c>
      <c r="B1361" s="732" t="s">
        <v>5912</v>
      </c>
      <c r="C1361" s="756" t="s">
        <v>5872</v>
      </c>
      <c r="D1361" s="752" t="s">
        <v>3449</v>
      </c>
      <c r="E1361" s="754">
        <v>0</v>
      </c>
    </row>
    <row r="1362" spans="1:5" ht="16.3" customHeight="1">
      <c r="A1362" s="754" t="s">
        <v>5857</v>
      </c>
      <c r="B1362" s="732" t="s">
        <v>5912</v>
      </c>
      <c r="C1362" s="756" t="s">
        <v>3541</v>
      </c>
      <c r="D1362" s="752" t="s">
        <v>3449</v>
      </c>
      <c r="E1362" s="754">
        <v>0</v>
      </c>
    </row>
    <row r="1363" spans="1:5" ht="16.3" customHeight="1">
      <c r="A1363" s="754" t="s">
        <v>5857</v>
      </c>
      <c r="B1363" s="732" t="s">
        <v>5912</v>
      </c>
      <c r="C1363" s="756" t="s">
        <v>3542</v>
      </c>
      <c r="D1363" s="752" t="s">
        <v>3449</v>
      </c>
      <c r="E1363" s="754">
        <v>0</v>
      </c>
    </row>
    <row r="1364" spans="1:5" ht="16.3" customHeight="1">
      <c r="A1364" s="754" t="s">
        <v>5857</v>
      </c>
      <c r="B1364" s="732" t="s">
        <v>5912</v>
      </c>
      <c r="C1364" s="756" t="s">
        <v>3543</v>
      </c>
      <c r="D1364" s="752" t="s">
        <v>3449</v>
      </c>
      <c r="E1364" s="754">
        <v>0</v>
      </c>
    </row>
    <row r="1365" spans="1:5" ht="16.3" customHeight="1">
      <c r="A1365" s="754" t="s">
        <v>5857</v>
      </c>
      <c r="B1365" s="732" t="s">
        <v>5912</v>
      </c>
      <c r="C1365" s="756" t="s">
        <v>3544</v>
      </c>
      <c r="D1365" s="752" t="s">
        <v>3449</v>
      </c>
      <c r="E1365" s="754">
        <v>0</v>
      </c>
    </row>
    <row r="1366" spans="1:5" ht="16.3" customHeight="1">
      <c r="A1366" s="754" t="s">
        <v>5857</v>
      </c>
      <c r="B1366" s="732" t="s">
        <v>5912</v>
      </c>
      <c r="C1366" s="756" t="s">
        <v>3545</v>
      </c>
      <c r="D1366" s="752" t="s">
        <v>3449</v>
      </c>
      <c r="E1366" s="754">
        <v>0</v>
      </c>
    </row>
    <row r="1367" spans="1:5" ht="16.3" customHeight="1">
      <c r="A1367" s="754" t="s">
        <v>5857</v>
      </c>
      <c r="B1367" s="732" t="s">
        <v>5912</v>
      </c>
      <c r="C1367" s="756" t="s">
        <v>3546</v>
      </c>
      <c r="D1367" s="752" t="s">
        <v>3449</v>
      </c>
      <c r="E1367" s="754">
        <v>0</v>
      </c>
    </row>
    <row r="1368" spans="1:5" ht="16.3" customHeight="1">
      <c r="A1368" s="754" t="s">
        <v>5857</v>
      </c>
      <c r="B1368" s="732" t="s">
        <v>5912</v>
      </c>
      <c r="C1368" s="756" t="s">
        <v>3547</v>
      </c>
      <c r="D1368" s="752" t="s">
        <v>3449</v>
      </c>
      <c r="E1368" s="754">
        <v>0</v>
      </c>
    </row>
    <row r="1369" spans="1:5" ht="16.3" customHeight="1">
      <c r="A1369" s="754" t="s">
        <v>5857</v>
      </c>
      <c r="B1369" s="732" t="s">
        <v>5912</v>
      </c>
      <c r="C1369" s="756" t="s">
        <v>3548</v>
      </c>
      <c r="D1369" s="752" t="s">
        <v>3449</v>
      </c>
      <c r="E1369" s="754">
        <v>0</v>
      </c>
    </row>
    <row r="1370" spans="1:5" ht="16.3" customHeight="1">
      <c r="A1370" s="754" t="s">
        <v>5857</v>
      </c>
      <c r="B1370" s="732" t="s">
        <v>5912</v>
      </c>
      <c r="C1370" s="756" t="s">
        <v>5873</v>
      </c>
      <c r="D1370" s="752" t="s">
        <v>3449</v>
      </c>
      <c r="E1370" s="754">
        <v>0</v>
      </c>
    </row>
    <row r="1371" spans="1:5" ht="16.3" customHeight="1">
      <c r="A1371" s="754" t="s">
        <v>5857</v>
      </c>
      <c r="B1371" s="732" t="s">
        <v>5912</v>
      </c>
      <c r="C1371" s="756" t="s">
        <v>2680</v>
      </c>
      <c r="D1371" s="752" t="s">
        <v>3449</v>
      </c>
      <c r="E1371" s="754">
        <v>0</v>
      </c>
    </row>
    <row r="1372" spans="1:5" ht="16.3" customHeight="1">
      <c r="A1372" s="754" t="s">
        <v>5857</v>
      </c>
      <c r="B1372" s="732" t="s">
        <v>5912</v>
      </c>
      <c r="C1372" s="756" t="s">
        <v>2680</v>
      </c>
      <c r="D1372" s="752" t="s">
        <v>3449</v>
      </c>
      <c r="E1372" s="754">
        <v>0</v>
      </c>
    </row>
    <row r="1373" spans="1:5" ht="16.3" customHeight="1">
      <c r="A1373" s="754" t="s">
        <v>5857</v>
      </c>
      <c r="B1373" s="732" t="s">
        <v>5912</v>
      </c>
      <c r="C1373" s="756" t="s">
        <v>2680</v>
      </c>
      <c r="D1373" s="752" t="s">
        <v>3449</v>
      </c>
      <c r="E1373" s="754">
        <v>0</v>
      </c>
    </row>
    <row r="1374" spans="1:5" ht="16.3" customHeight="1">
      <c r="A1374" s="754" t="s">
        <v>5857</v>
      </c>
      <c r="B1374" s="732" t="s">
        <v>5912</v>
      </c>
      <c r="C1374" s="756" t="s">
        <v>2680</v>
      </c>
      <c r="D1374" s="752" t="s">
        <v>3449</v>
      </c>
      <c r="E1374" s="754">
        <v>0</v>
      </c>
    </row>
    <row r="1375" spans="1:5" ht="16.3" customHeight="1">
      <c r="A1375" s="754" t="s">
        <v>5857</v>
      </c>
      <c r="B1375" s="732" t="s">
        <v>5912</v>
      </c>
      <c r="C1375" s="756" t="s">
        <v>2680</v>
      </c>
      <c r="D1375" s="752" t="s">
        <v>3449</v>
      </c>
      <c r="E1375" s="754">
        <v>0</v>
      </c>
    </row>
    <row r="1376" spans="1:5" ht="16.3" customHeight="1">
      <c r="A1376" s="754" t="s">
        <v>5857</v>
      </c>
      <c r="B1376" s="732" t="s">
        <v>5912</v>
      </c>
      <c r="C1376" s="756" t="s">
        <v>2680</v>
      </c>
      <c r="D1376" s="752" t="s">
        <v>3449</v>
      </c>
      <c r="E1376" s="754">
        <v>0</v>
      </c>
    </row>
    <row r="1377" spans="1:5" ht="16.3" customHeight="1">
      <c r="A1377" s="754" t="s">
        <v>5857</v>
      </c>
      <c r="B1377" s="732" t="s">
        <v>5912</v>
      </c>
      <c r="C1377" s="756" t="s">
        <v>5874</v>
      </c>
      <c r="D1377" s="752" t="s">
        <v>3449</v>
      </c>
      <c r="E1377" s="754">
        <v>0</v>
      </c>
    </row>
    <row r="1378" spans="1:5" ht="16.3" customHeight="1">
      <c r="A1378" s="754" t="s">
        <v>5857</v>
      </c>
      <c r="B1378" s="732" t="s">
        <v>5912</v>
      </c>
      <c r="C1378" s="756" t="s">
        <v>3549</v>
      </c>
      <c r="D1378" s="752" t="s">
        <v>3449</v>
      </c>
      <c r="E1378" s="754">
        <v>0</v>
      </c>
    </row>
    <row r="1379" spans="1:5" ht="16.3" customHeight="1">
      <c r="A1379" s="754" t="s">
        <v>5857</v>
      </c>
      <c r="B1379" s="757" t="s">
        <v>5914</v>
      </c>
      <c r="C1379" s="756" t="s">
        <v>5875</v>
      </c>
      <c r="D1379" s="752" t="s">
        <v>3486</v>
      </c>
      <c r="E1379" s="754">
        <v>0</v>
      </c>
    </row>
    <row r="1380" spans="1:5" ht="16.3" customHeight="1">
      <c r="A1380" s="754" t="s">
        <v>5857</v>
      </c>
      <c r="B1380" s="757" t="s">
        <v>5914</v>
      </c>
      <c r="C1380" s="756" t="s">
        <v>5876</v>
      </c>
      <c r="D1380" s="752" t="s">
        <v>3486</v>
      </c>
      <c r="E1380" s="754">
        <v>0</v>
      </c>
    </row>
    <row r="1381" spans="1:5" ht="16.3" customHeight="1">
      <c r="A1381" s="754" t="s">
        <v>5857</v>
      </c>
      <c r="B1381" s="757" t="s">
        <v>5914</v>
      </c>
      <c r="C1381" s="756" t="s">
        <v>5877</v>
      </c>
      <c r="D1381" s="752" t="s">
        <v>3486</v>
      </c>
      <c r="E1381" s="754">
        <v>0</v>
      </c>
    </row>
    <row r="1382" spans="1:5" ht="16.3" customHeight="1">
      <c r="A1382" s="754" t="s">
        <v>5857</v>
      </c>
      <c r="B1382" s="757" t="s">
        <v>5914</v>
      </c>
      <c r="C1382" s="756" t="s">
        <v>5878</v>
      </c>
      <c r="D1382" s="752" t="s">
        <v>3486</v>
      </c>
      <c r="E1382" s="754">
        <v>0</v>
      </c>
    </row>
    <row r="1383" spans="1:5" ht="16.3" customHeight="1">
      <c r="A1383" s="754" t="s">
        <v>5857</v>
      </c>
      <c r="B1383" s="757" t="s">
        <v>5914</v>
      </c>
      <c r="C1383" s="756" t="s">
        <v>5879</v>
      </c>
      <c r="D1383" s="752" t="s">
        <v>3486</v>
      </c>
      <c r="E1383" s="754">
        <v>0</v>
      </c>
    </row>
    <row r="1384" spans="1:5" ht="16.3" customHeight="1">
      <c r="A1384" s="754" t="s">
        <v>5857</v>
      </c>
      <c r="B1384" s="757" t="s">
        <v>5914</v>
      </c>
      <c r="C1384" s="756" t="s">
        <v>5880</v>
      </c>
      <c r="D1384" s="752" t="s">
        <v>3486</v>
      </c>
      <c r="E1384" s="754">
        <v>0</v>
      </c>
    </row>
    <row r="1385" spans="1:5" ht="16.3" customHeight="1">
      <c r="A1385" s="754" t="s">
        <v>5857</v>
      </c>
      <c r="B1385" s="757" t="s">
        <v>5914</v>
      </c>
      <c r="C1385" s="756" t="s">
        <v>5881</v>
      </c>
      <c r="D1385" s="752" t="s">
        <v>3486</v>
      </c>
      <c r="E1385" s="754">
        <v>0</v>
      </c>
    </row>
    <row r="1386" spans="1:5" ht="16.3" customHeight="1">
      <c r="A1386" s="754" t="s">
        <v>5857</v>
      </c>
      <c r="B1386" s="757" t="s">
        <v>5914</v>
      </c>
      <c r="C1386" s="756" t="s">
        <v>5882</v>
      </c>
      <c r="D1386" s="752" t="s">
        <v>3486</v>
      </c>
      <c r="E1386" s="754">
        <v>0</v>
      </c>
    </row>
    <row r="1387" spans="1:5" ht="16.3" customHeight="1">
      <c r="A1387" s="754" t="s">
        <v>5857</v>
      </c>
      <c r="B1387" s="757" t="s">
        <v>5914</v>
      </c>
      <c r="C1387" s="756" t="s">
        <v>2680</v>
      </c>
      <c r="D1387" s="752" t="s">
        <v>3486</v>
      </c>
      <c r="E1387" s="754">
        <v>0</v>
      </c>
    </row>
    <row r="1388" spans="1:5" ht="16.3" customHeight="1">
      <c r="A1388" s="754" t="s">
        <v>5857</v>
      </c>
      <c r="B1388" s="757" t="s">
        <v>5914</v>
      </c>
      <c r="C1388" s="756" t="s">
        <v>2680</v>
      </c>
      <c r="D1388" s="752" t="s">
        <v>3486</v>
      </c>
      <c r="E1388" s="754">
        <v>0</v>
      </c>
    </row>
    <row r="1389" spans="1:5" ht="16.3" customHeight="1">
      <c r="A1389" s="754" t="s">
        <v>5857</v>
      </c>
      <c r="B1389" s="757" t="s">
        <v>5914</v>
      </c>
      <c r="C1389" s="756" t="s">
        <v>2680</v>
      </c>
      <c r="D1389" s="752" t="s">
        <v>3486</v>
      </c>
      <c r="E1389" s="754">
        <v>0</v>
      </c>
    </row>
    <row r="1390" spans="1:5" ht="16.3" customHeight="1">
      <c r="A1390" s="754" t="s">
        <v>5857</v>
      </c>
      <c r="B1390" s="757" t="s">
        <v>5914</v>
      </c>
      <c r="C1390" s="756" t="s">
        <v>2680</v>
      </c>
      <c r="D1390" s="752" t="s">
        <v>3486</v>
      </c>
      <c r="E1390" s="754">
        <v>0</v>
      </c>
    </row>
    <row r="1391" spans="1:5" ht="16.3" customHeight="1">
      <c r="A1391" s="754" t="s">
        <v>5857</v>
      </c>
      <c r="B1391" s="757" t="s">
        <v>5914</v>
      </c>
      <c r="C1391" s="756" t="s">
        <v>2680</v>
      </c>
      <c r="D1391" s="752" t="s">
        <v>3486</v>
      </c>
      <c r="E1391" s="754">
        <v>0</v>
      </c>
    </row>
    <row r="1392" spans="1:5" ht="16.3" customHeight="1">
      <c r="A1392" s="754" t="s">
        <v>5857</v>
      </c>
      <c r="B1392" s="757" t="s">
        <v>5914</v>
      </c>
      <c r="C1392" s="756" t="s">
        <v>2680</v>
      </c>
      <c r="D1392" s="752" t="s">
        <v>3486</v>
      </c>
      <c r="E1392" s="754">
        <v>0</v>
      </c>
    </row>
    <row r="1393" spans="1:5" ht="16.3" customHeight="1">
      <c r="A1393" s="754" t="s">
        <v>5857</v>
      </c>
      <c r="B1393" s="757" t="s">
        <v>5914</v>
      </c>
      <c r="C1393" s="756" t="s">
        <v>2680</v>
      </c>
      <c r="D1393" s="752" t="s">
        <v>3486</v>
      </c>
      <c r="E1393" s="754">
        <v>0</v>
      </c>
    </row>
    <row r="1394" spans="1:5" ht="16.3" customHeight="1">
      <c r="A1394" s="754" t="s">
        <v>5857</v>
      </c>
      <c r="B1394" s="757" t="s">
        <v>5914</v>
      </c>
      <c r="C1394" s="756" t="s">
        <v>2680</v>
      </c>
      <c r="D1394" s="752" t="s">
        <v>3486</v>
      </c>
      <c r="E1394" s="754">
        <v>0</v>
      </c>
    </row>
    <row r="1395" spans="1:5" ht="16.3" customHeight="1">
      <c r="A1395" s="754" t="s">
        <v>5857</v>
      </c>
      <c r="B1395" s="757" t="s">
        <v>5914</v>
      </c>
      <c r="C1395" s="756" t="s">
        <v>2680</v>
      </c>
      <c r="D1395" s="752" t="s">
        <v>3486</v>
      </c>
      <c r="E1395" s="754">
        <v>0</v>
      </c>
    </row>
    <row r="1396" spans="1:5" ht="16.3" customHeight="1">
      <c r="A1396" s="754" t="s">
        <v>5857</v>
      </c>
      <c r="B1396" s="757" t="s">
        <v>5914</v>
      </c>
      <c r="C1396" s="756" t="s">
        <v>2680</v>
      </c>
      <c r="D1396" s="752" t="s">
        <v>3486</v>
      </c>
      <c r="E1396" s="754">
        <v>0</v>
      </c>
    </row>
    <row r="1397" spans="1:5" ht="16.3" customHeight="1">
      <c r="A1397" s="754" t="s">
        <v>5857</v>
      </c>
      <c r="B1397" s="757" t="s">
        <v>5914</v>
      </c>
      <c r="C1397" s="756" t="s">
        <v>2680</v>
      </c>
      <c r="D1397" s="752" t="s">
        <v>3486</v>
      </c>
      <c r="E1397" s="754">
        <v>0</v>
      </c>
    </row>
    <row r="1398" spans="1:5" ht="16.3" customHeight="1">
      <c r="A1398" s="754" t="s">
        <v>5857</v>
      </c>
      <c r="B1398" s="757" t="s">
        <v>5914</v>
      </c>
      <c r="C1398" s="756" t="s">
        <v>2680</v>
      </c>
      <c r="D1398" s="752" t="s">
        <v>3486</v>
      </c>
      <c r="E1398" s="754">
        <v>0</v>
      </c>
    </row>
    <row r="1399" spans="1:5" ht="16.3" customHeight="1">
      <c r="A1399" s="754" t="s">
        <v>5857</v>
      </c>
      <c r="B1399" s="757" t="s">
        <v>5914</v>
      </c>
      <c r="C1399" s="756" t="s">
        <v>2680</v>
      </c>
      <c r="D1399" s="752" t="s">
        <v>3486</v>
      </c>
      <c r="E1399" s="754">
        <v>0</v>
      </c>
    </row>
    <row r="1400" spans="1:5" ht="16.3" customHeight="1">
      <c r="A1400" s="754" t="s">
        <v>5857</v>
      </c>
      <c r="B1400" s="757" t="s">
        <v>5914</v>
      </c>
      <c r="C1400" s="756" t="s">
        <v>2680</v>
      </c>
      <c r="D1400" s="752" t="s">
        <v>3486</v>
      </c>
      <c r="E1400" s="754">
        <v>0</v>
      </c>
    </row>
    <row r="1401" spans="1:5" ht="16.3" customHeight="1">
      <c r="A1401" s="754" t="s">
        <v>5857</v>
      </c>
      <c r="B1401" s="757" t="s">
        <v>5914</v>
      </c>
      <c r="C1401" s="756" t="s">
        <v>2680</v>
      </c>
      <c r="D1401" s="752" t="s">
        <v>3486</v>
      </c>
      <c r="E1401" s="754">
        <v>0</v>
      </c>
    </row>
    <row r="1402" spans="1:5" ht="16.3" customHeight="1">
      <c r="A1402" s="754" t="s">
        <v>5857</v>
      </c>
      <c r="B1402" s="758" t="s">
        <v>5913</v>
      </c>
      <c r="C1402" s="756" t="s">
        <v>3553</v>
      </c>
      <c r="D1402" s="752" t="s">
        <v>3629</v>
      </c>
      <c r="E1402" s="754">
        <v>0</v>
      </c>
    </row>
    <row r="1403" spans="1:5" ht="16.3" customHeight="1">
      <c r="A1403" s="754" t="s">
        <v>5857</v>
      </c>
      <c r="B1403" s="758" t="s">
        <v>5913</v>
      </c>
      <c r="C1403" s="756" t="s">
        <v>3554</v>
      </c>
      <c r="D1403" s="752" t="s">
        <v>3629</v>
      </c>
      <c r="E1403" s="754">
        <v>0</v>
      </c>
    </row>
    <row r="1404" spans="1:5" ht="16.3" customHeight="1">
      <c r="A1404" s="754" t="s">
        <v>5857</v>
      </c>
      <c r="B1404" s="758" t="s">
        <v>5913</v>
      </c>
      <c r="C1404" s="756" t="s">
        <v>3555</v>
      </c>
      <c r="D1404" s="752" t="s">
        <v>3629</v>
      </c>
      <c r="E1404" s="754">
        <v>0</v>
      </c>
    </row>
    <row r="1405" spans="1:5" ht="16.3" customHeight="1">
      <c r="A1405" s="754" t="s">
        <v>5857</v>
      </c>
      <c r="B1405" s="758" t="s">
        <v>5913</v>
      </c>
      <c r="C1405" s="756" t="s">
        <v>3556</v>
      </c>
      <c r="D1405" s="752" t="s">
        <v>3629</v>
      </c>
      <c r="E1405" s="754">
        <v>0</v>
      </c>
    </row>
    <row r="1406" spans="1:5" ht="16.3" customHeight="1">
      <c r="A1406" s="754" t="s">
        <v>5857</v>
      </c>
      <c r="B1406" s="758" t="s">
        <v>5913</v>
      </c>
      <c r="C1406" s="763" t="s">
        <v>3557</v>
      </c>
      <c r="D1406" s="752" t="s">
        <v>3629</v>
      </c>
      <c r="E1406" s="754">
        <v>0</v>
      </c>
    </row>
    <row r="1407" spans="1:5" ht="16.3" customHeight="1">
      <c r="A1407" s="754" t="s">
        <v>5857</v>
      </c>
      <c r="B1407" s="758" t="s">
        <v>5913</v>
      </c>
      <c r="C1407" s="756" t="s">
        <v>3558</v>
      </c>
      <c r="D1407" s="752" t="s">
        <v>3629</v>
      </c>
      <c r="E1407" s="754">
        <v>0</v>
      </c>
    </row>
    <row r="1408" spans="1:5" ht="16.3" customHeight="1">
      <c r="A1408" s="754" t="s">
        <v>5857</v>
      </c>
      <c r="B1408" s="758" t="s">
        <v>5913</v>
      </c>
      <c r="C1408" s="756" t="s">
        <v>3559</v>
      </c>
      <c r="D1408" s="752" t="s">
        <v>3629</v>
      </c>
      <c r="E1408" s="754">
        <v>0</v>
      </c>
    </row>
    <row r="1409" spans="1:5" ht="16.3" customHeight="1">
      <c r="A1409" s="754" t="s">
        <v>5857</v>
      </c>
      <c r="B1409" s="758" t="s">
        <v>5913</v>
      </c>
      <c r="C1409" s="756" t="s">
        <v>3560</v>
      </c>
      <c r="D1409" s="752" t="s">
        <v>3629</v>
      </c>
      <c r="E1409" s="754">
        <v>0</v>
      </c>
    </row>
    <row r="1410" spans="1:5" ht="16.3" customHeight="1">
      <c r="A1410" s="754" t="s">
        <v>5857</v>
      </c>
      <c r="B1410" s="758" t="s">
        <v>5913</v>
      </c>
      <c r="C1410" s="756" t="s">
        <v>3561</v>
      </c>
      <c r="D1410" s="752" t="s">
        <v>3629</v>
      </c>
      <c r="E1410" s="754">
        <v>0</v>
      </c>
    </row>
    <row r="1411" spans="1:5" ht="16.3" customHeight="1">
      <c r="A1411" s="754" t="s">
        <v>5857</v>
      </c>
      <c r="B1411" s="758" t="s">
        <v>5913</v>
      </c>
      <c r="C1411" s="756" t="s">
        <v>5883</v>
      </c>
      <c r="D1411" s="752" t="s">
        <v>3629</v>
      </c>
      <c r="E1411" s="754">
        <v>0</v>
      </c>
    </row>
    <row r="1412" spans="1:5" ht="16.3" customHeight="1">
      <c r="A1412" s="754" t="s">
        <v>5857</v>
      </c>
      <c r="B1412" s="758" t="s">
        <v>5913</v>
      </c>
      <c r="C1412" s="756" t="s">
        <v>3562</v>
      </c>
      <c r="D1412" s="752" t="s">
        <v>3629</v>
      </c>
      <c r="E1412" s="754">
        <v>0</v>
      </c>
    </row>
    <row r="1413" spans="1:5" ht="16.3" customHeight="1">
      <c r="A1413" s="754" t="s">
        <v>5857</v>
      </c>
      <c r="B1413" s="758" t="s">
        <v>5913</v>
      </c>
      <c r="C1413" s="756" t="s">
        <v>3563</v>
      </c>
      <c r="D1413" s="752" t="s">
        <v>3629</v>
      </c>
      <c r="E1413" s="754">
        <v>0</v>
      </c>
    </row>
    <row r="1414" spans="1:5" ht="16.3" customHeight="1">
      <c r="A1414" s="754" t="s">
        <v>5857</v>
      </c>
      <c r="B1414" s="758" t="s">
        <v>5913</v>
      </c>
      <c r="C1414" s="756" t="s">
        <v>5884</v>
      </c>
      <c r="D1414" s="752" t="s">
        <v>3629</v>
      </c>
      <c r="E1414" s="754">
        <v>0</v>
      </c>
    </row>
    <row r="1415" spans="1:5" ht="16.3" customHeight="1">
      <c r="A1415" s="754" t="s">
        <v>5857</v>
      </c>
      <c r="B1415" s="758" t="s">
        <v>5913</v>
      </c>
      <c r="C1415" s="756" t="s">
        <v>3550</v>
      </c>
      <c r="D1415" s="752" t="s">
        <v>3629</v>
      </c>
      <c r="E1415" s="754">
        <v>0</v>
      </c>
    </row>
    <row r="1416" spans="1:5" ht="16.3" customHeight="1">
      <c r="A1416" s="754" t="s">
        <v>5857</v>
      </c>
      <c r="B1416" s="758" t="s">
        <v>5913</v>
      </c>
      <c r="C1416" s="756" t="s">
        <v>3551</v>
      </c>
      <c r="D1416" s="752" t="s">
        <v>3629</v>
      </c>
      <c r="E1416" s="754">
        <v>0</v>
      </c>
    </row>
    <row r="1417" spans="1:5" ht="16.3" customHeight="1">
      <c r="A1417" s="754" t="s">
        <v>5857</v>
      </c>
      <c r="B1417" s="758" t="s">
        <v>5913</v>
      </c>
      <c r="C1417" s="756" t="s">
        <v>3552</v>
      </c>
      <c r="D1417" s="752" t="s">
        <v>3629</v>
      </c>
      <c r="E1417" s="754">
        <v>0</v>
      </c>
    </row>
    <row r="1418" spans="1:5" ht="16.3" customHeight="1">
      <c r="A1418" s="754" t="s">
        <v>5857</v>
      </c>
      <c r="B1418" s="758" t="s">
        <v>5913</v>
      </c>
      <c r="C1418" s="756" t="s">
        <v>5885</v>
      </c>
      <c r="D1418" s="752" t="s">
        <v>3629</v>
      </c>
      <c r="E1418" s="754">
        <v>0</v>
      </c>
    </row>
    <row r="1419" spans="1:5" ht="16.3" customHeight="1">
      <c r="A1419" s="754" t="s">
        <v>5857</v>
      </c>
      <c r="B1419" s="759" t="s">
        <v>5915</v>
      </c>
      <c r="C1419" s="756" t="s">
        <v>3564</v>
      </c>
      <c r="D1419" s="752" t="s">
        <v>3452</v>
      </c>
      <c r="E1419" s="754">
        <v>0</v>
      </c>
    </row>
    <row r="1420" spans="1:5" ht="16.3" customHeight="1">
      <c r="A1420" s="754" t="s">
        <v>5857</v>
      </c>
      <c r="B1420" s="759" t="s">
        <v>5915</v>
      </c>
      <c r="C1420" s="756" t="s">
        <v>3565</v>
      </c>
      <c r="D1420" s="752" t="s">
        <v>3452</v>
      </c>
      <c r="E1420" s="754">
        <v>0</v>
      </c>
    </row>
    <row r="1421" spans="1:5" ht="16.3" customHeight="1">
      <c r="A1421" s="754" t="s">
        <v>5857</v>
      </c>
      <c r="B1421" s="759" t="s">
        <v>5915</v>
      </c>
      <c r="C1421" s="756" t="s">
        <v>3566</v>
      </c>
      <c r="D1421" s="752" t="s">
        <v>3452</v>
      </c>
      <c r="E1421" s="754">
        <v>0</v>
      </c>
    </row>
    <row r="1422" spans="1:5" ht="16.3" customHeight="1">
      <c r="A1422" s="754" t="s">
        <v>5857</v>
      </c>
      <c r="B1422" s="759" t="s">
        <v>5915</v>
      </c>
      <c r="C1422" s="756" t="s">
        <v>3567</v>
      </c>
      <c r="D1422" s="752" t="s">
        <v>3452</v>
      </c>
      <c r="E1422" s="754">
        <v>0</v>
      </c>
    </row>
    <row r="1423" spans="1:5" ht="16.3" customHeight="1">
      <c r="A1423" s="754" t="s">
        <v>5857</v>
      </c>
      <c r="B1423" s="759" t="s">
        <v>5915</v>
      </c>
      <c r="C1423" s="756" t="s">
        <v>3568</v>
      </c>
      <c r="D1423" s="752" t="s">
        <v>3452</v>
      </c>
      <c r="E1423" s="754">
        <v>0</v>
      </c>
    </row>
    <row r="1424" spans="1:5" ht="16.3" customHeight="1">
      <c r="A1424" s="754" t="s">
        <v>5857</v>
      </c>
      <c r="B1424" s="759" t="s">
        <v>5915</v>
      </c>
      <c r="C1424" s="756" t="s">
        <v>3569</v>
      </c>
      <c r="D1424" s="752" t="s">
        <v>3452</v>
      </c>
      <c r="E1424" s="754">
        <v>0</v>
      </c>
    </row>
    <row r="1425" spans="1:5" ht="16.3" customHeight="1">
      <c r="A1425" s="754" t="s">
        <v>5857</v>
      </c>
      <c r="B1425" s="759" t="s">
        <v>5915</v>
      </c>
      <c r="C1425" s="756" t="s">
        <v>3570</v>
      </c>
      <c r="D1425" s="752" t="s">
        <v>3452</v>
      </c>
      <c r="E1425" s="754">
        <v>0</v>
      </c>
    </row>
    <row r="1426" spans="1:5" ht="16.3" customHeight="1">
      <c r="A1426" s="754" t="s">
        <v>5857</v>
      </c>
      <c r="B1426" s="759" t="s">
        <v>5915</v>
      </c>
      <c r="C1426" s="756" t="s">
        <v>3571</v>
      </c>
      <c r="D1426" s="752" t="s">
        <v>3452</v>
      </c>
      <c r="E1426" s="754">
        <v>0</v>
      </c>
    </row>
    <row r="1427" spans="1:5" ht="16.3" customHeight="1">
      <c r="A1427" s="754" t="s">
        <v>5857</v>
      </c>
      <c r="B1427" s="759" t="s">
        <v>5915</v>
      </c>
      <c r="C1427" s="756" t="s">
        <v>3572</v>
      </c>
      <c r="D1427" s="752" t="s">
        <v>3452</v>
      </c>
      <c r="E1427" s="754">
        <v>0</v>
      </c>
    </row>
    <row r="1428" spans="1:5" ht="16.3" customHeight="1">
      <c r="A1428" s="754" t="s">
        <v>5857</v>
      </c>
      <c r="B1428" s="759" t="s">
        <v>5915</v>
      </c>
      <c r="C1428" s="756" t="s">
        <v>3573</v>
      </c>
      <c r="D1428" s="752" t="s">
        <v>3452</v>
      </c>
      <c r="E1428" s="754">
        <v>0</v>
      </c>
    </row>
    <row r="1429" spans="1:5" ht="16.3" customHeight="1">
      <c r="A1429" s="754" t="s">
        <v>5857</v>
      </c>
      <c r="B1429" s="759" t="s">
        <v>5915</v>
      </c>
      <c r="C1429" s="756" t="s">
        <v>3574</v>
      </c>
      <c r="D1429" s="752" t="s">
        <v>3452</v>
      </c>
      <c r="E1429" s="754">
        <v>0</v>
      </c>
    </row>
    <row r="1430" spans="1:5" ht="16.3" customHeight="1">
      <c r="A1430" s="754" t="s">
        <v>5857</v>
      </c>
      <c r="B1430" s="759" t="s">
        <v>5915</v>
      </c>
      <c r="C1430" s="756" t="s">
        <v>3575</v>
      </c>
      <c r="D1430" s="752" t="s">
        <v>3452</v>
      </c>
      <c r="E1430" s="754">
        <v>0</v>
      </c>
    </row>
    <row r="1431" spans="1:5" ht="16.3" customHeight="1">
      <c r="A1431" s="754" t="s">
        <v>5857</v>
      </c>
      <c r="B1431" s="759" t="s">
        <v>5915</v>
      </c>
      <c r="C1431" s="756" t="s">
        <v>3576</v>
      </c>
      <c r="D1431" s="752" t="s">
        <v>3452</v>
      </c>
      <c r="E1431" s="754">
        <v>0</v>
      </c>
    </row>
    <row r="1432" spans="1:5" ht="16.3" customHeight="1">
      <c r="A1432" s="754" t="s">
        <v>5857</v>
      </c>
      <c r="B1432" s="759" t="s">
        <v>5915</v>
      </c>
      <c r="C1432" s="756" t="s">
        <v>3577</v>
      </c>
      <c r="D1432" s="752" t="s">
        <v>3452</v>
      </c>
      <c r="E1432" s="754">
        <v>0</v>
      </c>
    </row>
    <row r="1433" spans="1:5" ht="16.3" customHeight="1">
      <c r="A1433" s="754" t="s">
        <v>5857</v>
      </c>
      <c r="B1433" s="759" t="s">
        <v>5915</v>
      </c>
      <c r="C1433" s="756" t="s">
        <v>3578</v>
      </c>
      <c r="D1433" s="752" t="s">
        <v>3452</v>
      </c>
      <c r="E1433" s="754">
        <v>0</v>
      </c>
    </row>
    <row r="1434" spans="1:5" ht="16.3" customHeight="1">
      <c r="A1434" s="754" t="s">
        <v>5857</v>
      </c>
      <c r="B1434" s="759" t="s">
        <v>5915</v>
      </c>
      <c r="C1434" s="756" t="s">
        <v>3579</v>
      </c>
      <c r="D1434" s="752" t="s">
        <v>3452</v>
      </c>
      <c r="E1434" s="754">
        <v>0</v>
      </c>
    </row>
    <row r="1435" spans="1:5" ht="16.3" customHeight="1">
      <c r="A1435" s="754" t="s">
        <v>5857</v>
      </c>
      <c r="B1435" s="759" t="s">
        <v>5915</v>
      </c>
      <c r="C1435" s="756" t="s">
        <v>5886</v>
      </c>
      <c r="D1435" s="752" t="s">
        <v>3452</v>
      </c>
      <c r="E1435" s="754">
        <v>0</v>
      </c>
    </row>
    <row r="1436" spans="1:5" ht="16.3" customHeight="1">
      <c r="A1436" s="754" t="s">
        <v>5857</v>
      </c>
      <c r="B1436" s="759" t="s">
        <v>5915</v>
      </c>
      <c r="C1436" s="756" t="s">
        <v>2680</v>
      </c>
      <c r="D1436" s="752" t="s">
        <v>3452</v>
      </c>
      <c r="E1436" s="754">
        <v>0</v>
      </c>
    </row>
    <row r="1437" spans="1:5" ht="16.3" customHeight="1">
      <c r="A1437" s="754" t="s">
        <v>5857</v>
      </c>
      <c r="B1437" s="759" t="s">
        <v>5915</v>
      </c>
      <c r="C1437" s="756" t="s">
        <v>2680</v>
      </c>
      <c r="D1437" s="752" t="s">
        <v>3452</v>
      </c>
      <c r="E1437" s="754">
        <v>0</v>
      </c>
    </row>
    <row r="1438" spans="1:5" ht="16.3" customHeight="1">
      <c r="A1438" s="754" t="s">
        <v>5857</v>
      </c>
      <c r="B1438" s="759" t="s">
        <v>5915</v>
      </c>
      <c r="C1438" s="764" t="s">
        <v>2680</v>
      </c>
      <c r="D1438" s="752" t="s">
        <v>3452</v>
      </c>
      <c r="E1438" s="754">
        <v>0</v>
      </c>
    </row>
    <row r="1439" spans="1:5" ht="16.3" customHeight="1">
      <c r="A1439" s="754" t="s">
        <v>5857</v>
      </c>
      <c r="B1439" s="767" t="s">
        <v>5916</v>
      </c>
      <c r="C1439" s="756" t="s">
        <v>3580</v>
      </c>
      <c r="D1439" s="752" t="s">
        <v>3455</v>
      </c>
      <c r="E1439" s="754">
        <v>0</v>
      </c>
    </row>
    <row r="1440" spans="1:5" ht="16.3" customHeight="1">
      <c r="A1440" s="754" t="s">
        <v>5857</v>
      </c>
      <c r="B1440" s="767" t="s">
        <v>5916</v>
      </c>
      <c r="C1440" s="756" t="s">
        <v>3581</v>
      </c>
      <c r="D1440" s="752" t="s">
        <v>3455</v>
      </c>
      <c r="E1440" s="754">
        <v>0</v>
      </c>
    </row>
    <row r="1441" spans="1:5" ht="16.3" customHeight="1">
      <c r="A1441" s="754" t="s">
        <v>5857</v>
      </c>
      <c r="B1441" s="767" t="s">
        <v>5916</v>
      </c>
      <c r="C1441" s="756" t="s">
        <v>3582</v>
      </c>
      <c r="D1441" s="752" t="s">
        <v>3455</v>
      </c>
      <c r="E1441" s="754">
        <v>0</v>
      </c>
    </row>
    <row r="1442" spans="1:5" ht="16.3" customHeight="1">
      <c r="A1442" s="754" t="s">
        <v>5857</v>
      </c>
      <c r="B1442" s="767" t="s">
        <v>5916</v>
      </c>
      <c r="C1442" s="756" t="s">
        <v>3583</v>
      </c>
      <c r="D1442" s="752" t="s">
        <v>3455</v>
      </c>
      <c r="E1442" s="754">
        <v>0</v>
      </c>
    </row>
    <row r="1443" spans="1:5" ht="16.3" customHeight="1">
      <c r="A1443" s="754" t="s">
        <v>5857</v>
      </c>
      <c r="B1443" s="767" t="s">
        <v>5916</v>
      </c>
      <c r="C1443" s="756" t="s">
        <v>3584</v>
      </c>
      <c r="D1443" s="752" t="s">
        <v>3455</v>
      </c>
      <c r="E1443" s="754">
        <v>0</v>
      </c>
    </row>
    <row r="1444" spans="1:5" ht="16.3" customHeight="1">
      <c r="A1444" s="754" t="s">
        <v>5857</v>
      </c>
      <c r="B1444" s="767" t="s">
        <v>5916</v>
      </c>
      <c r="C1444" s="756" t="s">
        <v>3585</v>
      </c>
      <c r="D1444" s="752" t="s">
        <v>3455</v>
      </c>
      <c r="E1444" s="754">
        <v>0</v>
      </c>
    </row>
    <row r="1445" spans="1:5" ht="16.3" customHeight="1">
      <c r="A1445" s="754" t="s">
        <v>5857</v>
      </c>
      <c r="B1445" s="767" t="s">
        <v>5916</v>
      </c>
      <c r="C1445" s="756" t="s">
        <v>3586</v>
      </c>
      <c r="D1445" s="752" t="s">
        <v>3455</v>
      </c>
      <c r="E1445" s="754">
        <v>0</v>
      </c>
    </row>
    <row r="1446" spans="1:5" ht="16.3" customHeight="1">
      <c r="A1446" s="754" t="s">
        <v>5857</v>
      </c>
      <c r="B1446" s="767" t="s">
        <v>5916</v>
      </c>
      <c r="C1446" s="756" t="s">
        <v>3587</v>
      </c>
      <c r="D1446" s="752" t="s">
        <v>3455</v>
      </c>
      <c r="E1446" s="754">
        <v>0</v>
      </c>
    </row>
    <row r="1447" spans="1:5" ht="16.3" customHeight="1">
      <c r="A1447" s="754" t="s">
        <v>5857</v>
      </c>
      <c r="B1447" s="767" t="s">
        <v>5916</v>
      </c>
      <c r="C1447" s="756" t="s">
        <v>3588</v>
      </c>
      <c r="D1447" s="752" t="s">
        <v>3455</v>
      </c>
      <c r="E1447" s="754">
        <v>0</v>
      </c>
    </row>
    <row r="1448" spans="1:5" ht="16.3" customHeight="1">
      <c r="A1448" s="754" t="s">
        <v>5857</v>
      </c>
      <c r="B1448" s="767" t="s">
        <v>5916</v>
      </c>
      <c r="C1448" s="756" t="s">
        <v>3589</v>
      </c>
      <c r="D1448" s="752" t="s">
        <v>3455</v>
      </c>
      <c r="E1448" s="754">
        <v>0</v>
      </c>
    </row>
    <row r="1449" spans="1:5" ht="16.3" customHeight="1">
      <c r="A1449" s="754" t="s">
        <v>5857</v>
      </c>
      <c r="B1449" s="767" t="s">
        <v>5916</v>
      </c>
      <c r="C1449" s="756" t="s">
        <v>3590</v>
      </c>
      <c r="D1449" s="752" t="s">
        <v>3455</v>
      </c>
      <c r="E1449" s="754">
        <v>0</v>
      </c>
    </row>
    <row r="1450" spans="1:5" ht="16.3" customHeight="1">
      <c r="A1450" s="754" t="s">
        <v>5857</v>
      </c>
      <c r="B1450" s="767" t="s">
        <v>5916</v>
      </c>
      <c r="C1450" s="756" t="s">
        <v>3591</v>
      </c>
      <c r="D1450" s="752" t="s">
        <v>3455</v>
      </c>
      <c r="E1450" s="754">
        <v>0</v>
      </c>
    </row>
    <row r="1451" spans="1:5" ht="16.3" customHeight="1">
      <c r="A1451" s="754" t="s">
        <v>5857</v>
      </c>
      <c r="B1451" s="767" t="s">
        <v>5916</v>
      </c>
      <c r="C1451" s="756" t="s">
        <v>3592</v>
      </c>
      <c r="D1451" s="752" t="s">
        <v>3455</v>
      </c>
      <c r="E1451" s="754">
        <v>0</v>
      </c>
    </row>
    <row r="1452" spans="1:5" ht="16.3" customHeight="1">
      <c r="A1452" s="754" t="s">
        <v>5857</v>
      </c>
      <c r="B1452" s="767" t="s">
        <v>5916</v>
      </c>
      <c r="C1452" s="756" t="s">
        <v>3593</v>
      </c>
      <c r="D1452" s="752" t="s">
        <v>3455</v>
      </c>
      <c r="E1452" s="754">
        <v>0</v>
      </c>
    </row>
    <row r="1453" spans="1:5" ht="16.3" customHeight="1">
      <c r="A1453" s="754" t="s">
        <v>5857</v>
      </c>
      <c r="B1453" s="767" t="s">
        <v>5916</v>
      </c>
      <c r="C1453" s="756" t="s">
        <v>3594</v>
      </c>
      <c r="D1453" s="752" t="s">
        <v>3455</v>
      </c>
      <c r="E1453" s="754">
        <v>0</v>
      </c>
    </row>
    <row r="1454" spans="1:5" ht="16.3" customHeight="1">
      <c r="A1454" s="754" t="s">
        <v>5857</v>
      </c>
      <c r="B1454" s="767" t="s">
        <v>5916</v>
      </c>
      <c r="C1454" s="756" t="s">
        <v>3595</v>
      </c>
      <c r="D1454" s="752" t="s">
        <v>3455</v>
      </c>
      <c r="E1454" s="754">
        <v>0</v>
      </c>
    </row>
    <row r="1455" spans="1:5" ht="16.3" customHeight="1">
      <c r="A1455" s="754" t="s">
        <v>5857</v>
      </c>
      <c r="B1455" s="767" t="s">
        <v>5916</v>
      </c>
      <c r="C1455" s="765" t="s">
        <v>3596</v>
      </c>
      <c r="D1455" s="752" t="s">
        <v>3455</v>
      </c>
      <c r="E1455" s="754">
        <v>0</v>
      </c>
    </row>
    <row r="1456" spans="1:5" ht="16.3" customHeight="1">
      <c r="A1456" s="754" t="s">
        <v>5857</v>
      </c>
      <c r="B1456" s="767" t="s">
        <v>5916</v>
      </c>
      <c r="C1456" s="756" t="s">
        <v>2680</v>
      </c>
      <c r="D1456" s="752" t="s">
        <v>3455</v>
      </c>
      <c r="E1456" s="754">
        <v>0</v>
      </c>
    </row>
    <row r="1457" spans="1:5" ht="16.3" customHeight="1">
      <c r="A1457" s="754" t="s">
        <v>5857</v>
      </c>
      <c r="B1457" s="767" t="s">
        <v>5916</v>
      </c>
      <c r="C1457" s="756" t="s">
        <v>2680</v>
      </c>
      <c r="D1457" s="752" t="s">
        <v>3455</v>
      </c>
      <c r="E1457" s="754">
        <v>0</v>
      </c>
    </row>
    <row r="1458" spans="1:5" ht="16.3" customHeight="1">
      <c r="A1458" s="754" t="s">
        <v>5857</v>
      </c>
      <c r="B1458" s="767" t="s">
        <v>5916</v>
      </c>
      <c r="C1458" s="756" t="s">
        <v>3597</v>
      </c>
      <c r="D1458" s="752" t="s">
        <v>3455</v>
      </c>
      <c r="E1458" s="754">
        <v>0</v>
      </c>
    </row>
    <row r="1459" spans="1:5" ht="16.3" customHeight="1">
      <c r="A1459" s="754" t="s">
        <v>5857</v>
      </c>
      <c r="B1459" s="761" t="s">
        <v>5917</v>
      </c>
      <c r="C1459" s="756" t="s">
        <v>3598</v>
      </c>
      <c r="D1459" s="752" t="s">
        <v>3599</v>
      </c>
      <c r="E1459" s="754">
        <v>0</v>
      </c>
    </row>
    <row r="1460" spans="1:5" ht="16.3" customHeight="1">
      <c r="A1460" s="754" t="s">
        <v>5857</v>
      </c>
      <c r="B1460" s="761" t="s">
        <v>5917</v>
      </c>
      <c r="C1460" s="756" t="s">
        <v>3600</v>
      </c>
      <c r="D1460" s="752" t="s">
        <v>3599</v>
      </c>
      <c r="E1460" s="754">
        <v>0</v>
      </c>
    </row>
    <row r="1461" spans="1:5" ht="16.3" customHeight="1">
      <c r="A1461" s="754" t="s">
        <v>5857</v>
      </c>
      <c r="B1461" s="761" t="s">
        <v>5917</v>
      </c>
      <c r="C1461" s="756" t="s">
        <v>3601</v>
      </c>
      <c r="D1461" s="752" t="s">
        <v>3599</v>
      </c>
      <c r="E1461" s="754">
        <v>0</v>
      </c>
    </row>
    <row r="1462" spans="1:5" ht="16.3" customHeight="1">
      <c r="A1462" s="754" t="s">
        <v>5857</v>
      </c>
      <c r="B1462" s="761" t="s">
        <v>5917</v>
      </c>
      <c r="C1462" s="756" t="s">
        <v>3602</v>
      </c>
      <c r="D1462" s="752" t="s">
        <v>3599</v>
      </c>
      <c r="E1462" s="754">
        <v>0</v>
      </c>
    </row>
    <row r="1463" spans="1:5" ht="16.3" customHeight="1">
      <c r="A1463" s="754" t="s">
        <v>5857</v>
      </c>
      <c r="B1463" s="761" t="s">
        <v>5917</v>
      </c>
      <c r="C1463" s="756" t="s">
        <v>2680</v>
      </c>
      <c r="D1463" s="752" t="s">
        <v>3599</v>
      </c>
      <c r="E1463" s="754">
        <v>0</v>
      </c>
    </row>
    <row r="1464" spans="1:5" ht="16.3" customHeight="1">
      <c r="A1464" s="754" t="s">
        <v>5857</v>
      </c>
      <c r="B1464" s="732" t="s">
        <v>5912</v>
      </c>
      <c r="C1464" s="756" t="s">
        <v>3604</v>
      </c>
      <c r="D1464" s="752" t="s">
        <v>3486</v>
      </c>
      <c r="E1464" s="754">
        <v>0</v>
      </c>
    </row>
    <row r="1465" spans="1:5" ht="16.3" customHeight="1">
      <c r="A1465" s="754" t="s">
        <v>5857</v>
      </c>
      <c r="B1465" s="732" t="s">
        <v>5912</v>
      </c>
      <c r="C1465" s="756" t="s">
        <v>3605</v>
      </c>
      <c r="D1465" s="752" t="s">
        <v>3486</v>
      </c>
      <c r="E1465" s="754">
        <v>0</v>
      </c>
    </row>
    <row r="1466" spans="1:5" ht="16.3" customHeight="1">
      <c r="A1466" s="754" t="s">
        <v>5857</v>
      </c>
      <c r="B1466" s="732" t="s">
        <v>5912</v>
      </c>
      <c r="C1466" s="756" t="s">
        <v>3606</v>
      </c>
      <c r="D1466" s="752" t="s">
        <v>3486</v>
      </c>
      <c r="E1466" s="754">
        <v>0</v>
      </c>
    </row>
    <row r="1467" spans="1:5" ht="16.3" customHeight="1">
      <c r="A1467" s="754" t="s">
        <v>5857</v>
      </c>
      <c r="B1467" s="732" t="s">
        <v>5912</v>
      </c>
      <c r="C1467" s="756" t="s">
        <v>3607</v>
      </c>
      <c r="D1467" s="752" t="s">
        <v>3486</v>
      </c>
      <c r="E1467" s="754">
        <v>0</v>
      </c>
    </row>
    <row r="1468" spans="1:5" ht="16.3" customHeight="1">
      <c r="A1468" s="754" t="s">
        <v>5857</v>
      </c>
      <c r="B1468" s="732" t="s">
        <v>5912</v>
      </c>
      <c r="C1468" s="756" t="s">
        <v>3608</v>
      </c>
      <c r="D1468" s="752" t="s">
        <v>3486</v>
      </c>
      <c r="E1468" s="754">
        <v>0</v>
      </c>
    </row>
    <row r="1469" spans="1:5" ht="16.3" customHeight="1">
      <c r="A1469" s="754" t="s">
        <v>5857</v>
      </c>
      <c r="B1469" s="757" t="s">
        <v>5914</v>
      </c>
      <c r="C1469" s="756" t="s">
        <v>3609</v>
      </c>
      <c r="D1469" s="752" t="s">
        <v>3452</v>
      </c>
      <c r="E1469" s="754">
        <v>0</v>
      </c>
    </row>
    <row r="1470" spans="1:5" ht="16.3" customHeight="1">
      <c r="A1470" s="754" t="s">
        <v>5857</v>
      </c>
      <c r="B1470" s="757" t="s">
        <v>5914</v>
      </c>
      <c r="C1470" s="756" t="s">
        <v>3610</v>
      </c>
      <c r="D1470" s="752" t="s">
        <v>3452</v>
      </c>
      <c r="E1470" s="754">
        <v>0</v>
      </c>
    </row>
    <row r="1471" spans="1:5" ht="16.3" customHeight="1">
      <c r="A1471" s="754" t="s">
        <v>5857</v>
      </c>
      <c r="B1471" s="757" t="s">
        <v>5914</v>
      </c>
      <c r="C1471" s="756" t="s">
        <v>3611</v>
      </c>
      <c r="D1471" s="752" t="s">
        <v>3452</v>
      </c>
      <c r="E1471" s="754">
        <v>0</v>
      </c>
    </row>
    <row r="1472" spans="1:5" ht="16.3" customHeight="1">
      <c r="A1472" s="754" t="s">
        <v>5857</v>
      </c>
      <c r="B1472" s="757" t="s">
        <v>5914</v>
      </c>
      <c r="C1472" s="756" t="s">
        <v>3612</v>
      </c>
      <c r="D1472" s="752" t="s">
        <v>3452</v>
      </c>
      <c r="E1472" s="754">
        <v>0</v>
      </c>
    </row>
    <row r="1473" spans="1:5" ht="16.3" customHeight="1">
      <c r="A1473" s="754" t="s">
        <v>5857</v>
      </c>
      <c r="B1473" s="757" t="s">
        <v>5914</v>
      </c>
      <c r="C1473" s="756" t="s">
        <v>3613</v>
      </c>
      <c r="D1473" s="752" t="s">
        <v>3452</v>
      </c>
      <c r="E1473" s="754">
        <v>0</v>
      </c>
    </row>
    <row r="1474" spans="1:5" ht="16.3" customHeight="1">
      <c r="A1474" s="754" t="s">
        <v>5857</v>
      </c>
      <c r="B1474" s="757" t="s">
        <v>5914</v>
      </c>
      <c r="C1474" s="756" t="s">
        <v>3614</v>
      </c>
      <c r="D1474" s="752" t="s">
        <v>3452</v>
      </c>
      <c r="E1474" s="754">
        <v>0</v>
      </c>
    </row>
    <row r="1475" spans="1:5" ht="16.3" customHeight="1">
      <c r="A1475" s="754" t="s">
        <v>5857</v>
      </c>
      <c r="B1475" s="757" t="s">
        <v>5914</v>
      </c>
      <c r="C1475" s="756" t="s">
        <v>3615</v>
      </c>
      <c r="D1475" s="752" t="s">
        <v>3452</v>
      </c>
      <c r="E1475" s="754">
        <v>0</v>
      </c>
    </row>
    <row r="1476" spans="1:5" ht="16.3" customHeight="1">
      <c r="A1476" s="754" t="s">
        <v>5857</v>
      </c>
      <c r="B1476" s="757" t="s">
        <v>5914</v>
      </c>
      <c r="C1476" s="756" t="s">
        <v>3616</v>
      </c>
      <c r="D1476" s="752" t="s">
        <v>3452</v>
      </c>
      <c r="E1476" s="754">
        <v>0</v>
      </c>
    </row>
    <row r="1477" spans="1:5" ht="16.3" customHeight="1">
      <c r="A1477" s="754" t="s">
        <v>5857</v>
      </c>
      <c r="B1477" s="757" t="s">
        <v>5914</v>
      </c>
      <c r="C1477" s="756" t="s">
        <v>5887</v>
      </c>
      <c r="D1477" s="752" t="s">
        <v>3452</v>
      </c>
      <c r="E1477" s="754">
        <v>0</v>
      </c>
    </row>
    <row r="1478" spans="1:5" ht="16.3" customHeight="1">
      <c r="A1478" s="754" t="s">
        <v>5857</v>
      </c>
      <c r="B1478" s="758" t="s">
        <v>5913</v>
      </c>
      <c r="C1478" s="756" t="s">
        <v>5888</v>
      </c>
      <c r="D1478" s="752" t="s">
        <v>3514</v>
      </c>
      <c r="E1478" s="754">
        <v>0</v>
      </c>
    </row>
    <row r="1479" spans="1:5" ht="16.3" customHeight="1">
      <c r="A1479" s="754" t="s">
        <v>5857</v>
      </c>
      <c r="B1479" s="758" t="s">
        <v>5913</v>
      </c>
      <c r="C1479" s="756" t="s">
        <v>5889</v>
      </c>
      <c r="D1479" s="752" t="s">
        <v>3514</v>
      </c>
      <c r="E1479" s="754">
        <v>0</v>
      </c>
    </row>
    <row r="1480" spans="1:5" ht="16.3" customHeight="1">
      <c r="A1480" s="754" t="s">
        <v>5857</v>
      </c>
      <c r="B1480" s="758" t="s">
        <v>5913</v>
      </c>
      <c r="C1480" s="756" t="s">
        <v>5890</v>
      </c>
      <c r="D1480" s="752" t="s">
        <v>3514</v>
      </c>
      <c r="E1480" s="754">
        <v>0</v>
      </c>
    </row>
    <row r="1481" spans="1:5" ht="16.3" customHeight="1">
      <c r="A1481" s="754" t="s">
        <v>5857</v>
      </c>
      <c r="B1481" s="758" t="s">
        <v>5913</v>
      </c>
      <c r="C1481" s="756" t="s">
        <v>5891</v>
      </c>
      <c r="D1481" s="752" t="s">
        <v>3514</v>
      </c>
      <c r="E1481" s="754">
        <v>0</v>
      </c>
    </row>
    <row r="1482" spans="1:5" ht="16.3" customHeight="1">
      <c r="A1482" s="754" t="s">
        <v>5857</v>
      </c>
      <c r="B1482" s="758" t="s">
        <v>5913</v>
      </c>
      <c r="C1482" s="756" t="s">
        <v>5892</v>
      </c>
      <c r="D1482" s="752" t="s">
        <v>3514</v>
      </c>
      <c r="E1482" s="754">
        <v>0</v>
      </c>
    </row>
    <row r="1483" spans="1:5" ht="16.3" customHeight="1">
      <c r="A1483" s="754" t="s">
        <v>5857</v>
      </c>
      <c r="B1483" s="758" t="s">
        <v>5913</v>
      </c>
      <c r="C1483" s="756" t="s">
        <v>5893</v>
      </c>
      <c r="D1483" s="752" t="s">
        <v>3514</v>
      </c>
      <c r="E1483" s="754">
        <v>0</v>
      </c>
    </row>
    <row r="1484" spans="1:5" ht="15.9">
      <c r="A1484" s="754" t="s">
        <v>5857</v>
      </c>
      <c r="B1484" s="758" t="s">
        <v>5913</v>
      </c>
      <c r="C1484" s="756" t="s">
        <v>5894</v>
      </c>
      <c r="D1484" s="752" t="s">
        <v>3514</v>
      </c>
      <c r="E1484" s="754">
        <v>0</v>
      </c>
    </row>
    <row r="1485" spans="1:5" ht="15.9">
      <c r="A1485" s="754" t="s">
        <v>5857</v>
      </c>
      <c r="B1485" s="758" t="s">
        <v>5913</v>
      </c>
      <c r="C1485" s="756" t="s">
        <v>2680</v>
      </c>
      <c r="D1485" s="752" t="s">
        <v>3514</v>
      </c>
      <c r="E1485" s="754">
        <v>0</v>
      </c>
    </row>
    <row r="1486" spans="1:5" ht="15.9">
      <c r="A1486" s="754" t="s">
        <v>5857</v>
      </c>
      <c r="B1486" s="758" t="s">
        <v>5913</v>
      </c>
      <c r="C1486" s="756" t="s">
        <v>2680</v>
      </c>
      <c r="D1486" s="752" t="s">
        <v>3514</v>
      </c>
      <c r="E1486" s="754">
        <v>0</v>
      </c>
    </row>
    <row r="1487" spans="1:5" ht="15.9">
      <c r="A1487" s="754" t="s">
        <v>5857</v>
      </c>
      <c r="B1487" s="759" t="s">
        <v>5915</v>
      </c>
      <c r="C1487" s="756" t="s">
        <v>5895</v>
      </c>
      <c r="D1487" s="752" t="s">
        <v>3622</v>
      </c>
      <c r="E1487" s="754">
        <v>0</v>
      </c>
    </row>
    <row r="1488" spans="1:5" ht="15.9">
      <c r="A1488" s="754" t="s">
        <v>5857</v>
      </c>
      <c r="B1488" s="759" t="s">
        <v>5915</v>
      </c>
      <c r="C1488" s="756" t="s">
        <v>2680</v>
      </c>
      <c r="D1488" s="752" t="s">
        <v>3622</v>
      </c>
      <c r="E1488" s="754">
        <v>0</v>
      </c>
    </row>
    <row r="1489" spans="1:5" ht="15.9">
      <c r="A1489" s="754" t="s">
        <v>5857</v>
      </c>
      <c r="B1489" s="759" t="s">
        <v>5915</v>
      </c>
      <c r="C1489" s="756" t="s">
        <v>5896</v>
      </c>
      <c r="D1489" s="752" t="s">
        <v>3622</v>
      </c>
      <c r="E1489" s="754">
        <v>0</v>
      </c>
    </row>
    <row r="1490" spans="1:5" ht="15.9">
      <c r="A1490" s="754" t="s">
        <v>5857</v>
      </c>
      <c r="B1490" s="759" t="s">
        <v>5915</v>
      </c>
      <c r="C1490" s="756" t="s">
        <v>3617</v>
      </c>
      <c r="D1490" s="752" t="s">
        <v>3622</v>
      </c>
      <c r="E1490" s="754">
        <v>0</v>
      </c>
    </row>
    <row r="1491" spans="1:5" ht="15.9">
      <c r="A1491" s="754" t="s">
        <v>5857</v>
      </c>
      <c r="B1491" s="759" t="s">
        <v>5915</v>
      </c>
      <c r="C1491" s="756" t="s">
        <v>3618</v>
      </c>
      <c r="D1491" s="752" t="s">
        <v>3622</v>
      </c>
      <c r="E1491" s="754">
        <v>0</v>
      </c>
    </row>
    <row r="1492" spans="1:5" ht="15.9">
      <c r="A1492" s="754" t="s">
        <v>5857</v>
      </c>
      <c r="B1492" s="759" t="s">
        <v>5915</v>
      </c>
      <c r="C1492" s="756" t="s">
        <v>3619</v>
      </c>
      <c r="D1492" s="752" t="s">
        <v>3622</v>
      </c>
      <c r="E1492" s="754">
        <v>0</v>
      </c>
    </row>
    <row r="1493" spans="1:5" ht="15.9">
      <c r="A1493" s="754" t="s">
        <v>5857</v>
      </c>
      <c r="B1493" s="759" t="s">
        <v>5915</v>
      </c>
      <c r="C1493" s="756" t="s">
        <v>3620</v>
      </c>
      <c r="D1493" s="752" t="s">
        <v>3622</v>
      </c>
      <c r="E1493" s="754">
        <v>0</v>
      </c>
    </row>
    <row r="1494" spans="1:5" ht="15.9">
      <c r="A1494" s="754" t="s">
        <v>5857</v>
      </c>
      <c r="B1494" s="759" t="s">
        <v>5915</v>
      </c>
      <c r="C1494" s="756" t="s">
        <v>3621</v>
      </c>
      <c r="D1494" s="752" t="s">
        <v>3622</v>
      </c>
      <c r="E1494" s="754">
        <v>0</v>
      </c>
    </row>
    <row r="1495" spans="1:5" ht="15.9">
      <c r="A1495" s="754" t="s">
        <v>5857</v>
      </c>
      <c r="B1495" s="767" t="s">
        <v>5916</v>
      </c>
      <c r="C1495" s="756" t="s">
        <v>5897</v>
      </c>
      <c r="D1495" s="752" t="s">
        <v>3455</v>
      </c>
      <c r="E1495" s="754">
        <v>0</v>
      </c>
    </row>
    <row r="1496" spans="1:5" ht="15.9">
      <c r="A1496" s="754" t="s">
        <v>5857</v>
      </c>
      <c r="B1496" s="767" t="s">
        <v>5916</v>
      </c>
      <c r="C1496" s="756" t="s">
        <v>3623</v>
      </c>
      <c r="D1496" s="752" t="s">
        <v>3455</v>
      </c>
      <c r="E1496" s="754">
        <v>0</v>
      </c>
    </row>
    <row r="1497" spans="1:5" ht="15.9">
      <c r="A1497" s="754" t="s">
        <v>5857</v>
      </c>
      <c r="B1497" s="767" t="s">
        <v>5916</v>
      </c>
      <c r="C1497" s="756" t="s">
        <v>3624</v>
      </c>
      <c r="D1497" s="752" t="s">
        <v>3455</v>
      </c>
      <c r="E1497" s="754">
        <v>0</v>
      </c>
    </row>
    <row r="1498" spans="1:5" ht="15.9">
      <c r="A1498" s="754" t="s">
        <v>5857</v>
      </c>
      <c r="B1498" s="767" t="s">
        <v>5916</v>
      </c>
      <c r="C1498" s="760"/>
      <c r="D1498" s="752" t="s">
        <v>3455</v>
      </c>
      <c r="E1498" s="754">
        <v>0</v>
      </c>
    </row>
    <row r="1499" spans="1:5" ht="15.9">
      <c r="A1499" s="754" t="s">
        <v>5857</v>
      </c>
      <c r="B1499" s="767" t="s">
        <v>5916</v>
      </c>
      <c r="C1499" s="756" t="s">
        <v>2680</v>
      </c>
      <c r="D1499" s="752" t="s">
        <v>3455</v>
      </c>
      <c r="E1499" s="754">
        <v>0</v>
      </c>
    </row>
    <row r="1500" spans="1:5" ht="15.9">
      <c r="A1500" s="754" t="s">
        <v>5857</v>
      </c>
      <c r="B1500" s="767" t="s">
        <v>5916</v>
      </c>
      <c r="C1500" s="756" t="s">
        <v>2680</v>
      </c>
      <c r="D1500" s="752" t="s">
        <v>3455</v>
      </c>
      <c r="E1500" s="754">
        <v>0</v>
      </c>
    </row>
    <row r="1501" spans="1:5" ht="15.9">
      <c r="A1501" s="754" t="s">
        <v>5857</v>
      </c>
      <c r="B1501" s="767" t="s">
        <v>5916</v>
      </c>
      <c r="C1501" s="756" t="s">
        <v>5898</v>
      </c>
      <c r="D1501" s="752" t="s">
        <v>3455</v>
      </c>
      <c r="E1501" s="754">
        <v>0</v>
      </c>
    </row>
    <row r="1502" spans="1:5" ht="15.9">
      <c r="A1502" s="754" t="s">
        <v>5857</v>
      </c>
      <c r="B1502" s="767" t="s">
        <v>5916</v>
      </c>
      <c r="C1502" s="756" t="s">
        <v>3625</v>
      </c>
      <c r="D1502" s="752" t="s">
        <v>3455</v>
      </c>
      <c r="E1502" s="754">
        <v>0</v>
      </c>
    </row>
    <row r="1503" spans="1:5" ht="15.9">
      <c r="A1503" s="754" t="s">
        <v>5857</v>
      </c>
      <c r="B1503" s="761" t="s">
        <v>5917</v>
      </c>
      <c r="C1503" s="756" t="s">
        <v>5899</v>
      </c>
      <c r="D1503" s="752" t="s">
        <v>5266</v>
      </c>
      <c r="E1503" s="754">
        <v>0</v>
      </c>
    </row>
    <row r="1504" spans="1:5" ht="15.9">
      <c r="A1504" s="754" t="s">
        <v>5857</v>
      </c>
      <c r="B1504" s="732" t="s">
        <v>5912</v>
      </c>
      <c r="C1504" s="756" t="s">
        <v>3628</v>
      </c>
      <c r="D1504" s="752" t="s">
        <v>5900</v>
      </c>
      <c r="E1504" s="754">
        <v>0</v>
      </c>
    </row>
    <row r="1505" spans="1:5" ht="15.9">
      <c r="A1505" s="754" t="s">
        <v>5857</v>
      </c>
      <c r="B1505" s="732" t="s">
        <v>5912</v>
      </c>
      <c r="C1505" s="756" t="s">
        <v>3630</v>
      </c>
      <c r="D1505" s="752" t="s">
        <v>5900</v>
      </c>
      <c r="E1505" s="754">
        <v>0</v>
      </c>
    </row>
    <row r="1506" spans="1:5" ht="15.9">
      <c r="A1506" s="754" t="s">
        <v>5857</v>
      </c>
      <c r="B1506" s="757" t="s">
        <v>5914</v>
      </c>
      <c r="C1506" s="756" t="s">
        <v>6626</v>
      </c>
      <c r="D1506" s="752" t="s">
        <v>5208</v>
      </c>
      <c r="E1506" s="754">
        <v>0</v>
      </c>
    </row>
    <row r="1507" spans="1:5" ht="15.9">
      <c r="A1507" s="754" t="s">
        <v>5857</v>
      </c>
      <c r="B1507" s="757" t="s">
        <v>5914</v>
      </c>
      <c r="C1507" s="756" t="s">
        <v>6627</v>
      </c>
      <c r="D1507" s="752" t="s">
        <v>5208</v>
      </c>
      <c r="E1507" s="754">
        <v>0</v>
      </c>
    </row>
    <row r="1508" spans="1:5" ht="15.9">
      <c r="A1508" s="754" t="s">
        <v>5857</v>
      </c>
      <c r="B1508" s="758" t="s">
        <v>5913</v>
      </c>
      <c r="C1508" s="756" t="s">
        <v>3631</v>
      </c>
      <c r="D1508" s="752" t="s">
        <v>5901</v>
      </c>
      <c r="E1508" s="754">
        <v>0</v>
      </c>
    </row>
    <row r="1509" spans="1:5" ht="15.9">
      <c r="A1509" s="754" t="s">
        <v>5857</v>
      </c>
      <c r="B1509" s="758" t="s">
        <v>5913</v>
      </c>
      <c r="C1509" s="756" t="s">
        <v>3632</v>
      </c>
      <c r="D1509" s="752" t="s">
        <v>5901</v>
      </c>
      <c r="E1509" s="754">
        <v>0</v>
      </c>
    </row>
    <row r="1510" spans="1:5" ht="15.9">
      <c r="A1510" s="754" t="s">
        <v>5857</v>
      </c>
      <c r="B1510" s="759" t="s">
        <v>5915</v>
      </c>
      <c r="C1510" s="756" t="s">
        <v>3633</v>
      </c>
      <c r="D1510" s="752" t="s">
        <v>3455</v>
      </c>
      <c r="E1510" s="754">
        <v>0</v>
      </c>
    </row>
    <row r="1511" spans="1:5" ht="15.9">
      <c r="A1511" s="754" t="s">
        <v>5857</v>
      </c>
      <c r="B1511" s="759" t="s">
        <v>5915</v>
      </c>
      <c r="C1511" s="756" t="s">
        <v>3634</v>
      </c>
      <c r="D1511" s="752" t="s">
        <v>3455</v>
      </c>
      <c r="E1511" s="754">
        <v>0</v>
      </c>
    </row>
    <row r="1512" spans="1:5" ht="15.9">
      <c r="A1512" s="754" t="s">
        <v>5857</v>
      </c>
      <c r="B1512" s="767" t="s">
        <v>5916</v>
      </c>
      <c r="C1512" s="756" t="s">
        <v>3635</v>
      </c>
      <c r="D1512" s="752" t="s">
        <v>5266</v>
      </c>
      <c r="E1512" s="754">
        <v>0</v>
      </c>
    </row>
    <row r="1513" spans="1:5" ht="15.9">
      <c r="A1513" s="754" t="s">
        <v>5857</v>
      </c>
      <c r="B1513" s="767" t="s">
        <v>5916</v>
      </c>
      <c r="C1513" s="756" t="s">
        <v>3636</v>
      </c>
      <c r="D1513" s="752" t="s">
        <v>5266</v>
      </c>
      <c r="E1513" s="754">
        <v>0</v>
      </c>
    </row>
    <row r="1514" spans="1:5" ht="15.9">
      <c r="A1514" s="754" t="s">
        <v>5857</v>
      </c>
      <c r="B1514" s="761" t="s">
        <v>5917</v>
      </c>
      <c r="C1514" s="756" t="s">
        <v>3637</v>
      </c>
      <c r="D1514" s="752" t="s">
        <v>5902</v>
      </c>
      <c r="E1514" s="754">
        <v>0</v>
      </c>
    </row>
    <row r="1515" spans="1:5" ht="15.9">
      <c r="A1515" s="754" t="s">
        <v>5857</v>
      </c>
      <c r="B1515" s="761" t="s">
        <v>5917</v>
      </c>
      <c r="C1515" s="756" t="s">
        <v>3638</v>
      </c>
      <c r="D1515" s="752" t="s">
        <v>5902</v>
      </c>
      <c r="E1515" s="754">
        <v>0</v>
      </c>
    </row>
    <row r="1516" spans="1:5" ht="15.9">
      <c r="A1516" s="754" t="s">
        <v>5857</v>
      </c>
      <c r="B1516" s="732" t="s">
        <v>5912</v>
      </c>
      <c r="C1516" s="756" t="s">
        <v>3641</v>
      </c>
      <c r="D1516" s="752" t="s">
        <v>3486</v>
      </c>
      <c r="E1516" s="754">
        <v>0</v>
      </c>
    </row>
    <row r="1517" spans="1:5" ht="15.9">
      <c r="A1517" s="754" t="s">
        <v>5857</v>
      </c>
      <c r="B1517" s="732" t="s">
        <v>5912</v>
      </c>
      <c r="C1517" s="766" t="s">
        <v>3642</v>
      </c>
      <c r="D1517" s="752" t="s">
        <v>3486</v>
      </c>
      <c r="E1517" s="754">
        <v>0</v>
      </c>
    </row>
    <row r="1518" spans="1:5" ht="15.9">
      <c r="A1518" s="754" t="s">
        <v>5857</v>
      </c>
      <c r="B1518" s="732" t="s">
        <v>5912</v>
      </c>
      <c r="C1518" s="766" t="s">
        <v>3643</v>
      </c>
      <c r="D1518" s="752" t="s">
        <v>3486</v>
      </c>
      <c r="E1518" s="754">
        <v>0</v>
      </c>
    </row>
    <row r="1519" spans="1:5" ht="15.9">
      <c r="A1519" s="754" t="s">
        <v>5857</v>
      </c>
      <c r="B1519" s="732" t="s">
        <v>5912</v>
      </c>
      <c r="C1519" s="766" t="s">
        <v>3644</v>
      </c>
      <c r="D1519" s="752" t="s">
        <v>3486</v>
      </c>
      <c r="E1519" s="754">
        <v>0</v>
      </c>
    </row>
    <row r="1520" spans="1:5" ht="15.9">
      <c r="A1520" s="754" t="s">
        <v>5857</v>
      </c>
      <c r="B1520" s="732" t="s">
        <v>5912</v>
      </c>
      <c r="C1520" s="766" t="s">
        <v>3645</v>
      </c>
      <c r="D1520" s="752" t="s">
        <v>3486</v>
      </c>
      <c r="E1520" s="754">
        <v>0</v>
      </c>
    </row>
    <row r="1521" spans="1:5" ht="15.9">
      <c r="A1521" s="754" t="s">
        <v>5857</v>
      </c>
      <c r="B1521" s="732" t="s">
        <v>5912</v>
      </c>
      <c r="C1521" s="766" t="s">
        <v>3646</v>
      </c>
      <c r="D1521" s="752" t="s">
        <v>3486</v>
      </c>
      <c r="E1521" s="754">
        <v>0</v>
      </c>
    </row>
    <row r="1522" spans="1:5" ht="15.9">
      <c r="A1522" s="754" t="s">
        <v>5857</v>
      </c>
      <c r="B1522" s="732" t="s">
        <v>5912</v>
      </c>
      <c r="C1522" s="766" t="s">
        <v>3647</v>
      </c>
      <c r="D1522" s="752" t="s">
        <v>3486</v>
      </c>
      <c r="E1522" s="754">
        <v>0</v>
      </c>
    </row>
    <row r="1523" spans="1:5" ht="15.9">
      <c r="A1523" s="754" t="s">
        <v>5857</v>
      </c>
      <c r="B1523" s="732" t="s">
        <v>5912</v>
      </c>
      <c r="C1523" s="766" t="s">
        <v>3648</v>
      </c>
      <c r="D1523" s="752" t="s">
        <v>3486</v>
      </c>
      <c r="E1523" s="754">
        <v>0</v>
      </c>
    </row>
    <row r="1524" spans="1:5" ht="15.9">
      <c r="A1524" s="754" t="s">
        <v>5857</v>
      </c>
      <c r="B1524" s="732" t="s">
        <v>5912</v>
      </c>
      <c r="C1524" s="766" t="s">
        <v>3649</v>
      </c>
      <c r="D1524" s="752" t="s">
        <v>3486</v>
      </c>
      <c r="E1524" s="754">
        <v>0</v>
      </c>
    </row>
    <row r="1525" spans="1:5" ht="15.9">
      <c r="A1525" s="754" t="s">
        <v>5857</v>
      </c>
      <c r="B1525" s="732" t="s">
        <v>5912</v>
      </c>
      <c r="C1525" s="766" t="s">
        <v>3650</v>
      </c>
      <c r="D1525" s="752" t="s">
        <v>3486</v>
      </c>
      <c r="E1525" s="754">
        <v>0</v>
      </c>
    </row>
    <row r="1526" spans="1:5" ht="15.9">
      <c r="A1526" s="754" t="s">
        <v>5857</v>
      </c>
      <c r="B1526" s="732" t="s">
        <v>5912</v>
      </c>
      <c r="C1526" s="766" t="s">
        <v>3651</v>
      </c>
      <c r="D1526" s="752" t="s">
        <v>3486</v>
      </c>
      <c r="E1526" s="754">
        <v>0</v>
      </c>
    </row>
    <row r="1527" spans="1:5" ht="15.9">
      <c r="A1527" s="754" t="s">
        <v>5857</v>
      </c>
      <c r="B1527" s="732" t="s">
        <v>5912</v>
      </c>
      <c r="C1527" s="766" t="s">
        <v>3652</v>
      </c>
      <c r="D1527" s="752" t="s">
        <v>3486</v>
      </c>
      <c r="E1527" s="754">
        <v>0</v>
      </c>
    </row>
    <row r="1528" spans="1:5" ht="15.9">
      <c r="A1528" s="754" t="s">
        <v>5857</v>
      </c>
      <c r="B1528" s="757" t="s">
        <v>5914</v>
      </c>
      <c r="C1528" s="757" t="s">
        <v>3653</v>
      </c>
      <c r="D1528" s="752" t="s">
        <v>3452</v>
      </c>
      <c r="E1528" s="754">
        <v>0</v>
      </c>
    </row>
    <row r="1529" spans="1:5" ht="15.9">
      <c r="A1529" s="754" t="s">
        <v>5857</v>
      </c>
      <c r="B1529" s="757" t="s">
        <v>5914</v>
      </c>
      <c r="C1529" s="757" t="s">
        <v>3654</v>
      </c>
      <c r="D1529" s="752" t="s">
        <v>3452</v>
      </c>
      <c r="E1529" s="754">
        <v>0</v>
      </c>
    </row>
    <row r="1530" spans="1:5" ht="15.9">
      <c r="A1530" s="754" t="s">
        <v>5857</v>
      </c>
      <c r="B1530" s="757" t="s">
        <v>5914</v>
      </c>
      <c r="C1530" s="757" t="s">
        <v>3655</v>
      </c>
      <c r="D1530" s="752" t="s">
        <v>3452</v>
      </c>
      <c r="E1530" s="754">
        <v>0</v>
      </c>
    </row>
    <row r="1531" spans="1:5" ht="15.9">
      <c r="A1531" s="754" t="s">
        <v>5857</v>
      </c>
      <c r="B1531" s="757" t="s">
        <v>5914</v>
      </c>
      <c r="C1531" s="757" t="s">
        <v>3656</v>
      </c>
      <c r="D1531" s="752" t="s">
        <v>3452</v>
      </c>
      <c r="E1531" s="754">
        <v>0</v>
      </c>
    </row>
    <row r="1532" spans="1:5" ht="15.9">
      <c r="A1532" s="754" t="s">
        <v>5857</v>
      </c>
      <c r="B1532" s="757" t="s">
        <v>5914</v>
      </c>
      <c r="C1532" s="757" t="s">
        <v>3657</v>
      </c>
      <c r="D1532" s="752" t="s">
        <v>3452</v>
      </c>
      <c r="E1532" s="754">
        <v>0</v>
      </c>
    </row>
    <row r="1533" spans="1:5" ht="15.9">
      <c r="A1533" s="754" t="s">
        <v>5857</v>
      </c>
      <c r="B1533" s="757" t="s">
        <v>5914</v>
      </c>
      <c r="C1533" s="757" t="s">
        <v>3658</v>
      </c>
      <c r="D1533" s="752" t="s">
        <v>3452</v>
      </c>
      <c r="E1533" s="754">
        <v>0</v>
      </c>
    </row>
    <row r="1534" spans="1:5" ht="15.9">
      <c r="A1534" s="754" t="s">
        <v>5857</v>
      </c>
      <c r="B1534" s="757" t="s">
        <v>5914</v>
      </c>
      <c r="C1534" s="757" t="s">
        <v>3659</v>
      </c>
      <c r="D1534" s="752" t="s">
        <v>3452</v>
      </c>
      <c r="E1534" s="754">
        <v>0</v>
      </c>
    </row>
    <row r="1535" spans="1:5" ht="15.9">
      <c r="A1535" s="754" t="s">
        <v>5857</v>
      </c>
      <c r="B1535" s="757" t="s">
        <v>5914</v>
      </c>
      <c r="C1535" s="757" t="s">
        <v>3660</v>
      </c>
      <c r="D1535" s="752" t="s">
        <v>3452</v>
      </c>
      <c r="E1535" s="754">
        <v>0</v>
      </c>
    </row>
    <row r="1536" spans="1:5" ht="15.9">
      <c r="A1536" s="754" t="s">
        <v>5857</v>
      </c>
      <c r="B1536" s="757" t="s">
        <v>5914</v>
      </c>
      <c r="C1536" s="757" t="s">
        <v>3661</v>
      </c>
      <c r="D1536" s="752" t="s">
        <v>3452</v>
      </c>
      <c r="E1536" s="754">
        <v>0</v>
      </c>
    </row>
    <row r="1537" spans="1:5" ht="15.9">
      <c r="A1537" s="754" t="s">
        <v>5857</v>
      </c>
      <c r="B1537" s="757" t="s">
        <v>5914</v>
      </c>
      <c r="C1537" s="757" t="s">
        <v>3662</v>
      </c>
      <c r="D1537" s="752" t="s">
        <v>3452</v>
      </c>
      <c r="E1537" s="754">
        <v>0</v>
      </c>
    </row>
    <row r="1538" spans="1:5" ht="15.9">
      <c r="A1538" s="754" t="s">
        <v>5857</v>
      </c>
      <c r="B1538" s="757" t="s">
        <v>5914</v>
      </c>
      <c r="C1538" s="757" t="s">
        <v>3663</v>
      </c>
      <c r="D1538" s="752" t="s">
        <v>3452</v>
      </c>
      <c r="E1538" s="754">
        <v>0</v>
      </c>
    </row>
    <row r="1539" spans="1:5" ht="15.9">
      <c r="A1539" s="754" t="s">
        <v>5857</v>
      </c>
      <c r="B1539" s="757" t="s">
        <v>5914</v>
      </c>
      <c r="C1539" s="757" t="s">
        <v>3664</v>
      </c>
      <c r="D1539" s="752" t="s">
        <v>3452</v>
      </c>
      <c r="E1539" s="754">
        <v>0</v>
      </c>
    </row>
    <row r="1540" spans="1:5" ht="15.9">
      <c r="A1540" s="754" t="s">
        <v>5857</v>
      </c>
      <c r="B1540" s="757" t="s">
        <v>5914</v>
      </c>
      <c r="C1540" s="757" t="s">
        <v>3665</v>
      </c>
      <c r="D1540" s="752" t="s">
        <v>3452</v>
      </c>
      <c r="E1540" s="754">
        <v>0</v>
      </c>
    </row>
    <row r="1541" spans="1:5" ht="15.9">
      <c r="A1541" s="754" t="s">
        <v>5857</v>
      </c>
      <c r="B1541" s="757" t="s">
        <v>5914</v>
      </c>
      <c r="C1541" s="757" t="s">
        <v>3666</v>
      </c>
      <c r="D1541" s="752" t="s">
        <v>3452</v>
      </c>
      <c r="E1541" s="754">
        <v>0</v>
      </c>
    </row>
    <row r="1542" spans="1:5" ht="15.9">
      <c r="A1542" s="754" t="s">
        <v>5857</v>
      </c>
      <c r="B1542" s="757" t="s">
        <v>5914</v>
      </c>
      <c r="C1542" s="757" t="s">
        <v>3667</v>
      </c>
      <c r="D1542" s="752" t="s">
        <v>3452</v>
      </c>
      <c r="E1542" s="754">
        <v>0</v>
      </c>
    </row>
    <row r="1543" spans="1:5" ht="15.9">
      <c r="A1543" s="754" t="s">
        <v>5857</v>
      </c>
      <c r="B1543" s="757" t="s">
        <v>5914</v>
      </c>
      <c r="C1543" s="757" t="s">
        <v>3668</v>
      </c>
      <c r="D1543" s="752" t="s">
        <v>3452</v>
      </c>
      <c r="E1543" s="754">
        <v>0</v>
      </c>
    </row>
    <row r="1544" spans="1:5" ht="15.9">
      <c r="A1544" s="754" t="s">
        <v>5857</v>
      </c>
      <c r="B1544" s="757" t="s">
        <v>5914</v>
      </c>
      <c r="C1544" s="757" t="s">
        <v>3669</v>
      </c>
      <c r="D1544" s="752" t="s">
        <v>3452</v>
      </c>
      <c r="E1544" s="754">
        <v>0</v>
      </c>
    </row>
    <row r="1545" spans="1:5" ht="15.9">
      <c r="A1545" s="754" t="s">
        <v>5857</v>
      </c>
      <c r="B1545" s="757" t="s">
        <v>5914</v>
      </c>
      <c r="C1545" s="757" t="s">
        <v>3670</v>
      </c>
      <c r="D1545" s="752" t="s">
        <v>3452</v>
      </c>
      <c r="E1545" s="754">
        <v>0</v>
      </c>
    </row>
    <row r="1546" spans="1:5" ht="15.9">
      <c r="A1546" s="754" t="s">
        <v>5857</v>
      </c>
      <c r="B1546" s="757" t="s">
        <v>5914</v>
      </c>
      <c r="C1546" s="757" t="s">
        <v>3671</v>
      </c>
      <c r="D1546" s="752" t="s">
        <v>3452</v>
      </c>
      <c r="E1546" s="754">
        <v>0</v>
      </c>
    </row>
    <row r="1547" spans="1:5" ht="15.9">
      <c r="A1547" s="754" t="s">
        <v>5857</v>
      </c>
      <c r="B1547" s="757" t="s">
        <v>5914</v>
      </c>
      <c r="C1547" s="757" t="s">
        <v>3672</v>
      </c>
      <c r="D1547" s="752" t="s">
        <v>3452</v>
      </c>
      <c r="E1547" s="754">
        <v>0</v>
      </c>
    </row>
    <row r="1548" spans="1:5" ht="15.9">
      <c r="A1548" s="754" t="s">
        <v>5857</v>
      </c>
      <c r="B1548" s="757" t="s">
        <v>5914</v>
      </c>
      <c r="C1548" s="757" t="s">
        <v>3673</v>
      </c>
      <c r="D1548" s="752" t="s">
        <v>3452</v>
      </c>
      <c r="E1548" s="754">
        <v>0</v>
      </c>
    </row>
    <row r="1549" spans="1:5" ht="15.9">
      <c r="A1549" s="754" t="s">
        <v>5857</v>
      </c>
      <c r="B1549" s="757" t="s">
        <v>5914</v>
      </c>
      <c r="C1549" s="757" t="s">
        <v>3674</v>
      </c>
      <c r="D1549" s="752" t="s">
        <v>3452</v>
      </c>
      <c r="E1549" s="754">
        <v>0</v>
      </c>
    </row>
    <row r="1550" spans="1:5" ht="15.9">
      <c r="A1550" s="754" t="s">
        <v>5857</v>
      </c>
      <c r="B1550" s="757" t="s">
        <v>5914</v>
      </c>
      <c r="C1550" s="757" t="s">
        <v>3675</v>
      </c>
      <c r="D1550" s="752" t="s">
        <v>3452</v>
      </c>
      <c r="E1550" s="754">
        <v>0</v>
      </c>
    </row>
    <row r="1551" spans="1:5" ht="15.9">
      <c r="A1551" s="754" t="s">
        <v>5857</v>
      </c>
      <c r="B1551" s="757" t="s">
        <v>5914</v>
      </c>
      <c r="C1551" s="757" t="s">
        <v>3676</v>
      </c>
      <c r="D1551" s="752" t="s">
        <v>3452</v>
      </c>
      <c r="E1551" s="754">
        <v>0</v>
      </c>
    </row>
    <row r="1552" spans="1:5" ht="15.9">
      <c r="A1552" s="754" t="s">
        <v>5857</v>
      </c>
      <c r="B1552" s="757" t="s">
        <v>5914</v>
      </c>
      <c r="C1552" s="757" t="s">
        <v>3677</v>
      </c>
      <c r="D1552" s="752" t="s">
        <v>3452</v>
      </c>
      <c r="E1552" s="754">
        <v>0</v>
      </c>
    </row>
    <row r="1553" spans="1:5" ht="15.9">
      <c r="A1553" s="754" t="s">
        <v>5857</v>
      </c>
      <c r="B1553" s="757" t="s">
        <v>5914</v>
      </c>
      <c r="C1553" s="757" t="s">
        <v>3678</v>
      </c>
      <c r="D1553" s="752" t="s">
        <v>3452</v>
      </c>
      <c r="E1553" s="754">
        <v>0</v>
      </c>
    </row>
    <row r="1554" spans="1:5" ht="15.9">
      <c r="A1554" s="754" t="s">
        <v>5857</v>
      </c>
      <c r="B1554" s="757" t="s">
        <v>5914</v>
      </c>
      <c r="C1554" s="757" t="s">
        <v>3679</v>
      </c>
      <c r="D1554" s="752" t="s">
        <v>3452</v>
      </c>
      <c r="E1554" s="754">
        <v>0</v>
      </c>
    </row>
    <row r="1555" spans="1:5" ht="15.9">
      <c r="A1555" s="754" t="s">
        <v>5857</v>
      </c>
      <c r="B1555" s="757" t="s">
        <v>5914</v>
      </c>
      <c r="C1555" s="757" t="s">
        <v>3680</v>
      </c>
      <c r="D1555" s="752" t="s">
        <v>3452</v>
      </c>
      <c r="E1555" s="754">
        <v>0</v>
      </c>
    </row>
    <row r="1556" spans="1:5" ht="15.9">
      <c r="A1556" s="754" t="s">
        <v>5857</v>
      </c>
      <c r="B1556" s="757" t="s">
        <v>5914</v>
      </c>
      <c r="C1556" s="757" t="s">
        <v>3681</v>
      </c>
      <c r="D1556" s="752" t="s">
        <v>3452</v>
      </c>
      <c r="E1556" s="754">
        <v>0</v>
      </c>
    </row>
    <row r="1557" spans="1:5" ht="15.9">
      <c r="A1557" s="754" t="s">
        <v>5857</v>
      </c>
      <c r="B1557" s="757" t="s">
        <v>5914</v>
      </c>
      <c r="C1557" s="757" t="s">
        <v>3682</v>
      </c>
      <c r="D1557" s="752" t="s">
        <v>3452</v>
      </c>
      <c r="E1557" s="754">
        <v>0</v>
      </c>
    </row>
    <row r="1558" spans="1:5" ht="15.9">
      <c r="A1558" s="754" t="s">
        <v>5857</v>
      </c>
      <c r="B1558" s="757" t="s">
        <v>5914</v>
      </c>
      <c r="C1558" s="757" t="s">
        <v>3683</v>
      </c>
      <c r="D1558" s="752" t="s">
        <v>3452</v>
      </c>
      <c r="E1558" s="754">
        <v>0</v>
      </c>
    </row>
    <row r="1559" spans="1:5" ht="15.9">
      <c r="A1559" s="754" t="s">
        <v>5857</v>
      </c>
      <c r="B1559" s="757" t="s">
        <v>5914</v>
      </c>
      <c r="C1559" s="757" t="s">
        <v>3684</v>
      </c>
      <c r="D1559" s="752" t="s">
        <v>3452</v>
      </c>
      <c r="E1559" s="754">
        <v>0</v>
      </c>
    </row>
    <row r="1560" spans="1:5" ht="15.9">
      <c r="A1560" s="754" t="s">
        <v>5857</v>
      </c>
      <c r="B1560" s="757" t="s">
        <v>5914</v>
      </c>
      <c r="C1560" s="757" t="s">
        <v>3685</v>
      </c>
      <c r="D1560" s="752" t="s">
        <v>3452</v>
      </c>
      <c r="E1560" s="754">
        <v>0</v>
      </c>
    </row>
    <row r="1561" spans="1:5" ht="15.9">
      <c r="A1561" s="754" t="s">
        <v>5857</v>
      </c>
      <c r="B1561" s="757" t="s">
        <v>5914</v>
      </c>
      <c r="C1561" s="757" t="s">
        <v>3686</v>
      </c>
      <c r="D1561" s="752" t="s">
        <v>3452</v>
      </c>
      <c r="E1561" s="754">
        <v>0</v>
      </c>
    </row>
    <row r="1562" spans="1:5" ht="15.9">
      <c r="A1562" s="754" t="s">
        <v>5857</v>
      </c>
      <c r="B1562" s="757" t="s">
        <v>5914</v>
      </c>
      <c r="C1562" s="757" t="s">
        <v>3687</v>
      </c>
      <c r="D1562" s="752" t="s">
        <v>3452</v>
      </c>
      <c r="E1562" s="754">
        <v>0</v>
      </c>
    </row>
    <row r="1563" spans="1:5" ht="15.9">
      <c r="A1563" s="754" t="s">
        <v>5857</v>
      </c>
      <c r="B1563" s="757" t="s">
        <v>5914</v>
      </c>
      <c r="C1563" s="757" t="s">
        <v>3688</v>
      </c>
      <c r="D1563" s="752" t="s">
        <v>3452</v>
      </c>
      <c r="E1563" s="754">
        <v>0</v>
      </c>
    </row>
    <row r="1564" spans="1:5" ht="15.9">
      <c r="A1564" s="754" t="s">
        <v>5857</v>
      </c>
      <c r="B1564" s="757" t="s">
        <v>5914</v>
      </c>
      <c r="C1564" s="757" t="s">
        <v>3689</v>
      </c>
      <c r="D1564" s="752" t="s">
        <v>3452</v>
      </c>
      <c r="E1564" s="754">
        <v>0</v>
      </c>
    </row>
    <row r="1565" spans="1:5" ht="15.9">
      <c r="A1565" s="754" t="s">
        <v>5857</v>
      </c>
      <c r="B1565" s="757" t="s">
        <v>5914</v>
      </c>
      <c r="C1565" s="757" t="s">
        <v>3690</v>
      </c>
      <c r="D1565" s="752" t="s">
        <v>3452</v>
      </c>
      <c r="E1565" s="754">
        <v>0</v>
      </c>
    </row>
    <row r="1566" spans="1:5" ht="15.9">
      <c r="A1566" s="754" t="s">
        <v>5857</v>
      </c>
      <c r="B1566" s="757" t="s">
        <v>5914</v>
      </c>
      <c r="C1566" s="757" t="s">
        <v>3691</v>
      </c>
      <c r="D1566" s="752" t="s">
        <v>3452</v>
      </c>
      <c r="E1566" s="754">
        <v>0</v>
      </c>
    </row>
    <row r="1567" spans="1:5" ht="15.9">
      <c r="A1567" s="754" t="s">
        <v>5857</v>
      </c>
      <c r="B1567" s="757" t="s">
        <v>5914</v>
      </c>
      <c r="C1567" s="757" t="s">
        <v>3692</v>
      </c>
      <c r="D1567" s="752" t="s">
        <v>3452</v>
      </c>
      <c r="E1567" s="754">
        <v>0</v>
      </c>
    </row>
    <row r="1568" spans="1:5" ht="15.9">
      <c r="A1568" s="754" t="s">
        <v>5857</v>
      </c>
      <c r="B1568" s="757" t="s">
        <v>5914</v>
      </c>
      <c r="C1568" s="757" t="s">
        <v>3693</v>
      </c>
      <c r="D1568" s="752" t="s">
        <v>3452</v>
      </c>
      <c r="E1568" s="754">
        <v>0</v>
      </c>
    </row>
    <row r="1569" spans="1:5" ht="15.9">
      <c r="A1569" s="754" t="s">
        <v>5857</v>
      </c>
      <c r="B1569" s="757" t="s">
        <v>5914</v>
      </c>
      <c r="C1569" s="757" t="s">
        <v>3694</v>
      </c>
      <c r="D1569" s="752" t="s">
        <v>3452</v>
      </c>
      <c r="E1569" s="754">
        <v>0</v>
      </c>
    </row>
    <row r="1570" spans="1:5" ht="15.9">
      <c r="A1570" s="754" t="s">
        <v>5857</v>
      </c>
      <c r="B1570" s="757" t="s">
        <v>5914</v>
      </c>
      <c r="C1570" s="757" t="s">
        <v>3695</v>
      </c>
      <c r="D1570" s="752" t="s">
        <v>3452</v>
      </c>
      <c r="E1570" s="754">
        <v>0</v>
      </c>
    </row>
    <row r="1571" spans="1:5" ht="15.9">
      <c r="A1571" s="754" t="s">
        <v>5857</v>
      </c>
      <c r="B1571" s="757" t="s">
        <v>5914</v>
      </c>
      <c r="C1571" s="757" t="s">
        <v>3696</v>
      </c>
      <c r="D1571" s="752" t="s">
        <v>3452</v>
      </c>
      <c r="E1571" s="754">
        <v>0</v>
      </c>
    </row>
    <row r="1572" spans="1:5" ht="15.9">
      <c r="A1572" s="754" t="s">
        <v>5857</v>
      </c>
      <c r="B1572" s="757" t="s">
        <v>5914</v>
      </c>
      <c r="C1572" s="757" t="s">
        <v>3697</v>
      </c>
      <c r="D1572" s="752" t="s">
        <v>3452</v>
      </c>
      <c r="E1572" s="754">
        <v>0</v>
      </c>
    </row>
    <row r="1573" spans="1:5" ht="15.9">
      <c r="A1573" s="754" t="s">
        <v>5857</v>
      </c>
      <c r="B1573" s="757" t="s">
        <v>5914</v>
      </c>
      <c r="C1573" s="757" t="s">
        <v>3698</v>
      </c>
      <c r="D1573" s="752" t="s">
        <v>3452</v>
      </c>
      <c r="E1573" s="754">
        <v>0</v>
      </c>
    </row>
    <row r="1574" spans="1:5" ht="15.9">
      <c r="A1574" s="754" t="s">
        <v>5857</v>
      </c>
      <c r="B1574" s="757" t="s">
        <v>5914</v>
      </c>
      <c r="C1574" s="757" t="s">
        <v>3699</v>
      </c>
      <c r="D1574" s="752" t="s">
        <v>3452</v>
      </c>
      <c r="E1574" s="754">
        <v>0</v>
      </c>
    </row>
    <row r="1575" spans="1:5" ht="15.9">
      <c r="A1575" s="754" t="s">
        <v>5857</v>
      </c>
      <c r="B1575" s="757" t="s">
        <v>5914</v>
      </c>
      <c r="C1575" s="757" t="s">
        <v>3700</v>
      </c>
      <c r="D1575" s="752" t="s">
        <v>3452</v>
      </c>
      <c r="E1575" s="754">
        <v>0</v>
      </c>
    </row>
    <row r="1576" spans="1:5" ht="15.9">
      <c r="A1576" s="754" t="s">
        <v>5857</v>
      </c>
      <c r="B1576" s="757" t="s">
        <v>5914</v>
      </c>
      <c r="C1576" s="757" t="s">
        <v>3701</v>
      </c>
      <c r="D1576" s="752" t="s">
        <v>3452</v>
      </c>
      <c r="E1576" s="754">
        <v>0</v>
      </c>
    </row>
    <row r="1577" spans="1:5" ht="15.9">
      <c r="A1577" s="754" t="s">
        <v>5857</v>
      </c>
      <c r="B1577" s="757" t="s">
        <v>5914</v>
      </c>
      <c r="C1577" s="757" t="s">
        <v>3702</v>
      </c>
      <c r="D1577" s="752" t="s">
        <v>3452</v>
      </c>
      <c r="E1577" s="754">
        <v>0</v>
      </c>
    </row>
    <row r="1578" spans="1:5" ht="15.9">
      <c r="A1578" s="754" t="s">
        <v>5857</v>
      </c>
      <c r="B1578" s="757" t="s">
        <v>5914</v>
      </c>
      <c r="C1578" s="757" t="s">
        <v>3703</v>
      </c>
      <c r="D1578" s="752" t="s">
        <v>3452</v>
      </c>
      <c r="E1578" s="754">
        <v>0</v>
      </c>
    </row>
    <row r="1579" spans="1:5" ht="15.9">
      <c r="A1579" s="754" t="s">
        <v>5857</v>
      </c>
      <c r="B1579" s="757" t="s">
        <v>5914</v>
      </c>
      <c r="C1579" s="757" t="s">
        <v>3704</v>
      </c>
      <c r="D1579" s="752" t="s">
        <v>3452</v>
      </c>
      <c r="E1579" s="754">
        <v>0</v>
      </c>
    </row>
    <row r="1580" spans="1:5" ht="15.9">
      <c r="A1580" s="754" t="s">
        <v>5857</v>
      </c>
      <c r="B1580" s="757" t="s">
        <v>5914</v>
      </c>
      <c r="C1580" s="757" t="s">
        <v>3705</v>
      </c>
      <c r="D1580" s="752" t="s">
        <v>3452</v>
      </c>
      <c r="E1580" s="754">
        <v>0</v>
      </c>
    </row>
    <row r="1581" spans="1:5" ht="15.9">
      <c r="A1581" s="754" t="s">
        <v>5857</v>
      </c>
      <c r="B1581" s="757" t="s">
        <v>5914</v>
      </c>
      <c r="C1581" s="757" t="s">
        <v>3706</v>
      </c>
      <c r="D1581" s="752" t="s">
        <v>3452</v>
      </c>
      <c r="E1581" s="754">
        <v>0</v>
      </c>
    </row>
    <row r="1582" spans="1:5" ht="15.9">
      <c r="A1582" s="754" t="s">
        <v>5857</v>
      </c>
      <c r="B1582" s="757" t="s">
        <v>5914</v>
      </c>
      <c r="C1582" s="757" t="s">
        <v>3707</v>
      </c>
      <c r="D1582" s="752" t="s">
        <v>3452</v>
      </c>
      <c r="E1582" s="754">
        <v>0</v>
      </c>
    </row>
    <row r="1583" spans="1:5" ht="15.9">
      <c r="A1583" s="754" t="s">
        <v>5857</v>
      </c>
      <c r="B1583" s="757" t="s">
        <v>5914</v>
      </c>
      <c r="C1583" s="757" t="s">
        <v>3708</v>
      </c>
      <c r="D1583" s="752" t="s">
        <v>3452</v>
      </c>
      <c r="E1583" s="754">
        <v>0</v>
      </c>
    </row>
    <row r="1584" spans="1:5" ht="15.9">
      <c r="A1584" s="754" t="s">
        <v>5857</v>
      </c>
      <c r="B1584" s="757" t="s">
        <v>5914</v>
      </c>
      <c r="C1584" s="757" t="s">
        <v>3709</v>
      </c>
      <c r="D1584" s="752" t="s">
        <v>3452</v>
      </c>
      <c r="E1584" s="754">
        <v>0</v>
      </c>
    </row>
    <row r="1585" spans="1:5" ht="15.9">
      <c r="A1585" s="754" t="s">
        <v>5857</v>
      </c>
      <c r="B1585" s="757" t="s">
        <v>5914</v>
      </c>
      <c r="C1585" s="757" t="s">
        <v>3710</v>
      </c>
      <c r="D1585" s="752" t="s">
        <v>3452</v>
      </c>
      <c r="E1585" s="754">
        <v>0</v>
      </c>
    </row>
    <row r="1586" spans="1:5" ht="15.9">
      <c r="A1586" s="754" t="s">
        <v>5857</v>
      </c>
      <c r="B1586" s="757" t="s">
        <v>5914</v>
      </c>
      <c r="C1586" s="757" t="s">
        <v>3711</v>
      </c>
      <c r="D1586" s="752" t="s">
        <v>3452</v>
      </c>
      <c r="E1586" s="754">
        <v>0</v>
      </c>
    </row>
    <row r="1587" spans="1:5" ht="15.9">
      <c r="A1587" s="754" t="s">
        <v>5857</v>
      </c>
      <c r="B1587" s="757" t="s">
        <v>5914</v>
      </c>
      <c r="C1587" s="757" t="s">
        <v>3712</v>
      </c>
      <c r="D1587" s="752" t="s">
        <v>3452</v>
      </c>
      <c r="E1587" s="754">
        <v>0</v>
      </c>
    </row>
    <row r="1588" spans="1:5" ht="15.9">
      <c r="A1588" s="754" t="s">
        <v>5857</v>
      </c>
      <c r="B1588" s="757" t="s">
        <v>5914</v>
      </c>
      <c r="C1588" s="757" t="s">
        <v>3713</v>
      </c>
      <c r="D1588" s="752" t="s">
        <v>3452</v>
      </c>
      <c r="E1588" s="754">
        <v>0</v>
      </c>
    </row>
    <row r="1589" spans="1:5" ht="15.9">
      <c r="A1589" s="754" t="s">
        <v>5857</v>
      </c>
      <c r="B1589" s="757" t="s">
        <v>5914</v>
      </c>
      <c r="C1589" s="757" t="s">
        <v>3714</v>
      </c>
      <c r="D1589" s="752" t="s">
        <v>3452</v>
      </c>
      <c r="E1589" s="754">
        <v>0</v>
      </c>
    </row>
    <row r="1590" spans="1:5" ht="15.9">
      <c r="A1590" s="754" t="s">
        <v>5857</v>
      </c>
      <c r="B1590" s="757" t="s">
        <v>5914</v>
      </c>
      <c r="C1590" s="757" t="s">
        <v>3715</v>
      </c>
      <c r="D1590" s="752" t="s">
        <v>3452</v>
      </c>
      <c r="E1590" s="754">
        <v>0</v>
      </c>
    </row>
    <row r="1591" spans="1:5" ht="15.9">
      <c r="A1591" s="754" t="s">
        <v>5857</v>
      </c>
      <c r="B1591" s="757" t="s">
        <v>5914</v>
      </c>
      <c r="C1591" s="757" t="s">
        <v>3716</v>
      </c>
      <c r="D1591" s="752" t="s">
        <v>3452</v>
      </c>
      <c r="E1591" s="754">
        <v>0</v>
      </c>
    </row>
    <row r="1592" spans="1:5" ht="15.9">
      <c r="A1592" s="754" t="s">
        <v>5857</v>
      </c>
      <c r="B1592" s="757" t="s">
        <v>5914</v>
      </c>
      <c r="C1592" s="757" t="s">
        <v>3717</v>
      </c>
      <c r="D1592" s="752" t="s">
        <v>3452</v>
      </c>
      <c r="E1592" s="754">
        <v>0</v>
      </c>
    </row>
    <row r="1593" spans="1:5" ht="15.9">
      <c r="A1593" s="754" t="s">
        <v>5857</v>
      </c>
      <c r="B1593" s="757" t="s">
        <v>5914</v>
      </c>
      <c r="C1593" s="757" t="s">
        <v>3718</v>
      </c>
      <c r="D1593" s="752" t="s">
        <v>3452</v>
      </c>
      <c r="E1593" s="754">
        <v>0</v>
      </c>
    </row>
    <row r="1594" spans="1:5" ht="15.9">
      <c r="A1594" s="754" t="s">
        <v>5857</v>
      </c>
      <c r="B1594" s="757" t="s">
        <v>5914</v>
      </c>
      <c r="C1594" s="757" t="s">
        <v>3719</v>
      </c>
      <c r="D1594" s="752" t="s">
        <v>3452</v>
      </c>
      <c r="E1594" s="754">
        <v>0</v>
      </c>
    </row>
    <row r="1595" spans="1:5" ht="15.9">
      <c r="A1595" s="754" t="s">
        <v>5857</v>
      </c>
      <c r="B1595" s="757" t="s">
        <v>5914</v>
      </c>
      <c r="C1595" s="757" t="s">
        <v>3720</v>
      </c>
      <c r="D1595" s="752" t="s">
        <v>3452</v>
      </c>
      <c r="E1595" s="754">
        <v>0</v>
      </c>
    </row>
    <row r="1596" spans="1:5" ht="15.9">
      <c r="A1596" s="754" t="s">
        <v>5857</v>
      </c>
      <c r="B1596" s="757" t="s">
        <v>5914</v>
      </c>
      <c r="C1596" s="757" t="s">
        <v>3721</v>
      </c>
      <c r="D1596" s="752" t="s">
        <v>3452</v>
      </c>
      <c r="E1596" s="754">
        <v>0</v>
      </c>
    </row>
    <row r="1597" spans="1:5" ht="15.9">
      <c r="A1597" s="754" t="s">
        <v>5857</v>
      </c>
      <c r="B1597" s="757" t="s">
        <v>5914</v>
      </c>
      <c r="C1597" s="757" t="s">
        <v>3722</v>
      </c>
      <c r="D1597" s="752" t="s">
        <v>3452</v>
      </c>
      <c r="E1597" s="754">
        <v>0</v>
      </c>
    </row>
    <row r="1598" spans="1:5" ht="15.9">
      <c r="A1598" s="754" t="s">
        <v>5857</v>
      </c>
      <c r="B1598" s="757" t="s">
        <v>5914</v>
      </c>
      <c r="C1598" s="757" t="s">
        <v>3723</v>
      </c>
      <c r="D1598" s="752" t="s">
        <v>3452</v>
      </c>
      <c r="E1598" s="754">
        <v>0</v>
      </c>
    </row>
    <row r="1599" spans="1:5" ht="15.9">
      <c r="A1599" s="754" t="s">
        <v>5857</v>
      </c>
      <c r="B1599" s="757" t="s">
        <v>5914</v>
      </c>
      <c r="C1599" s="757" t="s">
        <v>3724</v>
      </c>
      <c r="D1599" s="752" t="s">
        <v>3452</v>
      </c>
      <c r="E1599" s="754">
        <v>0</v>
      </c>
    </row>
    <row r="1600" spans="1:5" ht="15.9">
      <c r="A1600" s="754" t="s">
        <v>5857</v>
      </c>
      <c r="B1600" s="757" t="s">
        <v>5914</v>
      </c>
      <c r="C1600" s="757" t="s">
        <v>3725</v>
      </c>
      <c r="D1600" s="752" t="s">
        <v>3452</v>
      </c>
      <c r="E1600" s="754">
        <v>0</v>
      </c>
    </row>
    <row r="1601" spans="1:5" ht="15.9">
      <c r="A1601" s="754" t="s">
        <v>5857</v>
      </c>
      <c r="B1601" s="757" t="s">
        <v>5914</v>
      </c>
      <c r="C1601" s="757" t="s">
        <v>3726</v>
      </c>
      <c r="D1601" s="752" t="s">
        <v>3452</v>
      </c>
      <c r="E1601" s="754">
        <v>0</v>
      </c>
    </row>
    <row r="1602" spans="1:5" ht="15.9">
      <c r="A1602" s="754" t="s">
        <v>5857</v>
      </c>
      <c r="B1602" s="757" t="s">
        <v>5914</v>
      </c>
      <c r="C1602" s="757" t="s">
        <v>3727</v>
      </c>
      <c r="D1602" s="752" t="s">
        <v>3452</v>
      </c>
      <c r="E1602" s="754">
        <v>0</v>
      </c>
    </row>
    <row r="1603" spans="1:5" ht="15.9">
      <c r="A1603" s="754" t="s">
        <v>5857</v>
      </c>
      <c r="B1603" s="757" t="s">
        <v>5914</v>
      </c>
      <c r="C1603" s="757" t="s">
        <v>3728</v>
      </c>
      <c r="D1603" s="752" t="s">
        <v>3452</v>
      </c>
      <c r="E1603" s="754">
        <v>0</v>
      </c>
    </row>
    <row r="1604" spans="1:5" ht="15.9">
      <c r="A1604" s="754" t="s">
        <v>5857</v>
      </c>
      <c r="B1604" s="757" t="s">
        <v>5914</v>
      </c>
      <c r="C1604" s="757" t="s">
        <v>3729</v>
      </c>
      <c r="D1604" s="752" t="s">
        <v>3452</v>
      </c>
      <c r="E1604" s="754">
        <v>0</v>
      </c>
    </row>
    <row r="1605" spans="1:5" ht="15.9">
      <c r="A1605" s="754" t="s">
        <v>5857</v>
      </c>
      <c r="B1605" s="757" t="s">
        <v>5914</v>
      </c>
      <c r="C1605" s="757" t="s">
        <v>3730</v>
      </c>
      <c r="D1605" s="752" t="s">
        <v>3452</v>
      </c>
      <c r="E1605" s="754">
        <v>0</v>
      </c>
    </row>
    <row r="1606" spans="1:5" ht="15.9">
      <c r="A1606" s="754" t="s">
        <v>5857</v>
      </c>
      <c r="B1606" s="757" t="s">
        <v>5914</v>
      </c>
      <c r="C1606" s="757" t="s">
        <v>3731</v>
      </c>
      <c r="D1606" s="752" t="s">
        <v>3452</v>
      </c>
      <c r="E1606" s="754">
        <v>0</v>
      </c>
    </row>
    <row r="1607" spans="1:5" ht="15.9">
      <c r="A1607" s="754" t="s">
        <v>5857</v>
      </c>
      <c r="B1607" s="757" t="s">
        <v>5914</v>
      </c>
      <c r="C1607" s="757" t="s">
        <v>3732</v>
      </c>
      <c r="D1607" s="752" t="s">
        <v>3452</v>
      </c>
      <c r="E1607" s="754">
        <v>0</v>
      </c>
    </row>
    <row r="1608" spans="1:5" ht="15.9">
      <c r="A1608" s="754" t="s">
        <v>5857</v>
      </c>
      <c r="B1608" s="757" t="s">
        <v>5914</v>
      </c>
      <c r="C1608" s="757" t="s">
        <v>3733</v>
      </c>
      <c r="D1608" s="752" t="s">
        <v>3452</v>
      </c>
      <c r="E1608" s="754">
        <v>0</v>
      </c>
    </row>
    <row r="1609" spans="1:5" ht="15.9">
      <c r="A1609" s="754" t="s">
        <v>5857</v>
      </c>
      <c r="B1609" s="757" t="s">
        <v>5914</v>
      </c>
      <c r="C1609" s="757" t="s">
        <v>3734</v>
      </c>
      <c r="D1609" s="752" t="s">
        <v>3452</v>
      </c>
      <c r="E1609" s="754">
        <v>0</v>
      </c>
    </row>
    <row r="1610" spans="1:5" ht="15.9">
      <c r="A1610" s="754" t="s">
        <v>5857</v>
      </c>
      <c r="B1610" s="757" t="s">
        <v>5914</v>
      </c>
      <c r="C1610" s="757" t="s">
        <v>3735</v>
      </c>
      <c r="D1610" s="752" t="s">
        <v>3452</v>
      </c>
      <c r="E1610" s="754">
        <v>0</v>
      </c>
    </row>
    <row r="1611" spans="1:5" ht="15.9">
      <c r="A1611" s="754" t="s">
        <v>5857</v>
      </c>
      <c r="B1611" s="757" t="s">
        <v>5914</v>
      </c>
      <c r="C1611" s="757" t="s">
        <v>3736</v>
      </c>
      <c r="D1611" s="752" t="s">
        <v>3452</v>
      </c>
      <c r="E1611" s="754">
        <v>0</v>
      </c>
    </row>
    <row r="1612" spans="1:5" ht="15.9">
      <c r="A1612" s="754" t="s">
        <v>5857</v>
      </c>
      <c r="B1612" s="757" t="s">
        <v>5914</v>
      </c>
      <c r="C1612" s="757" t="s">
        <v>3737</v>
      </c>
      <c r="D1612" s="752" t="s">
        <v>3452</v>
      </c>
      <c r="E1612" s="754">
        <v>0</v>
      </c>
    </row>
    <row r="1613" spans="1:5" ht="15.9">
      <c r="A1613" s="754" t="s">
        <v>5857</v>
      </c>
      <c r="B1613" s="757" t="s">
        <v>5914</v>
      </c>
      <c r="C1613" s="757" t="s">
        <v>3738</v>
      </c>
      <c r="D1613" s="752" t="s">
        <v>3452</v>
      </c>
      <c r="E1613" s="754">
        <v>0</v>
      </c>
    </row>
    <row r="1614" spans="1:5" ht="15.9">
      <c r="A1614" s="754" t="s">
        <v>5857</v>
      </c>
      <c r="B1614" s="757" t="s">
        <v>5914</v>
      </c>
      <c r="C1614" s="757" t="s">
        <v>3739</v>
      </c>
      <c r="D1614" s="752" t="s">
        <v>3452</v>
      </c>
      <c r="E1614" s="754">
        <v>0</v>
      </c>
    </row>
    <row r="1615" spans="1:5" ht="15.9">
      <c r="A1615" s="754" t="s">
        <v>5857</v>
      </c>
      <c r="B1615" s="757" t="s">
        <v>5914</v>
      </c>
      <c r="C1615" s="757" t="s">
        <v>3740</v>
      </c>
      <c r="D1615" s="752" t="s">
        <v>3452</v>
      </c>
      <c r="E1615" s="754">
        <v>0</v>
      </c>
    </row>
    <row r="1616" spans="1:5" ht="15.9">
      <c r="A1616" s="754" t="s">
        <v>5857</v>
      </c>
      <c r="B1616" s="758" t="s">
        <v>5913</v>
      </c>
      <c r="C1616" s="758" t="s">
        <v>3741</v>
      </c>
      <c r="D1616" s="752" t="s">
        <v>3514</v>
      </c>
      <c r="E1616" s="754">
        <v>0</v>
      </c>
    </row>
    <row r="1617" spans="1:5" ht="15.9">
      <c r="A1617" s="754" t="s">
        <v>5857</v>
      </c>
      <c r="B1617" s="758" t="s">
        <v>5913</v>
      </c>
      <c r="C1617" s="758" t="s">
        <v>3742</v>
      </c>
      <c r="D1617" s="752" t="s">
        <v>3514</v>
      </c>
      <c r="E1617" s="754">
        <v>0</v>
      </c>
    </row>
    <row r="1618" spans="1:5" ht="15.9">
      <c r="A1618" s="754" t="s">
        <v>5857</v>
      </c>
      <c r="B1618" s="758" t="s">
        <v>5913</v>
      </c>
      <c r="C1618" s="758" t="s">
        <v>3743</v>
      </c>
      <c r="D1618" s="752" t="s">
        <v>3514</v>
      </c>
      <c r="E1618" s="754">
        <v>0</v>
      </c>
    </row>
    <row r="1619" spans="1:5" ht="15.9">
      <c r="A1619" s="754" t="s">
        <v>5857</v>
      </c>
      <c r="B1619" s="758" t="s">
        <v>5913</v>
      </c>
      <c r="C1619" s="758" t="s">
        <v>3744</v>
      </c>
      <c r="D1619" s="752" t="s">
        <v>3514</v>
      </c>
      <c r="E1619" s="754">
        <v>0</v>
      </c>
    </row>
    <row r="1620" spans="1:5" ht="15.9">
      <c r="A1620" s="754" t="s">
        <v>5857</v>
      </c>
      <c r="B1620" s="758" t="s">
        <v>5913</v>
      </c>
      <c r="C1620" s="758" t="s">
        <v>3745</v>
      </c>
      <c r="D1620" s="752" t="s">
        <v>3514</v>
      </c>
      <c r="E1620" s="754">
        <v>0</v>
      </c>
    </row>
    <row r="1621" spans="1:5" ht="15.9">
      <c r="A1621" s="754" t="s">
        <v>5857</v>
      </c>
      <c r="B1621" s="758" t="s">
        <v>5913</v>
      </c>
      <c r="C1621" s="758" t="s">
        <v>3746</v>
      </c>
      <c r="D1621" s="752" t="s">
        <v>3514</v>
      </c>
      <c r="E1621" s="754">
        <v>0</v>
      </c>
    </row>
    <row r="1622" spans="1:5" ht="15.9">
      <c r="A1622" s="754" t="s">
        <v>5857</v>
      </c>
      <c r="B1622" s="758" t="s">
        <v>5913</v>
      </c>
      <c r="C1622" s="758" t="s">
        <v>3747</v>
      </c>
      <c r="D1622" s="752" t="s">
        <v>3514</v>
      </c>
      <c r="E1622" s="754">
        <v>0</v>
      </c>
    </row>
    <row r="1623" spans="1:5" ht="15.9">
      <c r="A1623" s="754" t="s">
        <v>5857</v>
      </c>
      <c r="B1623" s="758" t="s">
        <v>5913</v>
      </c>
      <c r="C1623" s="758" t="s">
        <v>3748</v>
      </c>
      <c r="D1623" s="752" t="s">
        <v>3514</v>
      </c>
      <c r="E1623" s="754">
        <v>0</v>
      </c>
    </row>
    <row r="1624" spans="1:5" ht="15.9">
      <c r="A1624" s="754" t="s">
        <v>5857</v>
      </c>
      <c r="B1624" s="758" t="s">
        <v>5913</v>
      </c>
      <c r="C1624" s="758" t="s">
        <v>3749</v>
      </c>
      <c r="D1624" s="752" t="s">
        <v>3514</v>
      </c>
      <c r="E1624" s="754">
        <v>0</v>
      </c>
    </row>
    <row r="1625" spans="1:5" ht="15.9">
      <c r="A1625" s="754" t="s">
        <v>5857</v>
      </c>
      <c r="B1625" s="758" t="s">
        <v>5913</v>
      </c>
      <c r="C1625" s="758" t="s">
        <v>3750</v>
      </c>
      <c r="D1625" s="752" t="s">
        <v>3514</v>
      </c>
      <c r="E1625" s="754">
        <v>0</v>
      </c>
    </row>
    <row r="1626" spans="1:5" ht="15.9">
      <c r="A1626" s="754" t="s">
        <v>5857</v>
      </c>
      <c r="B1626" s="758" t="s">
        <v>5913</v>
      </c>
      <c r="C1626" s="758" t="s">
        <v>3751</v>
      </c>
      <c r="D1626" s="752" t="s">
        <v>3514</v>
      </c>
      <c r="E1626" s="754">
        <v>0</v>
      </c>
    </row>
    <row r="1627" spans="1:5" ht="15.9">
      <c r="A1627" s="754" t="s">
        <v>5857</v>
      </c>
      <c r="B1627" s="758" t="s">
        <v>5913</v>
      </c>
      <c r="C1627" s="758" t="s">
        <v>3752</v>
      </c>
      <c r="D1627" s="752" t="s">
        <v>3514</v>
      </c>
      <c r="E1627" s="754">
        <v>0</v>
      </c>
    </row>
    <row r="1628" spans="1:5" ht="15.9">
      <c r="A1628" s="754" t="s">
        <v>5857</v>
      </c>
      <c r="B1628" s="758" t="s">
        <v>5913</v>
      </c>
      <c r="C1628" s="758" t="s">
        <v>3753</v>
      </c>
      <c r="D1628" s="752" t="s">
        <v>3514</v>
      </c>
      <c r="E1628" s="754">
        <v>0</v>
      </c>
    </row>
    <row r="1629" spans="1:5" ht="15.9">
      <c r="A1629" s="754" t="s">
        <v>5857</v>
      </c>
      <c r="B1629" s="758" t="s">
        <v>5913</v>
      </c>
      <c r="C1629" s="758" t="s">
        <v>3754</v>
      </c>
      <c r="D1629" s="752" t="s">
        <v>3514</v>
      </c>
      <c r="E1629" s="754">
        <v>0</v>
      </c>
    </row>
    <row r="1630" spans="1:5" ht="15.9">
      <c r="A1630" s="754" t="s">
        <v>5857</v>
      </c>
      <c r="B1630" s="758" t="s">
        <v>5913</v>
      </c>
      <c r="C1630" s="758" t="s">
        <v>3755</v>
      </c>
      <c r="D1630" s="752" t="s">
        <v>3514</v>
      </c>
      <c r="E1630" s="754">
        <v>0</v>
      </c>
    </row>
    <row r="1631" spans="1:5" ht="15.9">
      <c r="A1631" s="754" t="s">
        <v>5857</v>
      </c>
      <c r="B1631" s="758" t="s">
        <v>5913</v>
      </c>
      <c r="C1631" s="758" t="s">
        <v>3756</v>
      </c>
      <c r="D1631" s="752" t="s">
        <v>3514</v>
      </c>
      <c r="E1631" s="754">
        <v>0</v>
      </c>
    </row>
    <row r="1632" spans="1:5" ht="15.9">
      <c r="A1632" s="754" t="s">
        <v>5857</v>
      </c>
      <c r="B1632" s="758" t="s">
        <v>5913</v>
      </c>
      <c r="C1632" s="758" t="s">
        <v>3757</v>
      </c>
      <c r="D1632" s="752" t="s">
        <v>3514</v>
      </c>
      <c r="E1632" s="754">
        <v>0</v>
      </c>
    </row>
    <row r="1633" spans="1:5" ht="15.9">
      <c r="A1633" s="754" t="s">
        <v>5857</v>
      </c>
      <c r="B1633" s="758" t="s">
        <v>5913</v>
      </c>
      <c r="C1633" s="758" t="s">
        <v>3758</v>
      </c>
      <c r="D1633" s="752" t="s">
        <v>3514</v>
      </c>
      <c r="E1633" s="754">
        <v>0</v>
      </c>
    </row>
    <row r="1634" spans="1:5" ht="15.9">
      <c r="A1634" s="754" t="s">
        <v>5857</v>
      </c>
      <c r="B1634" s="758" t="s">
        <v>5913</v>
      </c>
      <c r="C1634" s="758" t="s">
        <v>3759</v>
      </c>
      <c r="D1634" s="752" t="s">
        <v>3514</v>
      </c>
      <c r="E1634" s="754">
        <v>0</v>
      </c>
    </row>
    <row r="1635" spans="1:5" ht="15.9">
      <c r="A1635" s="754" t="s">
        <v>5857</v>
      </c>
      <c r="B1635" s="758" t="s">
        <v>5913</v>
      </c>
      <c r="C1635" s="758" t="s">
        <v>3760</v>
      </c>
      <c r="D1635" s="752" t="s">
        <v>3514</v>
      </c>
      <c r="E1635" s="754">
        <v>0</v>
      </c>
    </row>
    <row r="1636" spans="1:5" ht="15.9">
      <c r="A1636" s="754" t="s">
        <v>5857</v>
      </c>
      <c r="B1636" s="758" t="s">
        <v>5913</v>
      </c>
      <c r="C1636" s="758" t="s">
        <v>3761</v>
      </c>
      <c r="D1636" s="752" t="s">
        <v>3514</v>
      </c>
      <c r="E1636" s="754">
        <v>0</v>
      </c>
    </row>
    <row r="1637" spans="1:5" ht="15.9">
      <c r="A1637" s="754" t="s">
        <v>5857</v>
      </c>
      <c r="B1637" s="758" t="s">
        <v>5913</v>
      </c>
      <c r="C1637" s="758" t="s">
        <v>3762</v>
      </c>
      <c r="D1637" s="752" t="s">
        <v>3514</v>
      </c>
      <c r="E1637" s="754">
        <v>0</v>
      </c>
    </row>
    <row r="1638" spans="1:5" ht="15.9">
      <c r="A1638" s="754" t="s">
        <v>5857</v>
      </c>
      <c r="B1638" s="758" t="s">
        <v>5913</v>
      </c>
      <c r="C1638" s="758" t="s">
        <v>3763</v>
      </c>
      <c r="D1638" s="752" t="s">
        <v>3514</v>
      </c>
      <c r="E1638" s="754">
        <v>0</v>
      </c>
    </row>
    <row r="1639" spans="1:5" ht="15.9">
      <c r="A1639" s="754" t="s">
        <v>5857</v>
      </c>
      <c r="B1639" s="758" t="s">
        <v>5913</v>
      </c>
      <c r="C1639" s="758" t="s">
        <v>3764</v>
      </c>
      <c r="D1639" s="752" t="s">
        <v>3514</v>
      </c>
      <c r="E1639" s="754">
        <v>0</v>
      </c>
    </row>
    <row r="1640" spans="1:5" ht="15.9">
      <c r="A1640" s="754" t="s">
        <v>5857</v>
      </c>
      <c r="B1640" s="758" t="s">
        <v>5913</v>
      </c>
      <c r="C1640" s="758" t="s">
        <v>3765</v>
      </c>
      <c r="D1640" s="752" t="s">
        <v>3514</v>
      </c>
      <c r="E1640" s="754">
        <v>0</v>
      </c>
    </row>
    <row r="1641" spans="1:5" ht="15.9">
      <c r="A1641" s="754" t="s">
        <v>5857</v>
      </c>
      <c r="B1641" s="758" t="s">
        <v>5913</v>
      </c>
      <c r="C1641" s="758" t="s">
        <v>3766</v>
      </c>
      <c r="D1641" s="752" t="s">
        <v>3514</v>
      </c>
      <c r="E1641" s="754">
        <v>0</v>
      </c>
    </row>
    <row r="1642" spans="1:5" ht="15.9">
      <c r="A1642" s="754" t="s">
        <v>5857</v>
      </c>
      <c r="B1642" s="758" t="s">
        <v>5913</v>
      </c>
      <c r="C1642" s="758" t="s">
        <v>3767</v>
      </c>
      <c r="D1642" s="752" t="s">
        <v>3514</v>
      </c>
      <c r="E1642" s="754">
        <v>0</v>
      </c>
    </row>
    <row r="1643" spans="1:5" ht="15.9">
      <c r="A1643" s="754" t="s">
        <v>5857</v>
      </c>
      <c r="B1643" s="758" t="s">
        <v>5913</v>
      </c>
      <c r="C1643" s="758" t="s">
        <v>3768</v>
      </c>
      <c r="D1643" s="752" t="s">
        <v>3514</v>
      </c>
      <c r="E1643" s="754">
        <v>0</v>
      </c>
    </row>
    <row r="1644" spans="1:5" ht="15.9">
      <c r="A1644" s="754" t="s">
        <v>5857</v>
      </c>
      <c r="B1644" s="758" t="s">
        <v>5913</v>
      </c>
      <c r="C1644" s="758" t="s">
        <v>3769</v>
      </c>
      <c r="D1644" s="752" t="s">
        <v>3514</v>
      </c>
      <c r="E1644" s="754">
        <v>0</v>
      </c>
    </row>
    <row r="1645" spans="1:5" ht="15.9">
      <c r="A1645" s="754" t="s">
        <v>5857</v>
      </c>
      <c r="B1645" s="758" t="s">
        <v>5913</v>
      </c>
      <c r="C1645" s="758" t="s">
        <v>3770</v>
      </c>
      <c r="D1645" s="752" t="s">
        <v>3514</v>
      </c>
      <c r="E1645" s="754">
        <v>0</v>
      </c>
    </row>
    <row r="1646" spans="1:5" ht="15.9">
      <c r="A1646" s="754" t="s">
        <v>5857</v>
      </c>
      <c r="B1646" s="758" t="s">
        <v>5913</v>
      </c>
      <c r="C1646" s="758" t="s">
        <v>3771</v>
      </c>
      <c r="D1646" s="752" t="s">
        <v>3514</v>
      </c>
      <c r="E1646" s="754">
        <v>0</v>
      </c>
    </row>
    <row r="1647" spans="1:5" ht="15.9">
      <c r="A1647" s="754" t="s">
        <v>5857</v>
      </c>
      <c r="B1647" s="758" t="s">
        <v>5913</v>
      </c>
      <c r="C1647" s="758" t="s">
        <v>3772</v>
      </c>
      <c r="D1647" s="752" t="s">
        <v>3514</v>
      </c>
      <c r="E1647" s="754">
        <v>0</v>
      </c>
    </row>
    <row r="1648" spans="1:5" ht="15.9">
      <c r="A1648" s="754" t="s">
        <v>5857</v>
      </c>
      <c r="B1648" s="758" t="s">
        <v>5913</v>
      </c>
      <c r="C1648" s="758" t="s">
        <v>3773</v>
      </c>
      <c r="D1648" s="752" t="s">
        <v>3514</v>
      </c>
      <c r="E1648" s="754">
        <v>0</v>
      </c>
    </row>
    <row r="1649" spans="1:5" ht="15.9">
      <c r="A1649" s="754" t="s">
        <v>5857</v>
      </c>
      <c r="B1649" s="758" t="s">
        <v>5913</v>
      </c>
      <c r="C1649" s="758" t="s">
        <v>3774</v>
      </c>
      <c r="D1649" s="752" t="s">
        <v>3514</v>
      </c>
      <c r="E1649" s="754">
        <v>0</v>
      </c>
    </row>
    <row r="1650" spans="1:5" ht="15.9">
      <c r="A1650" s="754" t="s">
        <v>5857</v>
      </c>
      <c r="B1650" s="758" t="s">
        <v>5913</v>
      </c>
      <c r="C1650" s="758" t="s">
        <v>3775</v>
      </c>
      <c r="D1650" s="752" t="s">
        <v>3514</v>
      </c>
      <c r="E1650" s="754">
        <v>0</v>
      </c>
    </row>
    <row r="1651" spans="1:5" ht="15.9">
      <c r="A1651" s="754" t="s">
        <v>5857</v>
      </c>
      <c r="B1651" s="758" t="s">
        <v>5913</v>
      </c>
      <c r="C1651" s="758" t="s">
        <v>3776</v>
      </c>
      <c r="D1651" s="752" t="s">
        <v>3514</v>
      </c>
      <c r="E1651" s="754">
        <v>0</v>
      </c>
    </row>
    <row r="1652" spans="1:5" ht="15.9">
      <c r="A1652" s="754" t="s">
        <v>5857</v>
      </c>
      <c r="B1652" s="758" t="s">
        <v>5913</v>
      </c>
      <c r="C1652" s="758" t="s">
        <v>3777</v>
      </c>
      <c r="D1652" s="752" t="s">
        <v>3514</v>
      </c>
      <c r="E1652" s="754">
        <v>0</v>
      </c>
    </row>
    <row r="1653" spans="1:5" ht="15.9">
      <c r="A1653" s="754" t="s">
        <v>5857</v>
      </c>
      <c r="B1653" s="758" t="s">
        <v>5913</v>
      </c>
      <c r="C1653" s="758" t="s">
        <v>3778</v>
      </c>
      <c r="D1653" s="752" t="s">
        <v>3514</v>
      </c>
      <c r="E1653" s="754">
        <v>0</v>
      </c>
    </row>
    <row r="1654" spans="1:5" ht="15.9">
      <c r="A1654" s="754" t="s">
        <v>5857</v>
      </c>
      <c r="B1654" s="758" t="s">
        <v>5913</v>
      </c>
      <c r="C1654" s="758" t="s">
        <v>3779</v>
      </c>
      <c r="D1654" s="752" t="s">
        <v>3514</v>
      </c>
      <c r="E1654" s="754">
        <v>0</v>
      </c>
    </row>
    <row r="1655" spans="1:5" ht="15.9">
      <c r="A1655" s="754" t="s">
        <v>5857</v>
      </c>
      <c r="B1655" s="758" t="s">
        <v>5913</v>
      </c>
      <c r="C1655" s="758" t="s">
        <v>3780</v>
      </c>
      <c r="D1655" s="752" t="s">
        <v>3514</v>
      </c>
      <c r="E1655" s="754">
        <v>0</v>
      </c>
    </row>
    <row r="1656" spans="1:5" ht="15.9">
      <c r="A1656" s="754" t="s">
        <v>5857</v>
      </c>
      <c r="B1656" s="758" t="s">
        <v>5913</v>
      </c>
      <c r="C1656" s="758" t="s">
        <v>3781</v>
      </c>
      <c r="D1656" s="752" t="s">
        <v>3514</v>
      </c>
      <c r="E1656" s="754">
        <v>0</v>
      </c>
    </row>
    <row r="1657" spans="1:5" ht="15.9">
      <c r="A1657" s="754" t="s">
        <v>5857</v>
      </c>
      <c r="B1657" s="758" t="s">
        <v>5913</v>
      </c>
      <c r="C1657" s="758" t="s">
        <v>3782</v>
      </c>
      <c r="D1657" s="752" t="s">
        <v>3514</v>
      </c>
      <c r="E1657" s="754">
        <v>0</v>
      </c>
    </row>
    <row r="1658" spans="1:5" ht="15.9">
      <c r="A1658" s="754" t="s">
        <v>5857</v>
      </c>
      <c r="B1658" s="758" t="s">
        <v>5913</v>
      </c>
      <c r="C1658" s="758" t="s">
        <v>3783</v>
      </c>
      <c r="D1658" s="752" t="s">
        <v>3514</v>
      </c>
      <c r="E1658" s="754">
        <v>0</v>
      </c>
    </row>
    <row r="1659" spans="1:5" ht="15.9">
      <c r="A1659" s="754" t="s">
        <v>5857</v>
      </c>
      <c r="B1659" s="758" t="s">
        <v>5913</v>
      </c>
      <c r="C1659" s="758" t="s">
        <v>3784</v>
      </c>
      <c r="D1659" s="752" t="s">
        <v>3514</v>
      </c>
      <c r="E1659" s="754">
        <v>0</v>
      </c>
    </row>
    <row r="1660" spans="1:5" ht="15.9">
      <c r="A1660" s="754" t="s">
        <v>5857</v>
      </c>
      <c r="B1660" s="758" t="s">
        <v>5913</v>
      </c>
      <c r="C1660" s="758" t="s">
        <v>3785</v>
      </c>
      <c r="D1660" s="752" t="s">
        <v>3514</v>
      </c>
      <c r="E1660" s="754">
        <v>0</v>
      </c>
    </row>
    <row r="1661" spans="1:5" ht="15.9">
      <c r="A1661" s="754" t="s">
        <v>5857</v>
      </c>
      <c r="B1661" s="758" t="s">
        <v>5913</v>
      </c>
      <c r="C1661" s="758" t="s">
        <v>3786</v>
      </c>
      <c r="D1661" s="752" t="s">
        <v>3514</v>
      </c>
      <c r="E1661" s="754">
        <v>0</v>
      </c>
    </row>
    <row r="1662" spans="1:5" ht="15.9">
      <c r="A1662" s="754" t="s">
        <v>5857</v>
      </c>
      <c r="B1662" s="758" t="s">
        <v>5913</v>
      </c>
      <c r="C1662" s="758" t="s">
        <v>3787</v>
      </c>
      <c r="D1662" s="752" t="s">
        <v>3514</v>
      </c>
      <c r="E1662" s="754">
        <v>0</v>
      </c>
    </row>
    <row r="1663" spans="1:5" ht="15.9">
      <c r="A1663" s="754" t="s">
        <v>5857</v>
      </c>
      <c r="B1663" s="758" t="s">
        <v>5913</v>
      </c>
      <c r="C1663" s="758" t="s">
        <v>3788</v>
      </c>
      <c r="D1663" s="752" t="s">
        <v>3514</v>
      </c>
      <c r="E1663" s="754">
        <v>0</v>
      </c>
    </row>
    <row r="1664" spans="1:5" ht="15.9">
      <c r="A1664" s="754" t="s">
        <v>5857</v>
      </c>
      <c r="B1664" s="758" t="s">
        <v>5913</v>
      </c>
      <c r="C1664" s="758" t="s">
        <v>3789</v>
      </c>
      <c r="D1664" s="752" t="s">
        <v>3514</v>
      </c>
      <c r="E1664" s="754">
        <v>0</v>
      </c>
    </row>
    <row r="1665" spans="1:5" ht="15.9">
      <c r="A1665" s="754" t="s">
        <v>5857</v>
      </c>
      <c r="B1665" s="758" t="s">
        <v>5913</v>
      </c>
      <c r="C1665" s="758" t="s">
        <v>3790</v>
      </c>
      <c r="D1665" s="752" t="s">
        <v>3514</v>
      </c>
      <c r="E1665" s="754">
        <v>0</v>
      </c>
    </row>
    <row r="1666" spans="1:5" ht="15.9">
      <c r="A1666" s="754" t="s">
        <v>5857</v>
      </c>
      <c r="B1666" s="758" t="s">
        <v>5913</v>
      </c>
      <c r="C1666" s="758" t="s">
        <v>3791</v>
      </c>
      <c r="D1666" s="752" t="s">
        <v>3514</v>
      </c>
      <c r="E1666" s="754">
        <v>0</v>
      </c>
    </row>
    <row r="1667" spans="1:5" ht="15.9">
      <c r="A1667" s="754" t="s">
        <v>5857</v>
      </c>
      <c r="B1667" s="758" t="s">
        <v>5913</v>
      </c>
      <c r="C1667" s="758" t="s">
        <v>3792</v>
      </c>
      <c r="D1667" s="752" t="s">
        <v>3514</v>
      </c>
      <c r="E1667" s="754">
        <v>0</v>
      </c>
    </row>
    <row r="1668" spans="1:5" ht="15.9">
      <c r="A1668" s="754" t="s">
        <v>5857</v>
      </c>
      <c r="B1668" s="758" t="s">
        <v>5913</v>
      </c>
      <c r="C1668" s="758" t="s">
        <v>3793</v>
      </c>
      <c r="D1668" s="752" t="s">
        <v>3514</v>
      </c>
      <c r="E1668" s="754">
        <v>0</v>
      </c>
    </row>
    <row r="1669" spans="1:5" ht="15.9">
      <c r="A1669" s="754" t="s">
        <v>5857</v>
      </c>
      <c r="B1669" s="758" t="s">
        <v>5913</v>
      </c>
      <c r="C1669" s="758" t="s">
        <v>3794</v>
      </c>
      <c r="D1669" s="752" t="s">
        <v>3514</v>
      </c>
      <c r="E1669" s="754">
        <v>0</v>
      </c>
    </row>
    <row r="1670" spans="1:5" ht="15.9">
      <c r="A1670" s="754" t="s">
        <v>5857</v>
      </c>
      <c r="B1670" s="758" t="s">
        <v>5913</v>
      </c>
      <c r="C1670" s="758" t="s">
        <v>3795</v>
      </c>
      <c r="D1670" s="752" t="s">
        <v>3514</v>
      </c>
      <c r="E1670" s="754">
        <v>0</v>
      </c>
    </row>
    <row r="1671" spans="1:5" ht="15.9">
      <c r="A1671" s="754" t="s">
        <v>5857</v>
      </c>
      <c r="B1671" s="758" t="s">
        <v>5913</v>
      </c>
      <c r="C1671" s="758" t="s">
        <v>3796</v>
      </c>
      <c r="D1671" s="752" t="s">
        <v>3514</v>
      </c>
      <c r="E1671" s="754">
        <v>0</v>
      </c>
    </row>
    <row r="1672" spans="1:5" ht="15.9">
      <c r="A1672" s="754" t="s">
        <v>5857</v>
      </c>
      <c r="B1672" s="758" t="s">
        <v>5913</v>
      </c>
      <c r="C1672" s="758" t="s">
        <v>3797</v>
      </c>
      <c r="D1672" s="752" t="s">
        <v>3514</v>
      </c>
      <c r="E1672" s="754">
        <v>0</v>
      </c>
    </row>
    <row r="1673" spans="1:5" ht="15.9">
      <c r="A1673" s="754" t="s">
        <v>5857</v>
      </c>
      <c r="B1673" s="758" t="s">
        <v>5913</v>
      </c>
      <c r="C1673" s="758" t="s">
        <v>3798</v>
      </c>
      <c r="D1673" s="752" t="s">
        <v>3514</v>
      </c>
      <c r="E1673" s="754">
        <v>0</v>
      </c>
    </row>
    <row r="1674" spans="1:5" ht="15.9">
      <c r="A1674" s="754" t="s">
        <v>5857</v>
      </c>
      <c r="B1674" s="758" t="s">
        <v>5913</v>
      </c>
      <c r="C1674" s="758" t="s">
        <v>3799</v>
      </c>
      <c r="D1674" s="752" t="s">
        <v>3514</v>
      </c>
      <c r="E1674" s="754">
        <v>0</v>
      </c>
    </row>
    <row r="1675" spans="1:5" ht="15.9">
      <c r="A1675" s="754" t="s">
        <v>5857</v>
      </c>
      <c r="B1675" s="758" t="s">
        <v>5913</v>
      </c>
      <c r="C1675" s="758" t="s">
        <v>3800</v>
      </c>
      <c r="D1675" s="752" t="s">
        <v>3514</v>
      </c>
      <c r="E1675" s="754">
        <v>0</v>
      </c>
    </row>
    <row r="1676" spans="1:5" ht="15.9">
      <c r="A1676" s="754" t="s">
        <v>5857</v>
      </c>
      <c r="B1676" s="758" t="s">
        <v>5913</v>
      </c>
      <c r="C1676" s="758" t="s">
        <v>3801</v>
      </c>
      <c r="D1676" s="752" t="s">
        <v>3514</v>
      </c>
      <c r="E1676" s="754">
        <v>0</v>
      </c>
    </row>
    <row r="1677" spans="1:5" ht="15.9">
      <c r="A1677" s="754" t="s">
        <v>5857</v>
      </c>
      <c r="B1677" s="758" t="s">
        <v>5913</v>
      </c>
      <c r="C1677" s="758" t="s">
        <v>3802</v>
      </c>
      <c r="D1677" s="752" t="s">
        <v>3514</v>
      </c>
      <c r="E1677" s="754">
        <v>0</v>
      </c>
    </row>
    <row r="1678" spans="1:5" ht="15.9">
      <c r="A1678" s="754" t="s">
        <v>5857</v>
      </c>
      <c r="B1678" s="758" t="s">
        <v>5913</v>
      </c>
      <c r="C1678" s="758" t="s">
        <v>3803</v>
      </c>
      <c r="D1678" s="752" t="s">
        <v>3514</v>
      </c>
      <c r="E1678" s="754">
        <v>0</v>
      </c>
    </row>
    <row r="1679" spans="1:5" ht="15.9">
      <c r="A1679" s="754" t="s">
        <v>5857</v>
      </c>
      <c r="B1679" s="758" t="s">
        <v>5913</v>
      </c>
      <c r="C1679" s="758" t="s">
        <v>3804</v>
      </c>
      <c r="D1679" s="752" t="s">
        <v>3514</v>
      </c>
      <c r="E1679" s="754">
        <v>0</v>
      </c>
    </row>
    <row r="1680" spans="1:5" ht="15.9">
      <c r="A1680" s="754" t="s">
        <v>5857</v>
      </c>
      <c r="B1680" s="758" t="s">
        <v>5913</v>
      </c>
      <c r="C1680" s="758" t="s">
        <v>3805</v>
      </c>
      <c r="D1680" s="752" t="s">
        <v>3514</v>
      </c>
      <c r="E1680" s="754">
        <v>0</v>
      </c>
    </row>
    <row r="1681" spans="1:5" ht="15.9">
      <c r="A1681" s="754" t="s">
        <v>5857</v>
      </c>
      <c r="B1681" s="758" t="s">
        <v>5913</v>
      </c>
      <c r="C1681" s="758" t="s">
        <v>3806</v>
      </c>
      <c r="D1681" s="752" t="s">
        <v>3514</v>
      </c>
      <c r="E1681" s="754">
        <v>0</v>
      </c>
    </row>
    <row r="1682" spans="1:5" ht="15.9">
      <c r="A1682" s="754" t="s">
        <v>5857</v>
      </c>
      <c r="B1682" s="758" t="s">
        <v>5913</v>
      </c>
      <c r="C1682" s="758" t="s">
        <v>3807</v>
      </c>
      <c r="D1682" s="752" t="s">
        <v>3514</v>
      </c>
      <c r="E1682" s="754">
        <v>0</v>
      </c>
    </row>
    <row r="1683" spans="1:5" ht="15.9">
      <c r="A1683" s="754" t="s">
        <v>5857</v>
      </c>
      <c r="B1683" s="758" t="s">
        <v>5913</v>
      </c>
      <c r="C1683" s="758" t="s">
        <v>3808</v>
      </c>
      <c r="D1683" s="752" t="s">
        <v>3514</v>
      </c>
      <c r="E1683" s="754">
        <v>0</v>
      </c>
    </row>
    <row r="1684" spans="1:5" ht="15.9">
      <c r="A1684" s="754" t="s">
        <v>5857</v>
      </c>
      <c r="B1684" s="758" t="s">
        <v>5913</v>
      </c>
      <c r="C1684" s="758" t="s">
        <v>3809</v>
      </c>
      <c r="D1684" s="752" t="s">
        <v>3514</v>
      </c>
      <c r="E1684" s="754">
        <v>0</v>
      </c>
    </row>
    <row r="1685" spans="1:5" ht="15.9">
      <c r="A1685" s="754" t="s">
        <v>5857</v>
      </c>
      <c r="B1685" s="758" t="s">
        <v>5913</v>
      </c>
      <c r="C1685" s="758" t="s">
        <v>3810</v>
      </c>
      <c r="D1685" s="752" t="s">
        <v>3514</v>
      </c>
      <c r="E1685" s="754">
        <v>0</v>
      </c>
    </row>
    <row r="1686" spans="1:5" ht="15.9">
      <c r="A1686" s="754" t="s">
        <v>5857</v>
      </c>
      <c r="B1686" s="758" t="s">
        <v>5913</v>
      </c>
      <c r="C1686" s="758" t="s">
        <v>3811</v>
      </c>
      <c r="D1686" s="752" t="s">
        <v>3514</v>
      </c>
      <c r="E1686" s="754">
        <v>0</v>
      </c>
    </row>
    <row r="1687" spans="1:5" ht="15.9">
      <c r="A1687" s="754" t="s">
        <v>5857</v>
      </c>
      <c r="B1687" s="758" t="s">
        <v>5913</v>
      </c>
      <c r="C1687" s="758" t="s">
        <v>3812</v>
      </c>
      <c r="D1687" s="752" t="s">
        <v>3514</v>
      </c>
      <c r="E1687" s="754">
        <v>0</v>
      </c>
    </row>
    <row r="1688" spans="1:5" ht="15.9">
      <c r="A1688" s="754" t="s">
        <v>5857</v>
      </c>
      <c r="B1688" s="758" t="s">
        <v>5913</v>
      </c>
      <c r="C1688" s="758" t="s">
        <v>3813</v>
      </c>
      <c r="D1688" s="752" t="s">
        <v>3514</v>
      </c>
      <c r="E1688" s="754">
        <v>0</v>
      </c>
    </row>
    <row r="1689" spans="1:5" ht="15.9">
      <c r="A1689" s="754" t="s">
        <v>5857</v>
      </c>
      <c r="B1689" s="758" t="s">
        <v>5913</v>
      </c>
      <c r="C1689" s="758" t="s">
        <v>3814</v>
      </c>
      <c r="D1689" s="752" t="s">
        <v>3514</v>
      </c>
      <c r="E1689" s="754">
        <v>0</v>
      </c>
    </row>
    <row r="1690" spans="1:5" ht="15.9">
      <c r="A1690" s="754" t="s">
        <v>5857</v>
      </c>
      <c r="B1690" s="758" t="s">
        <v>5913</v>
      </c>
      <c r="C1690" s="758" t="s">
        <v>3815</v>
      </c>
      <c r="D1690" s="752" t="s">
        <v>3514</v>
      </c>
      <c r="E1690" s="754">
        <v>0</v>
      </c>
    </row>
    <row r="1691" spans="1:5" ht="15.9">
      <c r="A1691" s="754" t="s">
        <v>5857</v>
      </c>
      <c r="B1691" s="758" t="s">
        <v>5913</v>
      </c>
      <c r="C1691" s="758" t="s">
        <v>3816</v>
      </c>
      <c r="D1691" s="752" t="s">
        <v>3514</v>
      </c>
      <c r="E1691" s="754">
        <v>0</v>
      </c>
    </row>
    <row r="1692" spans="1:5" ht="15.9">
      <c r="A1692" s="754" t="s">
        <v>5857</v>
      </c>
      <c r="B1692" s="758" t="s">
        <v>5913</v>
      </c>
      <c r="C1692" s="758" t="s">
        <v>3817</v>
      </c>
      <c r="D1692" s="752" t="s">
        <v>3514</v>
      </c>
      <c r="E1692" s="754">
        <v>0</v>
      </c>
    </row>
    <row r="1693" spans="1:5" ht="15.9">
      <c r="A1693" s="754" t="s">
        <v>5857</v>
      </c>
      <c r="B1693" s="758" t="s">
        <v>5913</v>
      </c>
      <c r="C1693" s="758" t="s">
        <v>3818</v>
      </c>
      <c r="D1693" s="752" t="s">
        <v>3514</v>
      </c>
      <c r="E1693" s="754">
        <v>0</v>
      </c>
    </row>
    <row r="1694" spans="1:5" ht="15.9">
      <c r="A1694" s="754" t="s">
        <v>5857</v>
      </c>
      <c r="B1694" s="758" t="s">
        <v>5913</v>
      </c>
      <c r="C1694" s="758" t="s">
        <v>3819</v>
      </c>
      <c r="D1694" s="752" t="s">
        <v>3514</v>
      </c>
      <c r="E1694" s="754">
        <v>0</v>
      </c>
    </row>
    <row r="1695" spans="1:5" ht="15.9">
      <c r="A1695" s="754" t="s">
        <v>5857</v>
      </c>
      <c r="B1695" s="758" t="s">
        <v>5913</v>
      </c>
      <c r="C1695" s="758" t="s">
        <v>3820</v>
      </c>
      <c r="D1695" s="752" t="s">
        <v>3514</v>
      </c>
      <c r="E1695" s="754">
        <v>0</v>
      </c>
    </row>
    <row r="1696" spans="1:5" ht="15.9">
      <c r="A1696" s="754" t="s">
        <v>5857</v>
      </c>
      <c r="B1696" s="758" t="s">
        <v>5913</v>
      </c>
      <c r="C1696" s="758" t="s">
        <v>3821</v>
      </c>
      <c r="D1696" s="752" t="s">
        <v>3514</v>
      </c>
      <c r="E1696" s="754">
        <v>0</v>
      </c>
    </row>
    <row r="1697" spans="1:5" ht="15.9">
      <c r="A1697" s="754" t="s">
        <v>5857</v>
      </c>
      <c r="B1697" s="758" t="s">
        <v>5913</v>
      </c>
      <c r="C1697" s="758" t="s">
        <v>3822</v>
      </c>
      <c r="D1697" s="752" t="s">
        <v>3514</v>
      </c>
      <c r="E1697" s="754">
        <v>0</v>
      </c>
    </row>
    <row r="1698" spans="1:5" ht="15.9">
      <c r="A1698" s="754" t="s">
        <v>5857</v>
      </c>
      <c r="B1698" s="758" t="s">
        <v>5913</v>
      </c>
      <c r="C1698" s="758" t="s">
        <v>3823</v>
      </c>
      <c r="D1698" s="752" t="s">
        <v>3514</v>
      </c>
      <c r="E1698" s="754">
        <v>0</v>
      </c>
    </row>
    <row r="1699" spans="1:5" ht="15.9">
      <c r="A1699" s="754" t="s">
        <v>5857</v>
      </c>
      <c r="B1699" s="758" t="s">
        <v>5913</v>
      </c>
      <c r="C1699" s="758" t="s">
        <v>3824</v>
      </c>
      <c r="D1699" s="752" t="s">
        <v>3514</v>
      </c>
      <c r="E1699" s="754">
        <v>0</v>
      </c>
    </row>
    <row r="1700" spans="1:5" ht="15.9">
      <c r="A1700" s="754" t="s">
        <v>5857</v>
      </c>
      <c r="B1700" s="758" t="s">
        <v>5913</v>
      </c>
      <c r="C1700" s="758" t="s">
        <v>3825</v>
      </c>
      <c r="D1700" s="752" t="s">
        <v>3514</v>
      </c>
      <c r="E1700" s="754">
        <v>0</v>
      </c>
    </row>
    <row r="1701" spans="1:5" ht="15.9">
      <c r="A1701" s="754" t="s">
        <v>5857</v>
      </c>
      <c r="B1701" s="758" t="s">
        <v>5913</v>
      </c>
      <c r="C1701" s="758" t="s">
        <v>3826</v>
      </c>
      <c r="D1701" s="752" t="s">
        <v>3514</v>
      </c>
      <c r="E1701" s="754">
        <v>0</v>
      </c>
    </row>
    <row r="1702" spans="1:5" ht="15.9">
      <c r="A1702" s="754" t="s">
        <v>5857</v>
      </c>
      <c r="B1702" s="758" t="s">
        <v>5913</v>
      </c>
      <c r="C1702" s="758" t="s">
        <v>3827</v>
      </c>
      <c r="D1702" s="752" t="s">
        <v>3514</v>
      </c>
      <c r="E1702" s="754">
        <v>0</v>
      </c>
    </row>
    <row r="1703" spans="1:5" ht="15.9">
      <c r="A1703" s="754" t="s">
        <v>5857</v>
      </c>
      <c r="B1703" s="758" t="s">
        <v>5913</v>
      </c>
      <c r="C1703" s="758" t="s">
        <v>3828</v>
      </c>
      <c r="D1703" s="752" t="s">
        <v>3514</v>
      </c>
      <c r="E1703" s="754">
        <v>0</v>
      </c>
    </row>
    <row r="1704" spans="1:5" ht="15.9">
      <c r="A1704" s="754" t="s">
        <v>5857</v>
      </c>
      <c r="B1704" s="758" t="s">
        <v>5913</v>
      </c>
      <c r="C1704" s="758" t="s">
        <v>3829</v>
      </c>
      <c r="D1704" s="752" t="s">
        <v>3514</v>
      </c>
      <c r="E1704" s="754">
        <v>0</v>
      </c>
    </row>
    <row r="1705" spans="1:5" ht="15.9">
      <c r="A1705" s="754" t="s">
        <v>5857</v>
      </c>
      <c r="B1705" s="758" t="s">
        <v>5913</v>
      </c>
      <c r="C1705" s="758" t="s">
        <v>3830</v>
      </c>
      <c r="D1705" s="752" t="s">
        <v>3514</v>
      </c>
      <c r="E1705" s="754">
        <v>0</v>
      </c>
    </row>
    <row r="1706" spans="1:5" ht="15.9">
      <c r="A1706" s="754" t="s">
        <v>5857</v>
      </c>
      <c r="B1706" s="758" t="s">
        <v>5913</v>
      </c>
      <c r="C1706" s="758" t="s">
        <v>3831</v>
      </c>
      <c r="D1706" s="752" t="s">
        <v>3514</v>
      </c>
      <c r="E1706" s="754">
        <v>0</v>
      </c>
    </row>
    <row r="1707" spans="1:5" ht="15.9">
      <c r="A1707" s="754" t="s">
        <v>5857</v>
      </c>
      <c r="B1707" s="758" t="s">
        <v>5913</v>
      </c>
      <c r="C1707" s="758" t="s">
        <v>3832</v>
      </c>
      <c r="D1707" s="752" t="s">
        <v>3514</v>
      </c>
      <c r="E1707" s="754">
        <v>0</v>
      </c>
    </row>
    <row r="1708" spans="1:5" ht="15.9">
      <c r="A1708" s="754" t="s">
        <v>5857</v>
      </c>
      <c r="B1708" s="758" t="s">
        <v>5913</v>
      </c>
      <c r="C1708" s="758" t="s">
        <v>3833</v>
      </c>
      <c r="D1708" s="752" t="s">
        <v>3514</v>
      </c>
      <c r="E1708" s="754">
        <v>0</v>
      </c>
    </row>
    <row r="1709" spans="1:5" ht="15.9">
      <c r="A1709" s="754" t="s">
        <v>5857</v>
      </c>
      <c r="B1709" s="758" t="s">
        <v>5913</v>
      </c>
      <c r="C1709" s="758" t="s">
        <v>3834</v>
      </c>
      <c r="D1709" s="752" t="s">
        <v>3514</v>
      </c>
      <c r="E1709" s="754">
        <v>0</v>
      </c>
    </row>
    <row r="1710" spans="1:5" ht="15.9">
      <c r="A1710" s="754" t="s">
        <v>5857</v>
      </c>
      <c r="B1710" s="758" t="s">
        <v>5913</v>
      </c>
      <c r="C1710" s="758" t="s">
        <v>3835</v>
      </c>
      <c r="D1710" s="752" t="s">
        <v>3514</v>
      </c>
      <c r="E1710" s="754">
        <v>0</v>
      </c>
    </row>
    <row r="1711" spans="1:5" ht="15.9">
      <c r="A1711" s="754" t="s">
        <v>5857</v>
      </c>
      <c r="B1711" s="758" t="s">
        <v>5913</v>
      </c>
      <c r="C1711" s="758" t="s">
        <v>3836</v>
      </c>
      <c r="D1711" s="752" t="s">
        <v>3514</v>
      </c>
      <c r="E1711" s="754">
        <v>0</v>
      </c>
    </row>
    <row r="1712" spans="1:5" ht="15.9">
      <c r="A1712" s="754" t="s">
        <v>5857</v>
      </c>
      <c r="B1712" s="758" t="s">
        <v>5913</v>
      </c>
      <c r="C1712" s="758" t="s">
        <v>3837</v>
      </c>
      <c r="D1712" s="752" t="s">
        <v>3514</v>
      </c>
      <c r="E1712" s="754">
        <v>0</v>
      </c>
    </row>
    <row r="1713" spans="1:5" ht="15.9">
      <c r="A1713" s="754" t="s">
        <v>5857</v>
      </c>
      <c r="B1713" s="758" t="s">
        <v>5913</v>
      </c>
      <c r="C1713" s="758" t="s">
        <v>3838</v>
      </c>
      <c r="D1713" s="752" t="s">
        <v>3514</v>
      </c>
      <c r="E1713" s="754">
        <v>0</v>
      </c>
    </row>
    <row r="1714" spans="1:5" ht="15.9">
      <c r="A1714" s="754" t="s">
        <v>5857</v>
      </c>
      <c r="B1714" s="758" t="s">
        <v>5913</v>
      </c>
      <c r="C1714" s="758" t="s">
        <v>3839</v>
      </c>
      <c r="D1714" s="752" t="s">
        <v>3514</v>
      </c>
      <c r="E1714" s="754">
        <v>0</v>
      </c>
    </row>
    <row r="1715" spans="1:5" ht="15.9">
      <c r="A1715" s="754" t="s">
        <v>5857</v>
      </c>
      <c r="B1715" s="758" t="s">
        <v>5913</v>
      </c>
      <c r="C1715" s="758" t="s">
        <v>3840</v>
      </c>
      <c r="D1715" s="752" t="s">
        <v>3514</v>
      </c>
      <c r="E1715" s="754">
        <v>0</v>
      </c>
    </row>
    <row r="1716" spans="1:5" ht="15.9">
      <c r="A1716" s="754" t="s">
        <v>5857</v>
      </c>
      <c r="B1716" s="758" t="s">
        <v>5913</v>
      </c>
      <c r="C1716" s="758" t="s">
        <v>3841</v>
      </c>
      <c r="D1716" s="752" t="s">
        <v>3514</v>
      </c>
      <c r="E1716" s="754">
        <v>0</v>
      </c>
    </row>
    <row r="1717" spans="1:5" ht="15.9">
      <c r="A1717" s="754" t="s">
        <v>5857</v>
      </c>
      <c r="B1717" s="758" t="s">
        <v>5913</v>
      </c>
      <c r="C1717" s="758" t="s">
        <v>3842</v>
      </c>
      <c r="D1717" s="752" t="s">
        <v>3514</v>
      </c>
      <c r="E1717" s="754">
        <v>0</v>
      </c>
    </row>
    <row r="1718" spans="1:5" ht="15.9">
      <c r="A1718" s="754" t="s">
        <v>5857</v>
      </c>
      <c r="B1718" s="758" t="s">
        <v>5913</v>
      </c>
      <c r="C1718" s="758" t="s">
        <v>3843</v>
      </c>
      <c r="D1718" s="752" t="s">
        <v>3514</v>
      </c>
      <c r="E1718" s="754">
        <v>0</v>
      </c>
    </row>
    <row r="1719" spans="1:5" ht="15.9">
      <c r="A1719" s="754" t="s">
        <v>5857</v>
      </c>
      <c r="B1719" s="758" t="s">
        <v>5913</v>
      </c>
      <c r="C1719" s="758" t="s">
        <v>3844</v>
      </c>
      <c r="D1719" s="752" t="s">
        <v>3514</v>
      </c>
      <c r="E1719" s="754">
        <v>0</v>
      </c>
    </row>
    <row r="1720" spans="1:5" ht="15.9">
      <c r="A1720" s="754" t="s">
        <v>5857</v>
      </c>
      <c r="B1720" s="758" t="s">
        <v>5913</v>
      </c>
      <c r="C1720" s="758" t="s">
        <v>3845</v>
      </c>
      <c r="D1720" s="752" t="s">
        <v>3514</v>
      </c>
      <c r="E1720" s="754">
        <v>0</v>
      </c>
    </row>
    <row r="1721" spans="1:5" ht="15.9">
      <c r="A1721" s="754" t="s">
        <v>5857</v>
      </c>
      <c r="B1721" s="758" t="s">
        <v>5913</v>
      </c>
      <c r="C1721" s="758" t="s">
        <v>3846</v>
      </c>
      <c r="D1721" s="752" t="s">
        <v>3514</v>
      </c>
      <c r="E1721" s="754">
        <v>0</v>
      </c>
    </row>
    <row r="1722" spans="1:5" ht="15.9">
      <c r="A1722" s="754" t="s">
        <v>5857</v>
      </c>
      <c r="B1722" s="758" t="s">
        <v>5913</v>
      </c>
      <c r="C1722" s="758" t="s">
        <v>3847</v>
      </c>
      <c r="D1722" s="752" t="s">
        <v>3514</v>
      </c>
      <c r="E1722" s="754">
        <v>0</v>
      </c>
    </row>
    <row r="1723" spans="1:5" ht="15.9">
      <c r="A1723" s="754" t="s">
        <v>5857</v>
      </c>
      <c r="B1723" s="758" t="s">
        <v>5913</v>
      </c>
      <c r="C1723" s="758" t="s">
        <v>3848</v>
      </c>
      <c r="D1723" s="752" t="s">
        <v>3514</v>
      </c>
      <c r="E1723" s="754">
        <v>0</v>
      </c>
    </row>
    <row r="1724" spans="1:5" ht="15.9">
      <c r="A1724" s="754" t="s">
        <v>5857</v>
      </c>
      <c r="B1724" s="758" t="s">
        <v>5913</v>
      </c>
      <c r="C1724" s="758" t="s">
        <v>3849</v>
      </c>
      <c r="D1724" s="752" t="s">
        <v>3514</v>
      </c>
      <c r="E1724" s="754">
        <v>0</v>
      </c>
    </row>
    <row r="1725" spans="1:5" ht="15.9">
      <c r="A1725" s="754" t="s">
        <v>5857</v>
      </c>
      <c r="B1725" s="758" t="s">
        <v>5913</v>
      </c>
      <c r="C1725" s="758" t="s">
        <v>3850</v>
      </c>
      <c r="D1725" s="752" t="s">
        <v>3514</v>
      </c>
      <c r="E1725" s="754">
        <v>0</v>
      </c>
    </row>
    <row r="1726" spans="1:5" ht="15.9">
      <c r="A1726" s="754" t="s">
        <v>5857</v>
      </c>
      <c r="B1726" s="758" t="s">
        <v>5913</v>
      </c>
      <c r="C1726" s="758" t="s">
        <v>3851</v>
      </c>
      <c r="D1726" s="752" t="s">
        <v>3514</v>
      </c>
      <c r="E1726" s="754">
        <v>0</v>
      </c>
    </row>
    <row r="1727" spans="1:5" ht="15.9">
      <c r="A1727" s="754" t="s">
        <v>5857</v>
      </c>
      <c r="B1727" s="758" t="s">
        <v>5913</v>
      </c>
      <c r="C1727" s="758" t="s">
        <v>3852</v>
      </c>
      <c r="D1727" s="752" t="s">
        <v>3514</v>
      </c>
      <c r="E1727" s="754">
        <v>0</v>
      </c>
    </row>
    <row r="1728" spans="1:5" ht="15.9">
      <c r="A1728" s="754" t="s">
        <v>5857</v>
      </c>
      <c r="B1728" s="758" t="s">
        <v>5913</v>
      </c>
      <c r="C1728" s="758" t="s">
        <v>3853</v>
      </c>
      <c r="D1728" s="752" t="s">
        <v>3514</v>
      </c>
      <c r="E1728" s="754">
        <v>0</v>
      </c>
    </row>
    <row r="1729" spans="1:5" ht="15.9">
      <c r="A1729" s="754" t="s">
        <v>5857</v>
      </c>
      <c r="B1729" s="758" t="s">
        <v>5913</v>
      </c>
      <c r="C1729" s="758" t="s">
        <v>3854</v>
      </c>
      <c r="D1729" s="752" t="s">
        <v>3514</v>
      </c>
      <c r="E1729" s="754">
        <v>0</v>
      </c>
    </row>
    <row r="1730" spans="1:5" ht="15.9">
      <c r="A1730" s="754" t="s">
        <v>5857</v>
      </c>
      <c r="B1730" s="758" t="s">
        <v>5913</v>
      </c>
      <c r="C1730" s="758" t="s">
        <v>3855</v>
      </c>
      <c r="D1730" s="752" t="s">
        <v>3514</v>
      </c>
      <c r="E1730" s="754">
        <v>0</v>
      </c>
    </row>
    <row r="1731" spans="1:5" ht="15.9">
      <c r="A1731" s="754" t="s">
        <v>5857</v>
      </c>
      <c r="B1731" s="758" t="s">
        <v>5913</v>
      </c>
      <c r="C1731" s="758" t="s">
        <v>3856</v>
      </c>
      <c r="D1731" s="752" t="s">
        <v>3514</v>
      </c>
      <c r="E1731" s="754">
        <v>0</v>
      </c>
    </row>
    <row r="1732" spans="1:5" ht="15.9">
      <c r="A1732" s="754" t="s">
        <v>5857</v>
      </c>
      <c r="B1732" s="758" t="s">
        <v>5913</v>
      </c>
      <c r="C1732" s="758" t="s">
        <v>3857</v>
      </c>
      <c r="D1732" s="752" t="s">
        <v>3514</v>
      </c>
      <c r="E1732" s="754">
        <v>0</v>
      </c>
    </row>
    <row r="1733" spans="1:5" ht="15.9">
      <c r="A1733" s="754" t="s">
        <v>5857</v>
      </c>
      <c r="B1733" s="758" t="s">
        <v>5913</v>
      </c>
      <c r="C1733" s="758" t="s">
        <v>3858</v>
      </c>
      <c r="D1733" s="752" t="s">
        <v>3514</v>
      </c>
      <c r="E1733" s="754">
        <v>0</v>
      </c>
    </row>
    <row r="1734" spans="1:5" ht="15.9">
      <c r="A1734" s="754" t="s">
        <v>5857</v>
      </c>
      <c r="B1734" s="758" t="s">
        <v>5913</v>
      </c>
      <c r="C1734" s="758" t="s">
        <v>3859</v>
      </c>
      <c r="D1734" s="752" t="s">
        <v>3514</v>
      </c>
      <c r="E1734" s="754">
        <v>0</v>
      </c>
    </row>
    <row r="1735" spans="1:5" ht="15.9">
      <c r="A1735" s="754" t="s">
        <v>5857</v>
      </c>
      <c r="B1735" s="758" t="s">
        <v>5913</v>
      </c>
      <c r="C1735" s="758" t="s">
        <v>3860</v>
      </c>
      <c r="D1735" s="752" t="s">
        <v>3514</v>
      </c>
      <c r="E1735" s="754">
        <v>0</v>
      </c>
    </row>
    <row r="1736" spans="1:5" ht="15.9">
      <c r="A1736" s="754" t="s">
        <v>5857</v>
      </c>
      <c r="B1736" s="758" t="s">
        <v>5913</v>
      </c>
      <c r="C1736" s="758" t="s">
        <v>3861</v>
      </c>
      <c r="D1736" s="752" t="s">
        <v>3514</v>
      </c>
      <c r="E1736" s="754">
        <v>0</v>
      </c>
    </row>
    <row r="1737" spans="1:5" ht="15.9">
      <c r="A1737" s="754" t="s">
        <v>5857</v>
      </c>
      <c r="B1737" s="758" t="s">
        <v>5913</v>
      </c>
      <c r="C1737" s="758" t="s">
        <v>3862</v>
      </c>
      <c r="D1737" s="752" t="s">
        <v>3514</v>
      </c>
      <c r="E1737" s="754">
        <v>0</v>
      </c>
    </row>
    <row r="1738" spans="1:5" ht="15.9">
      <c r="A1738" s="754" t="s">
        <v>5857</v>
      </c>
      <c r="B1738" s="758" t="s">
        <v>5913</v>
      </c>
      <c r="C1738" s="758" t="s">
        <v>3863</v>
      </c>
      <c r="D1738" s="752" t="s">
        <v>3514</v>
      </c>
      <c r="E1738" s="754">
        <v>0</v>
      </c>
    </row>
    <row r="1739" spans="1:5" ht="15.9">
      <c r="A1739" s="754" t="s">
        <v>5857</v>
      </c>
      <c r="B1739" s="758" t="s">
        <v>5913</v>
      </c>
      <c r="C1739" s="758" t="s">
        <v>3864</v>
      </c>
      <c r="D1739" s="752" t="s">
        <v>3514</v>
      </c>
      <c r="E1739" s="754">
        <v>0</v>
      </c>
    </row>
    <row r="1740" spans="1:5" ht="15.9">
      <c r="A1740" s="754" t="s">
        <v>5857</v>
      </c>
      <c r="B1740" s="758" t="s">
        <v>5913</v>
      </c>
      <c r="C1740" s="758" t="s">
        <v>3865</v>
      </c>
      <c r="D1740" s="752" t="s">
        <v>3514</v>
      </c>
      <c r="E1740" s="754">
        <v>0</v>
      </c>
    </row>
    <row r="1741" spans="1:5" ht="15.9">
      <c r="A1741" s="754" t="s">
        <v>5857</v>
      </c>
      <c r="B1741" s="758" t="s">
        <v>5913</v>
      </c>
      <c r="C1741" s="758" t="s">
        <v>3866</v>
      </c>
      <c r="D1741" s="752" t="s">
        <v>3514</v>
      </c>
      <c r="E1741" s="754">
        <v>0</v>
      </c>
    </row>
    <row r="1742" spans="1:5" ht="15.9">
      <c r="A1742" s="754" t="s">
        <v>5857</v>
      </c>
      <c r="B1742" s="758" t="s">
        <v>5913</v>
      </c>
      <c r="C1742" s="758" t="s">
        <v>3867</v>
      </c>
      <c r="D1742" s="752" t="s">
        <v>3514</v>
      </c>
      <c r="E1742" s="754">
        <v>0</v>
      </c>
    </row>
    <row r="1743" spans="1:5" ht="15.9">
      <c r="A1743" s="754" t="s">
        <v>5857</v>
      </c>
      <c r="B1743" s="758" t="s">
        <v>5913</v>
      </c>
      <c r="C1743" s="758" t="s">
        <v>3868</v>
      </c>
      <c r="D1743" s="752" t="s">
        <v>3514</v>
      </c>
      <c r="E1743" s="754">
        <v>0</v>
      </c>
    </row>
    <row r="1744" spans="1:5" ht="15.9">
      <c r="A1744" s="754" t="s">
        <v>5857</v>
      </c>
      <c r="B1744" s="758" t="s">
        <v>5913</v>
      </c>
      <c r="C1744" s="758" t="s">
        <v>3869</v>
      </c>
      <c r="D1744" s="752" t="s">
        <v>3514</v>
      </c>
      <c r="E1744" s="754">
        <v>0</v>
      </c>
    </row>
    <row r="1745" spans="1:5" ht="15.9">
      <c r="A1745" s="754" t="s">
        <v>5857</v>
      </c>
      <c r="B1745" s="758" t="s">
        <v>5913</v>
      </c>
      <c r="C1745" s="758" t="s">
        <v>3870</v>
      </c>
      <c r="D1745" s="752" t="s">
        <v>3514</v>
      </c>
      <c r="E1745" s="754">
        <v>0</v>
      </c>
    </row>
    <row r="1746" spans="1:5" ht="15.9">
      <c r="A1746" s="754" t="s">
        <v>5857</v>
      </c>
      <c r="B1746" s="758" t="s">
        <v>5913</v>
      </c>
      <c r="C1746" s="758" t="s">
        <v>3871</v>
      </c>
      <c r="D1746" s="752" t="s">
        <v>3514</v>
      </c>
      <c r="E1746" s="754">
        <v>0</v>
      </c>
    </row>
    <row r="1747" spans="1:5" ht="15.9">
      <c r="A1747" s="754" t="s">
        <v>5857</v>
      </c>
      <c r="B1747" s="758" t="s">
        <v>5913</v>
      </c>
      <c r="C1747" s="758" t="s">
        <v>3872</v>
      </c>
      <c r="D1747" s="752" t="s">
        <v>3514</v>
      </c>
      <c r="E1747" s="754">
        <v>0</v>
      </c>
    </row>
    <row r="1748" spans="1:5" ht="15.9">
      <c r="A1748" s="754" t="s">
        <v>5857</v>
      </c>
      <c r="B1748" s="758" t="s">
        <v>5913</v>
      </c>
      <c r="C1748" s="758" t="s">
        <v>3873</v>
      </c>
      <c r="D1748" s="752" t="s">
        <v>3514</v>
      </c>
      <c r="E1748" s="754">
        <v>0</v>
      </c>
    </row>
    <row r="1749" spans="1:5" ht="15.9">
      <c r="A1749" s="754" t="s">
        <v>5857</v>
      </c>
      <c r="B1749" s="758" t="s">
        <v>5913</v>
      </c>
      <c r="C1749" s="758" t="s">
        <v>3874</v>
      </c>
      <c r="D1749" s="752" t="s">
        <v>3514</v>
      </c>
      <c r="E1749" s="754">
        <v>0</v>
      </c>
    </row>
    <row r="1750" spans="1:5" ht="15.9">
      <c r="A1750" s="754" t="s">
        <v>5857</v>
      </c>
      <c r="B1750" s="758" t="s">
        <v>5913</v>
      </c>
      <c r="C1750" s="758" t="s">
        <v>3875</v>
      </c>
      <c r="D1750" s="752" t="s">
        <v>3514</v>
      </c>
      <c r="E1750" s="754">
        <v>0</v>
      </c>
    </row>
    <row r="1751" spans="1:5" ht="15.9">
      <c r="A1751" s="754" t="s">
        <v>5857</v>
      </c>
      <c r="B1751" s="758" t="s">
        <v>5913</v>
      </c>
      <c r="C1751" s="758" t="s">
        <v>3876</v>
      </c>
      <c r="D1751" s="752" t="s">
        <v>3514</v>
      </c>
      <c r="E1751" s="754">
        <v>0</v>
      </c>
    </row>
    <row r="1752" spans="1:5" ht="15.9">
      <c r="A1752" s="754" t="s">
        <v>5857</v>
      </c>
      <c r="B1752" s="758" t="s">
        <v>5913</v>
      </c>
      <c r="C1752" s="758" t="s">
        <v>3877</v>
      </c>
      <c r="D1752" s="752" t="s">
        <v>3514</v>
      </c>
      <c r="E1752" s="754">
        <v>0</v>
      </c>
    </row>
    <row r="1753" spans="1:5" ht="15.9">
      <c r="A1753" s="754" t="s">
        <v>5857</v>
      </c>
      <c r="B1753" s="758" t="s">
        <v>5913</v>
      </c>
      <c r="C1753" s="758" t="s">
        <v>3878</v>
      </c>
      <c r="D1753" s="752" t="s">
        <v>3514</v>
      </c>
      <c r="E1753" s="754">
        <v>0</v>
      </c>
    </row>
    <row r="1754" spans="1:5" ht="15.9">
      <c r="A1754" s="754" t="s">
        <v>5857</v>
      </c>
      <c r="B1754" s="758" t="s">
        <v>5913</v>
      </c>
      <c r="C1754" s="758" t="s">
        <v>3879</v>
      </c>
      <c r="D1754" s="752" t="s">
        <v>3514</v>
      </c>
      <c r="E1754" s="754">
        <v>0</v>
      </c>
    </row>
    <row r="1755" spans="1:5" ht="15.9">
      <c r="A1755" s="754" t="s">
        <v>5857</v>
      </c>
      <c r="B1755" s="758" t="s">
        <v>5913</v>
      </c>
      <c r="C1755" s="758" t="s">
        <v>3880</v>
      </c>
      <c r="D1755" s="752" t="s">
        <v>3514</v>
      </c>
      <c r="E1755" s="754">
        <v>0</v>
      </c>
    </row>
    <row r="1756" spans="1:5" ht="15.9">
      <c r="A1756" s="754" t="s">
        <v>5857</v>
      </c>
      <c r="B1756" s="758" t="s">
        <v>5913</v>
      </c>
      <c r="C1756" s="758" t="s">
        <v>3881</v>
      </c>
      <c r="D1756" s="752" t="s">
        <v>3514</v>
      </c>
      <c r="E1756" s="754">
        <v>0</v>
      </c>
    </row>
    <row r="1757" spans="1:5" ht="15.9">
      <c r="A1757" s="754" t="s">
        <v>5857</v>
      </c>
      <c r="B1757" s="758" t="s">
        <v>5913</v>
      </c>
      <c r="C1757" s="758" t="s">
        <v>3882</v>
      </c>
      <c r="D1757" s="752" t="s">
        <v>3514</v>
      </c>
      <c r="E1757" s="754">
        <v>0</v>
      </c>
    </row>
    <row r="1758" spans="1:5" ht="15.9">
      <c r="A1758" s="754" t="s">
        <v>5857</v>
      </c>
      <c r="B1758" s="758" t="s">
        <v>5913</v>
      </c>
      <c r="C1758" s="758" t="s">
        <v>3883</v>
      </c>
      <c r="D1758" s="752" t="s">
        <v>3514</v>
      </c>
      <c r="E1758" s="754">
        <v>0</v>
      </c>
    </row>
    <row r="1759" spans="1:5" ht="15.9">
      <c r="A1759" s="754" t="s">
        <v>5857</v>
      </c>
      <c r="B1759" s="758" t="s">
        <v>5913</v>
      </c>
      <c r="C1759" s="758" t="s">
        <v>3884</v>
      </c>
      <c r="D1759" s="752" t="s">
        <v>3514</v>
      </c>
      <c r="E1759" s="754">
        <v>0</v>
      </c>
    </row>
    <row r="1760" spans="1:5" ht="15.9">
      <c r="A1760" s="754" t="s">
        <v>5857</v>
      </c>
      <c r="B1760" s="758" t="s">
        <v>5913</v>
      </c>
      <c r="C1760" s="758" t="s">
        <v>3885</v>
      </c>
      <c r="D1760" s="752" t="s">
        <v>3514</v>
      </c>
      <c r="E1760" s="754">
        <v>0</v>
      </c>
    </row>
    <row r="1761" spans="1:5" ht="15.9">
      <c r="A1761" s="754" t="s">
        <v>5857</v>
      </c>
      <c r="B1761" s="758" t="s">
        <v>5913</v>
      </c>
      <c r="C1761" s="758" t="s">
        <v>3886</v>
      </c>
      <c r="D1761" s="752" t="s">
        <v>3514</v>
      </c>
      <c r="E1761" s="754">
        <v>0</v>
      </c>
    </row>
    <row r="1762" spans="1:5" ht="15.9">
      <c r="A1762" s="754" t="s">
        <v>5857</v>
      </c>
      <c r="B1762" s="758" t="s">
        <v>5913</v>
      </c>
      <c r="C1762" s="758" t="s">
        <v>3887</v>
      </c>
      <c r="D1762" s="752" t="s">
        <v>3514</v>
      </c>
      <c r="E1762" s="754">
        <v>0</v>
      </c>
    </row>
    <row r="1763" spans="1:5" ht="15.9">
      <c r="A1763" s="754" t="s">
        <v>5857</v>
      </c>
      <c r="B1763" s="758" t="s">
        <v>5913</v>
      </c>
      <c r="C1763" s="758" t="s">
        <v>3888</v>
      </c>
      <c r="D1763" s="752" t="s">
        <v>3514</v>
      </c>
      <c r="E1763" s="754">
        <v>0</v>
      </c>
    </row>
    <row r="1764" spans="1:5" ht="15.9">
      <c r="A1764" s="754" t="s">
        <v>5857</v>
      </c>
      <c r="B1764" s="758" t="s">
        <v>5913</v>
      </c>
      <c r="C1764" s="758" t="s">
        <v>3889</v>
      </c>
      <c r="D1764" s="752" t="s">
        <v>3514</v>
      </c>
      <c r="E1764" s="754">
        <v>0</v>
      </c>
    </row>
    <row r="1765" spans="1:5" ht="15.9">
      <c r="A1765" s="754" t="s">
        <v>5857</v>
      </c>
      <c r="B1765" s="758" t="s">
        <v>5913</v>
      </c>
      <c r="C1765" s="758" t="s">
        <v>3890</v>
      </c>
      <c r="D1765" s="752" t="s">
        <v>3514</v>
      </c>
      <c r="E1765" s="754">
        <v>0</v>
      </c>
    </row>
    <row r="1766" spans="1:5" ht="15.9">
      <c r="A1766" s="754" t="s">
        <v>5857</v>
      </c>
      <c r="B1766" s="758" t="s">
        <v>5913</v>
      </c>
      <c r="C1766" s="758" t="s">
        <v>3891</v>
      </c>
      <c r="D1766" s="752" t="s">
        <v>3514</v>
      </c>
      <c r="E1766" s="754">
        <v>0</v>
      </c>
    </row>
    <row r="1767" spans="1:5" ht="15.9">
      <c r="A1767" s="754" t="s">
        <v>5857</v>
      </c>
      <c r="B1767" s="758" t="s">
        <v>5913</v>
      </c>
      <c r="C1767" s="758" t="s">
        <v>3892</v>
      </c>
      <c r="D1767" s="752" t="s">
        <v>3514</v>
      </c>
      <c r="E1767" s="754">
        <v>0</v>
      </c>
    </row>
    <row r="1768" spans="1:5" ht="15.9">
      <c r="A1768" s="754" t="s">
        <v>5857</v>
      </c>
      <c r="B1768" s="758" t="s">
        <v>5913</v>
      </c>
      <c r="C1768" s="758" t="s">
        <v>3761</v>
      </c>
      <c r="D1768" s="752" t="s">
        <v>3514</v>
      </c>
      <c r="E1768" s="754">
        <v>0</v>
      </c>
    </row>
    <row r="1769" spans="1:5" ht="15.9">
      <c r="A1769" s="754" t="s">
        <v>5857</v>
      </c>
      <c r="B1769" s="758" t="s">
        <v>5913</v>
      </c>
      <c r="C1769" s="758" t="s">
        <v>3893</v>
      </c>
      <c r="D1769" s="752" t="s">
        <v>3514</v>
      </c>
      <c r="E1769" s="754">
        <v>0</v>
      </c>
    </row>
    <row r="1770" spans="1:5" ht="15.9">
      <c r="A1770" s="754" t="s">
        <v>5857</v>
      </c>
      <c r="B1770" s="758" t="s">
        <v>5913</v>
      </c>
      <c r="C1770" s="758" t="s">
        <v>3894</v>
      </c>
      <c r="D1770" s="752" t="s">
        <v>3514</v>
      </c>
      <c r="E1770" s="754">
        <v>0</v>
      </c>
    </row>
    <row r="1771" spans="1:5" ht="15.9">
      <c r="A1771" s="754" t="s">
        <v>5857</v>
      </c>
      <c r="B1771" s="758" t="s">
        <v>5913</v>
      </c>
      <c r="C1771" s="758" t="s">
        <v>3895</v>
      </c>
      <c r="D1771" s="752" t="s">
        <v>3514</v>
      </c>
      <c r="E1771" s="754">
        <v>0</v>
      </c>
    </row>
    <row r="1772" spans="1:5" ht="15.9">
      <c r="A1772" s="754" t="s">
        <v>5857</v>
      </c>
      <c r="B1772" s="758" t="s">
        <v>5913</v>
      </c>
      <c r="C1772" s="758" t="s">
        <v>3896</v>
      </c>
      <c r="D1772" s="752" t="s">
        <v>3514</v>
      </c>
      <c r="E1772" s="754">
        <v>0</v>
      </c>
    </row>
    <row r="1773" spans="1:5" ht="15.9">
      <c r="A1773" s="754" t="s">
        <v>5857</v>
      </c>
      <c r="B1773" s="758" t="s">
        <v>5913</v>
      </c>
      <c r="C1773" s="758" t="s">
        <v>3897</v>
      </c>
      <c r="D1773" s="752" t="s">
        <v>3514</v>
      </c>
      <c r="E1773" s="754">
        <v>0</v>
      </c>
    </row>
    <row r="1774" spans="1:5" ht="15.9">
      <c r="A1774" s="754" t="s">
        <v>5857</v>
      </c>
      <c r="B1774" s="758" t="s">
        <v>5913</v>
      </c>
      <c r="C1774" s="758" t="s">
        <v>3898</v>
      </c>
      <c r="D1774" s="752" t="s">
        <v>3514</v>
      </c>
      <c r="E1774" s="754">
        <v>0</v>
      </c>
    </row>
    <row r="1775" spans="1:5" ht="15.9">
      <c r="A1775" s="754" t="s">
        <v>5857</v>
      </c>
      <c r="B1775" s="758" t="s">
        <v>5913</v>
      </c>
      <c r="C1775" s="758" t="s">
        <v>3899</v>
      </c>
      <c r="D1775" s="752" t="s">
        <v>3514</v>
      </c>
      <c r="E1775" s="754">
        <v>0</v>
      </c>
    </row>
    <row r="1776" spans="1:5" ht="15.9">
      <c r="A1776" s="754" t="s">
        <v>5857</v>
      </c>
      <c r="B1776" s="758" t="s">
        <v>5913</v>
      </c>
      <c r="C1776" s="758" t="s">
        <v>3900</v>
      </c>
      <c r="D1776" s="752" t="s">
        <v>3514</v>
      </c>
      <c r="E1776" s="754">
        <v>0</v>
      </c>
    </row>
    <row r="1777" spans="1:5" ht="15.9">
      <c r="A1777" s="754" t="s">
        <v>5857</v>
      </c>
      <c r="B1777" s="758" t="s">
        <v>5913</v>
      </c>
      <c r="C1777" s="758" t="s">
        <v>3901</v>
      </c>
      <c r="D1777" s="752" t="s">
        <v>3514</v>
      </c>
      <c r="E1777" s="754">
        <v>0</v>
      </c>
    </row>
    <row r="1778" spans="1:5" ht="15.9">
      <c r="A1778" s="754" t="s">
        <v>5857</v>
      </c>
      <c r="B1778" s="758" t="s">
        <v>5913</v>
      </c>
      <c r="C1778" s="758" t="s">
        <v>3902</v>
      </c>
      <c r="D1778" s="752" t="s">
        <v>3514</v>
      </c>
      <c r="E1778" s="754">
        <v>0</v>
      </c>
    </row>
    <row r="1779" spans="1:5" ht="15.9">
      <c r="A1779" s="754" t="s">
        <v>5857</v>
      </c>
      <c r="B1779" s="758" t="s">
        <v>5913</v>
      </c>
      <c r="C1779" s="758" t="s">
        <v>3903</v>
      </c>
      <c r="D1779" s="752" t="s">
        <v>3514</v>
      </c>
      <c r="E1779" s="754">
        <v>0</v>
      </c>
    </row>
    <row r="1780" spans="1:5" ht="15.9">
      <c r="A1780" s="754" t="s">
        <v>5857</v>
      </c>
      <c r="B1780" s="758" t="s">
        <v>5913</v>
      </c>
      <c r="C1780" s="758" t="s">
        <v>3904</v>
      </c>
      <c r="D1780" s="752" t="s">
        <v>3514</v>
      </c>
      <c r="E1780" s="754">
        <v>0</v>
      </c>
    </row>
    <row r="1781" spans="1:5" ht="15.9">
      <c r="A1781" s="754" t="s">
        <v>5857</v>
      </c>
      <c r="B1781" s="758" t="s">
        <v>5913</v>
      </c>
      <c r="C1781" s="758" t="s">
        <v>3905</v>
      </c>
      <c r="D1781" s="752" t="s">
        <v>3514</v>
      </c>
      <c r="E1781" s="754">
        <v>0</v>
      </c>
    </row>
    <row r="1782" spans="1:5" ht="15.9">
      <c r="A1782" s="754" t="s">
        <v>5857</v>
      </c>
      <c r="B1782" s="758" t="s">
        <v>5913</v>
      </c>
      <c r="C1782" s="758" t="s">
        <v>3906</v>
      </c>
      <c r="D1782" s="752" t="s">
        <v>3514</v>
      </c>
      <c r="E1782" s="754">
        <v>0</v>
      </c>
    </row>
    <row r="1783" spans="1:5" ht="15.9">
      <c r="A1783" s="754" t="s">
        <v>5857</v>
      </c>
      <c r="B1783" s="758" t="s">
        <v>5913</v>
      </c>
      <c r="C1783" s="758" t="s">
        <v>3907</v>
      </c>
      <c r="D1783" s="752" t="s">
        <v>3514</v>
      </c>
      <c r="E1783" s="754">
        <v>0</v>
      </c>
    </row>
    <row r="1784" spans="1:5" ht="15.9">
      <c r="A1784" s="754" t="s">
        <v>5857</v>
      </c>
      <c r="B1784" s="758" t="s">
        <v>5913</v>
      </c>
      <c r="C1784" s="758" t="s">
        <v>3908</v>
      </c>
      <c r="D1784" s="752" t="s">
        <v>3514</v>
      </c>
      <c r="E1784" s="754">
        <v>0</v>
      </c>
    </row>
    <row r="1785" spans="1:5" ht="15.9">
      <c r="A1785" s="754" t="s">
        <v>5857</v>
      </c>
      <c r="B1785" s="758" t="s">
        <v>5913</v>
      </c>
      <c r="C1785" s="758" t="s">
        <v>3909</v>
      </c>
      <c r="D1785" s="752" t="s">
        <v>3514</v>
      </c>
      <c r="E1785" s="754">
        <v>0</v>
      </c>
    </row>
    <row r="1786" spans="1:5" ht="15.9">
      <c r="A1786" s="754" t="s">
        <v>5857</v>
      </c>
      <c r="B1786" s="758" t="s">
        <v>5913</v>
      </c>
      <c r="C1786" s="758" t="s">
        <v>3910</v>
      </c>
      <c r="D1786" s="752" t="s">
        <v>3514</v>
      </c>
      <c r="E1786" s="754">
        <v>0</v>
      </c>
    </row>
    <row r="1787" spans="1:5" ht="15.9">
      <c r="A1787" s="754" t="s">
        <v>5857</v>
      </c>
      <c r="B1787" s="758" t="s">
        <v>5913</v>
      </c>
      <c r="C1787" s="758" t="s">
        <v>3911</v>
      </c>
      <c r="D1787" s="752" t="s">
        <v>3514</v>
      </c>
      <c r="E1787" s="754">
        <v>0</v>
      </c>
    </row>
    <row r="1788" spans="1:5" ht="15.9">
      <c r="A1788" s="754" t="s">
        <v>5857</v>
      </c>
      <c r="B1788" s="758" t="s">
        <v>5913</v>
      </c>
      <c r="C1788" s="758" t="s">
        <v>3912</v>
      </c>
      <c r="D1788" s="752" t="s">
        <v>3514</v>
      </c>
      <c r="E1788" s="754">
        <v>0</v>
      </c>
    </row>
    <row r="1789" spans="1:5" ht="15.9">
      <c r="A1789" s="754" t="s">
        <v>5857</v>
      </c>
      <c r="B1789" s="758" t="s">
        <v>5913</v>
      </c>
      <c r="C1789" s="758" t="s">
        <v>3913</v>
      </c>
      <c r="D1789" s="752" t="s">
        <v>3514</v>
      </c>
      <c r="E1789" s="754">
        <v>0</v>
      </c>
    </row>
    <row r="1790" spans="1:5" ht="15.9">
      <c r="A1790" s="754" t="s">
        <v>5857</v>
      </c>
      <c r="B1790" s="759" t="s">
        <v>5915</v>
      </c>
      <c r="C1790" s="759" t="s">
        <v>3914</v>
      </c>
      <c r="D1790" s="752" t="s">
        <v>3622</v>
      </c>
      <c r="E1790" s="754">
        <v>0</v>
      </c>
    </row>
    <row r="1791" spans="1:5" ht="15.9">
      <c r="A1791" s="754" t="s">
        <v>5857</v>
      </c>
      <c r="B1791" s="759" t="s">
        <v>5915</v>
      </c>
      <c r="C1791" s="759" t="s">
        <v>3915</v>
      </c>
      <c r="D1791" s="752" t="s">
        <v>3622</v>
      </c>
      <c r="E1791" s="754">
        <v>0</v>
      </c>
    </row>
    <row r="1792" spans="1:5" ht="15.9">
      <c r="A1792" s="754" t="s">
        <v>5857</v>
      </c>
      <c r="B1792" s="759" t="s">
        <v>5915</v>
      </c>
      <c r="C1792" s="759" t="s">
        <v>3916</v>
      </c>
      <c r="D1792" s="752" t="s">
        <v>3622</v>
      </c>
      <c r="E1792" s="754">
        <v>0</v>
      </c>
    </row>
    <row r="1793" spans="1:5" ht="15.9">
      <c r="A1793" s="754" t="s">
        <v>5857</v>
      </c>
      <c r="B1793" s="759" t="s">
        <v>5915</v>
      </c>
      <c r="C1793" s="759" t="s">
        <v>3917</v>
      </c>
      <c r="D1793" s="752" t="s">
        <v>3622</v>
      </c>
      <c r="E1793" s="754">
        <v>0</v>
      </c>
    </row>
    <row r="1794" spans="1:5" ht="15.9">
      <c r="A1794" s="754" t="s">
        <v>5857</v>
      </c>
      <c r="B1794" s="759" t="s">
        <v>5915</v>
      </c>
      <c r="C1794" s="759" t="s">
        <v>3918</v>
      </c>
      <c r="D1794" s="752" t="s">
        <v>3622</v>
      </c>
      <c r="E1794" s="754">
        <v>0</v>
      </c>
    </row>
    <row r="1795" spans="1:5" ht="15.9">
      <c r="A1795" s="754" t="s">
        <v>5857</v>
      </c>
      <c r="B1795" s="759" t="s">
        <v>5915</v>
      </c>
      <c r="C1795" s="759" t="s">
        <v>3919</v>
      </c>
      <c r="D1795" s="752" t="s">
        <v>3622</v>
      </c>
      <c r="E1795" s="754">
        <v>0</v>
      </c>
    </row>
    <row r="1796" spans="1:5" ht="15.9">
      <c r="A1796" s="754" t="s">
        <v>5857</v>
      </c>
      <c r="B1796" s="759" t="s">
        <v>5915</v>
      </c>
      <c r="C1796" s="759" t="s">
        <v>3920</v>
      </c>
      <c r="D1796" s="752" t="s">
        <v>3622</v>
      </c>
      <c r="E1796" s="754">
        <v>0</v>
      </c>
    </row>
    <row r="1797" spans="1:5" ht="15.9">
      <c r="A1797" s="754" t="s">
        <v>5857</v>
      </c>
      <c r="B1797" s="759" t="s">
        <v>5915</v>
      </c>
      <c r="C1797" s="759" t="s">
        <v>3921</v>
      </c>
      <c r="D1797" s="752" t="s">
        <v>3622</v>
      </c>
      <c r="E1797" s="754">
        <v>0</v>
      </c>
    </row>
    <row r="1798" spans="1:5" ht="15.9">
      <c r="A1798" s="754" t="s">
        <v>5857</v>
      </c>
      <c r="B1798" s="759" t="s">
        <v>5915</v>
      </c>
      <c r="C1798" s="759" t="s">
        <v>3922</v>
      </c>
      <c r="D1798" s="752" t="s">
        <v>3622</v>
      </c>
      <c r="E1798" s="754">
        <v>0</v>
      </c>
    </row>
    <row r="1799" spans="1:5" ht="15.9">
      <c r="A1799" s="754" t="s">
        <v>5857</v>
      </c>
      <c r="B1799" s="759" t="s">
        <v>5915</v>
      </c>
      <c r="C1799" s="759" t="s">
        <v>3923</v>
      </c>
      <c r="D1799" s="752" t="s">
        <v>3622</v>
      </c>
      <c r="E1799" s="754">
        <v>0</v>
      </c>
    </row>
    <row r="1800" spans="1:5" ht="15.9">
      <c r="A1800" s="754" t="s">
        <v>5857</v>
      </c>
      <c r="B1800" s="759" t="s">
        <v>5915</v>
      </c>
      <c r="C1800" s="759" t="s">
        <v>3924</v>
      </c>
      <c r="D1800" s="752" t="s">
        <v>3622</v>
      </c>
      <c r="E1800" s="754">
        <v>0</v>
      </c>
    </row>
    <row r="1801" spans="1:5" ht="15.9">
      <c r="A1801" s="754" t="s">
        <v>5857</v>
      </c>
      <c r="B1801" s="759" t="s">
        <v>5915</v>
      </c>
      <c r="C1801" s="759" t="s">
        <v>3925</v>
      </c>
      <c r="D1801" s="752" t="s">
        <v>3622</v>
      </c>
      <c r="E1801" s="754">
        <v>0</v>
      </c>
    </row>
    <row r="1802" spans="1:5" ht="15.9">
      <c r="A1802" s="754" t="s">
        <v>5857</v>
      </c>
      <c r="B1802" s="759" t="s">
        <v>5915</v>
      </c>
      <c r="C1802" s="759" t="s">
        <v>3926</v>
      </c>
      <c r="D1802" s="752" t="s">
        <v>3622</v>
      </c>
      <c r="E1802" s="754">
        <v>0</v>
      </c>
    </row>
    <row r="1803" spans="1:5" ht="15.9">
      <c r="A1803" s="754" t="s">
        <v>5857</v>
      </c>
      <c r="B1803" s="759" t="s">
        <v>5915</v>
      </c>
      <c r="C1803" s="759" t="s">
        <v>3927</v>
      </c>
      <c r="D1803" s="752" t="s">
        <v>3622</v>
      </c>
      <c r="E1803" s="754">
        <v>0</v>
      </c>
    </row>
    <row r="1804" spans="1:5" ht="15.9">
      <c r="A1804" s="754" t="s">
        <v>5857</v>
      </c>
      <c r="B1804" s="759" t="s">
        <v>5915</v>
      </c>
      <c r="C1804" s="759" t="s">
        <v>3928</v>
      </c>
      <c r="D1804" s="752" t="s">
        <v>3622</v>
      </c>
      <c r="E1804" s="754">
        <v>0</v>
      </c>
    </row>
    <row r="1805" spans="1:5" ht="15.9">
      <c r="A1805" s="754" t="s">
        <v>5857</v>
      </c>
      <c r="B1805" s="759" t="s">
        <v>5915</v>
      </c>
      <c r="C1805" s="759" t="s">
        <v>3929</v>
      </c>
      <c r="D1805" s="752" t="s">
        <v>3622</v>
      </c>
      <c r="E1805" s="754">
        <v>0</v>
      </c>
    </row>
    <row r="1806" spans="1:5" ht="15.9">
      <c r="A1806" s="754" t="s">
        <v>5857</v>
      </c>
      <c r="B1806" s="759" t="s">
        <v>5915</v>
      </c>
      <c r="C1806" s="759" t="s">
        <v>3930</v>
      </c>
      <c r="D1806" s="752" t="s">
        <v>3622</v>
      </c>
      <c r="E1806" s="754">
        <v>0</v>
      </c>
    </row>
    <row r="1807" spans="1:5" ht="15.9">
      <c r="A1807" s="754" t="s">
        <v>5857</v>
      </c>
      <c r="B1807" s="759" t="s">
        <v>5915</v>
      </c>
      <c r="C1807" s="759" t="s">
        <v>3931</v>
      </c>
      <c r="D1807" s="752" t="s">
        <v>3622</v>
      </c>
      <c r="E1807" s="754">
        <v>0</v>
      </c>
    </row>
    <row r="1808" spans="1:5" ht="15.9">
      <c r="A1808" s="754" t="s">
        <v>5857</v>
      </c>
      <c r="B1808" s="759" t="s">
        <v>5915</v>
      </c>
      <c r="C1808" s="759" t="s">
        <v>3932</v>
      </c>
      <c r="D1808" s="752" t="s">
        <v>3622</v>
      </c>
      <c r="E1808" s="754">
        <v>0</v>
      </c>
    </row>
    <row r="1809" spans="1:5" ht="15.9">
      <c r="A1809" s="754" t="s">
        <v>5857</v>
      </c>
      <c r="B1809" s="759" t="s">
        <v>5915</v>
      </c>
      <c r="C1809" s="759" t="s">
        <v>3933</v>
      </c>
      <c r="D1809" s="752" t="s">
        <v>3622</v>
      </c>
      <c r="E1809" s="754">
        <v>0</v>
      </c>
    </row>
    <row r="1810" spans="1:5" ht="15.9">
      <c r="A1810" s="754" t="s">
        <v>5857</v>
      </c>
      <c r="B1810" s="759" t="s">
        <v>5915</v>
      </c>
      <c r="C1810" s="759" t="s">
        <v>3934</v>
      </c>
      <c r="D1810" s="752" t="s">
        <v>3622</v>
      </c>
      <c r="E1810" s="754">
        <v>0</v>
      </c>
    </row>
    <row r="1811" spans="1:5" ht="15.9">
      <c r="A1811" s="754" t="s">
        <v>5857</v>
      </c>
      <c r="B1811" s="759" t="s">
        <v>5915</v>
      </c>
      <c r="C1811" s="759" t="s">
        <v>3935</v>
      </c>
      <c r="D1811" s="752" t="s">
        <v>3622</v>
      </c>
      <c r="E1811" s="754">
        <v>0</v>
      </c>
    </row>
    <row r="1812" spans="1:5" ht="15.9">
      <c r="A1812" s="754" t="s">
        <v>5857</v>
      </c>
      <c r="B1812" s="759" t="s">
        <v>5915</v>
      </c>
      <c r="C1812" s="759" t="s">
        <v>3936</v>
      </c>
      <c r="D1812" s="752" t="s">
        <v>3622</v>
      </c>
      <c r="E1812" s="754">
        <v>0</v>
      </c>
    </row>
    <row r="1813" spans="1:5" ht="15.9">
      <c r="A1813" s="754" t="s">
        <v>5857</v>
      </c>
      <c r="B1813" s="759" t="s">
        <v>5915</v>
      </c>
      <c r="C1813" s="759" t="s">
        <v>3937</v>
      </c>
      <c r="D1813" s="752" t="s">
        <v>3622</v>
      </c>
      <c r="E1813" s="754">
        <v>0</v>
      </c>
    </row>
    <row r="1814" spans="1:5" ht="15.9">
      <c r="A1814" s="754" t="s">
        <v>5857</v>
      </c>
      <c r="B1814" s="759" t="s">
        <v>5915</v>
      </c>
      <c r="C1814" s="759" t="s">
        <v>3938</v>
      </c>
      <c r="D1814" s="752" t="s">
        <v>3622</v>
      </c>
      <c r="E1814" s="754">
        <v>0</v>
      </c>
    </row>
    <row r="1815" spans="1:5" ht="15.9">
      <c r="A1815" s="754" t="s">
        <v>5857</v>
      </c>
      <c r="B1815" s="759" t="s">
        <v>5915</v>
      </c>
      <c r="C1815" s="759" t="s">
        <v>3939</v>
      </c>
      <c r="D1815" s="752" t="s">
        <v>3622</v>
      </c>
      <c r="E1815" s="754">
        <v>0</v>
      </c>
    </row>
    <row r="1816" spans="1:5" ht="15.9">
      <c r="A1816" s="754" t="s">
        <v>5857</v>
      </c>
      <c r="B1816" s="759" t="s">
        <v>5915</v>
      </c>
      <c r="C1816" s="759" t="s">
        <v>3940</v>
      </c>
      <c r="D1816" s="752" t="s">
        <v>3622</v>
      </c>
      <c r="E1816" s="754">
        <v>0</v>
      </c>
    </row>
    <row r="1817" spans="1:5" ht="15.9">
      <c r="A1817" s="754" t="s">
        <v>5857</v>
      </c>
      <c r="B1817" s="759" t="s">
        <v>5915</v>
      </c>
      <c r="C1817" s="759" t="s">
        <v>3941</v>
      </c>
      <c r="D1817" s="752" t="s">
        <v>3622</v>
      </c>
      <c r="E1817" s="754">
        <v>0</v>
      </c>
    </row>
    <row r="1818" spans="1:5" ht="15.9">
      <c r="A1818" s="754" t="s">
        <v>5857</v>
      </c>
      <c r="B1818" s="759" t="s">
        <v>5915</v>
      </c>
      <c r="C1818" s="759" t="s">
        <v>3942</v>
      </c>
      <c r="D1818" s="752" t="s">
        <v>3622</v>
      </c>
      <c r="E1818" s="754">
        <v>0</v>
      </c>
    </row>
    <row r="1819" spans="1:5" ht="15.9">
      <c r="A1819" s="754" t="s">
        <v>5857</v>
      </c>
      <c r="B1819" s="759" t="s">
        <v>5915</v>
      </c>
      <c r="C1819" s="759" t="s">
        <v>3943</v>
      </c>
      <c r="D1819" s="752" t="s">
        <v>3622</v>
      </c>
      <c r="E1819" s="754">
        <v>0</v>
      </c>
    </row>
    <row r="1820" spans="1:5" ht="15.9">
      <c r="A1820" s="754" t="s">
        <v>5857</v>
      </c>
      <c r="B1820" s="759" t="s">
        <v>5915</v>
      </c>
      <c r="C1820" s="759" t="s">
        <v>3944</v>
      </c>
      <c r="D1820" s="752" t="s">
        <v>3622</v>
      </c>
      <c r="E1820" s="754">
        <v>0</v>
      </c>
    </row>
    <row r="1821" spans="1:5" ht="15.9">
      <c r="A1821" s="754" t="s">
        <v>5857</v>
      </c>
      <c r="B1821" s="759" t="s">
        <v>5915</v>
      </c>
      <c r="C1821" s="759" t="s">
        <v>3945</v>
      </c>
      <c r="D1821" s="752" t="s">
        <v>3622</v>
      </c>
      <c r="E1821" s="754">
        <v>0</v>
      </c>
    </row>
    <row r="1822" spans="1:5" ht="15.9">
      <c r="A1822" s="754" t="s">
        <v>5857</v>
      </c>
      <c r="B1822" s="759" t="s">
        <v>5915</v>
      </c>
      <c r="C1822" s="759" t="s">
        <v>3946</v>
      </c>
      <c r="D1822" s="752" t="s">
        <v>3622</v>
      </c>
      <c r="E1822" s="754">
        <v>0</v>
      </c>
    </row>
    <row r="1823" spans="1:5" ht="15.9">
      <c r="A1823" s="754" t="s">
        <v>5857</v>
      </c>
      <c r="B1823" s="759" t="s">
        <v>5915</v>
      </c>
      <c r="C1823" s="759" t="s">
        <v>3947</v>
      </c>
      <c r="D1823" s="752" t="s">
        <v>3622</v>
      </c>
      <c r="E1823" s="754">
        <v>0</v>
      </c>
    </row>
    <row r="1824" spans="1:5" ht="15.9">
      <c r="A1824" s="754" t="s">
        <v>5857</v>
      </c>
      <c r="B1824" s="759" t="s">
        <v>5915</v>
      </c>
      <c r="C1824" s="759" t="s">
        <v>3948</v>
      </c>
      <c r="D1824" s="752" t="s">
        <v>3622</v>
      </c>
      <c r="E1824" s="754">
        <v>0</v>
      </c>
    </row>
    <row r="1825" spans="1:5" ht="15.9">
      <c r="A1825" s="754" t="s">
        <v>5857</v>
      </c>
      <c r="B1825" s="759" t="s">
        <v>5915</v>
      </c>
      <c r="C1825" s="759" t="s">
        <v>3949</v>
      </c>
      <c r="D1825" s="752" t="s">
        <v>3622</v>
      </c>
      <c r="E1825" s="754">
        <v>0</v>
      </c>
    </row>
    <row r="1826" spans="1:5" ht="15.9">
      <c r="A1826" s="754" t="s">
        <v>5857</v>
      </c>
      <c r="B1826" s="759" t="s">
        <v>5915</v>
      </c>
      <c r="C1826" s="759" t="s">
        <v>3950</v>
      </c>
      <c r="D1826" s="752" t="s">
        <v>3622</v>
      </c>
      <c r="E1826" s="754">
        <v>0</v>
      </c>
    </row>
    <row r="1827" spans="1:5" ht="15.9">
      <c r="A1827" s="754" t="s">
        <v>5857</v>
      </c>
      <c r="B1827" s="759" t="s">
        <v>5915</v>
      </c>
      <c r="C1827" s="759" t="s">
        <v>3951</v>
      </c>
      <c r="D1827" s="752" t="s">
        <v>3622</v>
      </c>
      <c r="E1827" s="754">
        <v>0</v>
      </c>
    </row>
    <row r="1828" spans="1:5" ht="15.9">
      <c r="A1828" s="754" t="s">
        <v>5857</v>
      </c>
      <c r="B1828" s="759" t="s">
        <v>5915</v>
      </c>
      <c r="C1828" s="759" t="s">
        <v>3952</v>
      </c>
      <c r="D1828" s="752" t="s">
        <v>3622</v>
      </c>
      <c r="E1828" s="754">
        <v>0</v>
      </c>
    </row>
    <row r="1829" spans="1:5" ht="15.9">
      <c r="A1829" s="754" t="s">
        <v>5857</v>
      </c>
      <c r="B1829" s="759" t="s">
        <v>5915</v>
      </c>
      <c r="C1829" s="759" t="s">
        <v>3953</v>
      </c>
      <c r="D1829" s="752" t="s">
        <v>3622</v>
      </c>
      <c r="E1829" s="754">
        <v>0</v>
      </c>
    </row>
    <row r="1830" spans="1:5" ht="15.9">
      <c r="A1830" s="754" t="s">
        <v>5857</v>
      </c>
      <c r="B1830" s="759" t="s">
        <v>5915</v>
      </c>
      <c r="C1830" s="759" t="s">
        <v>3954</v>
      </c>
      <c r="D1830" s="752" t="s">
        <v>3622</v>
      </c>
      <c r="E1830" s="754">
        <v>0</v>
      </c>
    </row>
    <row r="1831" spans="1:5" ht="15.9">
      <c r="A1831" s="754" t="s">
        <v>5857</v>
      </c>
      <c r="B1831" s="759" t="s">
        <v>5915</v>
      </c>
      <c r="C1831" s="759" t="s">
        <v>3955</v>
      </c>
      <c r="D1831" s="752" t="s">
        <v>3622</v>
      </c>
      <c r="E1831" s="754">
        <v>0</v>
      </c>
    </row>
    <row r="1832" spans="1:5" ht="15.9">
      <c r="A1832" s="754" t="s">
        <v>5857</v>
      </c>
      <c r="B1832" s="759" t="s">
        <v>5915</v>
      </c>
      <c r="C1832" s="759" t="s">
        <v>3956</v>
      </c>
      <c r="D1832" s="752" t="s">
        <v>3622</v>
      </c>
      <c r="E1832" s="754">
        <v>0</v>
      </c>
    </row>
    <row r="1833" spans="1:5" ht="15.9">
      <c r="A1833" s="754" t="s">
        <v>5857</v>
      </c>
      <c r="B1833" s="759" t="s">
        <v>5915</v>
      </c>
      <c r="C1833" s="759" t="s">
        <v>3957</v>
      </c>
      <c r="D1833" s="752" t="s">
        <v>3622</v>
      </c>
      <c r="E1833" s="754">
        <v>0</v>
      </c>
    </row>
    <row r="1834" spans="1:5" ht="15.9">
      <c r="A1834" s="754" t="s">
        <v>5857</v>
      </c>
      <c r="B1834" s="759" t="s">
        <v>5915</v>
      </c>
      <c r="C1834" s="759" t="s">
        <v>3958</v>
      </c>
      <c r="D1834" s="752" t="s">
        <v>3622</v>
      </c>
      <c r="E1834" s="754">
        <v>0</v>
      </c>
    </row>
    <row r="1835" spans="1:5" ht="15.9">
      <c r="A1835" s="754" t="s">
        <v>5857</v>
      </c>
      <c r="B1835" s="759" t="s">
        <v>5915</v>
      </c>
      <c r="C1835" s="759" t="s">
        <v>3959</v>
      </c>
      <c r="D1835" s="752" t="s">
        <v>3622</v>
      </c>
      <c r="E1835" s="754">
        <v>0</v>
      </c>
    </row>
    <row r="1836" spans="1:5" ht="15.9">
      <c r="A1836" s="754" t="s">
        <v>5857</v>
      </c>
      <c r="B1836" s="759" t="s">
        <v>5915</v>
      </c>
      <c r="C1836" s="759" t="s">
        <v>3960</v>
      </c>
      <c r="D1836" s="752" t="s">
        <v>3622</v>
      </c>
      <c r="E1836" s="754">
        <v>0</v>
      </c>
    </row>
    <row r="1837" spans="1:5" ht="15.9">
      <c r="A1837" s="754" t="s">
        <v>5857</v>
      </c>
      <c r="B1837" s="759" t="s">
        <v>5915</v>
      </c>
      <c r="C1837" s="759" t="s">
        <v>3961</v>
      </c>
      <c r="D1837" s="752" t="s">
        <v>3622</v>
      </c>
      <c r="E1837" s="754">
        <v>0</v>
      </c>
    </row>
    <row r="1838" spans="1:5" ht="15.9">
      <c r="A1838" s="754" t="s">
        <v>5857</v>
      </c>
      <c r="B1838" s="759" t="s">
        <v>5915</v>
      </c>
      <c r="C1838" s="759" t="s">
        <v>3962</v>
      </c>
      <c r="D1838" s="752" t="s">
        <v>3622</v>
      </c>
      <c r="E1838" s="754">
        <v>0</v>
      </c>
    </row>
    <row r="1839" spans="1:5" ht="15.9">
      <c r="A1839" s="754" t="s">
        <v>5857</v>
      </c>
      <c r="B1839" s="759" t="s">
        <v>5915</v>
      </c>
      <c r="C1839" s="759" t="s">
        <v>3963</v>
      </c>
      <c r="D1839" s="752" t="s">
        <v>3622</v>
      </c>
      <c r="E1839" s="754">
        <v>0</v>
      </c>
    </row>
    <row r="1840" spans="1:5" ht="15.9">
      <c r="A1840" s="754" t="s">
        <v>5857</v>
      </c>
      <c r="B1840" s="759" t="s">
        <v>5915</v>
      </c>
      <c r="C1840" s="759" t="s">
        <v>3964</v>
      </c>
      <c r="D1840" s="752" t="s">
        <v>3622</v>
      </c>
      <c r="E1840" s="754">
        <v>0</v>
      </c>
    </row>
    <row r="1841" spans="1:5" ht="15.9">
      <c r="A1841" s="754" t="s">
        <v>5857</v>
      </c>
      <c r="B1841" s="759" t="s">
        <v>5915</v>
      </c>
      <c r="C1841" s="759" t="s">
        <v>5903</v>
      </c>
      <c r="D1841" s="752" t="s">
        <v>3622</v>
      </c>
      <c r="E1841" s="754">
        <v>0</v>
      </c>
    </row>
    <row r="1842" spans="1:5" ht="15.9">
      <c r="A1842" s="754" t="s">
        <v>5857</v>
      </c>
      <c r="B1842" s="759" t="s">
        <v>5915</v>
      </c>
      <c r="C1842" s="759" t="s">
        <v>3965</v>
      </c>
      <c r="D1842" s="752" t="s">
        <v>3622</v>
      </c>
      <c r="E1842" s="754">
        <v>0</v>
      </c>
    </row>
    <row r="1843" spans="1:5" ht="15.9">
      <c r="A1843" s="754" t="s">
        <v>5857</v>
      </c>
      <c r="B1843" s="759" t="s">
        <v>5915</v>
      </c>
      <c r="C1843" s="759" t="s">
        <v>3966</v>
      </c>
      <c r="D1843" s="752" t="s">
        <v>3622</v>
      </c>
      <c r="E1843" s="754">
        <v>0</v>
      </c>
    </row>
    <row r="1844" spans="1:5" ht="15.9">
      <c r="A1844" s="754" t="s">
        <v>5857</v>
      </c>
      <c r="B1844" s="759" t="s">
        <v>5915</v>
      </c>
      <c r="C1844" s="759" t="s">
        <v>3967</v>
      </c>
      <c r="D1844" s="752" t="s">
        <v>3622</v>
      </c>
      <c r="E1844" s="754">
        <v>0</v>
      </c>
    </row>
    <row r="1845" spans="1:5" ht="15.9">
      <c r="A1845" s="754" t="s">
        <v>5857</v>
      </c>
      <c r="B1845" s="759" t="s">
        <v>5915</v>
      </c>
      <c r="C1845" s="759" t="s">
        <v>3968</v>
      </c>
      <c r="D1845" s="752" t="s">
        <v>3622</v>
      </c>
      <c r="E1845" s="754">
        <v>0</v>
      </c>
    </row>
    <row r="1846" spans="1:5" ht="15.9">
      <c r="A1846" s="754" t="s">
        <v>5857</v>
      </c>
      <c r="B1846" s="759" t="s">
        <v>5915</v>
      </c>
      <c r="C1846" s="759" t="s">
        <v>3969</v>
      </c>
      <c r="D1846" s="752" t="s">
        <v>3622</v>
      </c>
      <c r="E1846" s="754">
        <v>0</v>
      </c>
    </row>
    <row r="1847" spans="1:5" ht="15.9">
      <c r="A1847" s="754" t="s">
        <v>5857</v>
      </c>
      <c r="B1847" s="759" t="s">
        <v>5915</v>
      </c>
      <c r="C1847" s="759" t="s">
        <v>3970</v>
      </c>
      <c r="D1847" s="752" t="s">
        <v>3622</v>
      </c>
      <c r="E1847" s="754">
        <v>0</v>
      </c>
    </row>
    <row r="1848" spans="1:5" ht="15.9">
      <c r="A1848" s="754" t="s">
        <v>5857</v>
      </c>
      <c r="B1848" s="759" t="s">
        <v>5915</v>
      </c>
      <c r="C1848" s="759" t="s">
        <v>3971</v>
      </c>
      <c r="D1848" s="752" t="s">
        <v>3622</v>
      </c>
      <c r="E1848" s="754">
        <v>0</v>
      </c>
    </row>
    <row r="1849" spans="1:5" ht="15.9">
      <c r="A1849" s="754" t="s">
        <v>5857</v>
      </c>
      <c r="B1849" s="759" t="s">
        <v>5915</v>
      </c>
      <c r="C1849" s="759" t="s">
        <v>3972</v>
      </c>
      <c r="D1849" s="752" t="s">
        <v>3622</v>
      </c>
      <c r="E1849" s="754">
        <v>0</v>
      </c>
    </row>
    <row r="1850" spans="1:5" ht="15.9">
      <c r="A1850" s="754" t="s">
        <v>5857</v>
      </c>
      <c r="B1850" s="759" t="s">
        <v>5915</v>
      </c>
      <c r="C1850" s="759" t="s">
        <v>3973</v>
      </c>
      <c r="D1850" s="752" t="s">
        <v>3622</v>
      </c>
      <c r="E1850" s="754">
        <v>0</v>
      </c>
    </row>
    <row r="1851" spans="1:5" ht="15.9">
      <c r="A1851" s="754" t="s">
        <v>5857</v>
      </c>
      <c r="B1851" s="759" t="s">
        <v>5915</v>
      </c>
      <c r="C1851" s="759" t="s">
        <v>3974</v>
      </c>
      <c r="D1851" s="752" t="s">
        <v>3622</v>
      </c>
      <c r="E1851" s="754">
        <v>0</v>
      </c>
    </row>
    <row r="1852" spans="1:5" ht="15.9">
      <c r="A1852" s="754" t="s">
        <v>5857</v>
      </c>
      <c r="B1852" s="759" t="s">
        <v>5915</v>
      </c>
      <c r="C1852" s="759" t="s">
        <v>3975</v>
      </c>
      <c r="D1852" s="752" t="s">
        <v>3622</v>
      </c>
      <c r="E1852" s="754">
        <v>0</v>
      </c>
    </row>
    <row r="1853" spans="1:5" ht="15.9">
      <c r="A1853" s="754" t="s">
        <v>5857</v>
      </c>
      <c r="B1853" s="759" t="s">
        <v>5915</v>
      </c>
      <c r="C1853" s="759" t="s">
        <v>3976</v>
      </c>
      <c r="D1853" s="752" t="s">
        <v>3622</v>
      </c>
      <c r="E1853" s="754">
        <v>0</v>
      </c>
    </row>
    <row r="1854" spans="1:5" ht="15.9">
      <c r="A1854" s="754" t="s">
        <v>5857</v>
      </c>
      <c r="B1854" s="759" t="s">
        <v>5915</v>
      </c>
      <c r="C1854" s="759" t="s">
        <v>3977</v>
      </c>
      <c r="D1854" s="752" t="s">
        <v>3622</v>
      </c>
      <c r="E1854" s="754">
        <v>0</v>
      </c>
    </row>
    <row r="1855" spans="1:5" ht="15.9">
      <c r="A1855" s="754" t="s">
        <v>5857</v>
      </c>
      <c r="B1855" s="759" t="s">
        <v>5915</v>
      </c>
      <c r="C1855" s="759" t="s">
        <v>3978</v>
      </c>
      <c r="D1855" s="752" t="s">
        <v>3622</v>
      </c>
      <c r="E1855" s="754">
        <v>0</v>
      </c>
    </row>
    <row r="1856" spans="1:5" ht="15.9">
      <c r="A1856" s="754" t="s">
        <v>5857</v>
      </c>
      <c r="B1856" s="759" t="s">
        <v>5915</v>
      </c>
      <c r="C1856" s="759" t="s">
        <v>3979</v>
      </c>
      <c r="D1856" s="752" t="s">
        <v>3622</v>
      </c>
      <c r="E1856" s="754">
        <v>0</v>
      </c>
    </row>
    <row r="1857" spans="1:5" ht="15.9">
      <c r="A1857" s="754" t="s">
        <v>5857</v>
      </c>
      <c r="B1857" s="759" t="s">
        <v>5915</v>
      </c>
      <c r="C1857" s="759" t="s">
        <v>3980</v>
      </c>
      <c r="D1857" s="752" t="s">
        <v>3622</v>
      </c>
      <c r="E1857" s="754">
        <v>0</v>
      </c>
    </row>
    <row r="1858" spans="1:5" ht="15.9">
      <c r="A1858" s="754" t="s">
        <v>5857</v>
      </c>
      <c r="B1858" s="759" t="s">
        <v>5915</v>
      </c>
      <c r="C1858" s="759" t="s">
        <v>3981</v>
      </c>
      <c r="D1858" s="752" t="s">
        <v>3622</v>
      </c>
      <c r="E1858" s="754">
        <v>0</v>
      </c>
    </row>
    <row r="1859" spans="1:5" ht="15.9">
      <c r="A1859" s="754" t="s">
        <v>5857</v>
      </c>
      <c r="B1859" s="759" t="s">
        <v>5915</v>
      </c>
      <c r="C1859" s="759" t="s">
        <v>3982</v>
      </c>
      <c r="D1859" s="752" t="s">
        <v>3622</v>
      </c>
      <c r="E1859" s="754">
        <v>0</v>
      </c>
    </row>
    <row r="1860" spans="1:5" ht="15.9">
      <c r="A1860" s="754" t="s">
        <v>5857</v>
      </c>
      <c r="B1860" s="759" t="s">
        <v>5915</v>
      </c>
      <c r="C1860" s="759" t="s">
        <v>3983</v>
      </c>
      <c r="D1860" s="752" t="s">
        <v>3622</v>
      </c>
      <c r="E1860" s="754">
        <v>0</v>
      </c>
    </row>
    <row r="1861" spans="1:5" ht="15.9">
      <c r="A1861" s="754" t="s">
        <v>5857</v>
      </c>
      <c r="B1861" s="759" t="s">
        <v>5915</v>
      </c>
      <c r="C1861" s="759" t="s">
        <v>3984</v>
      </c>
      <c r="D1861" s="752" t="s">
        <v>3622</v>
      </c>
      <c r="E1861" s="754">
        <v>0</v>
      </c>
    </row>
    <row r="1862" spans="1:5" ht="15.9">
      <c r="A1862" s="754" t="s">
        <v>5857</v>
      </c>
      <c r="B1862" s="759" t="s">
        <v>5915</v>
      </c>
      <c r="C1862" s="759" t="s">
        <v>3985</v>
      </c>
      <c r="D1862" s="752" t="s">
        <v>3622</v>
      </c>
      <c r="E1862" s="754">
        <v>0</v>
      </c>
    </row>
    <row r="1863" spans="1:5" ht="15.9">
      <c r="A1863" s="754" t="s">
        <v>5857</v>
      </c>
      <c r="B1863" s="759" t="s">
        <v>5915</v>
      </c>
      <c r="C1863" s="759" t="s">
        <v>3986</v>
      </c>
      <c r="D1863" s="752" t="s">
        <v>3622</v>
      </c>
      <c r="E1863" s="754">
        <v>0</v>
      </c>
    </row>
    <row r="1864" spans="1:5" ht="15.9">
      <c r="A1864" s="754" t="s">
        <v>5857</v>
      </c>
      <c r="B1864" s="759" t="s">
        <v>5915</v>
      </c>
      <c r="C1864" s="759" t="s">
        <v>3987</v>
      </c>
      <c r="D1864" s="752" t="s">
        <v>3622</v>
      </c>
      <c r="E1864" s="754">
        <v>0</v>
      </c>
    </row>
    <row r="1865" spans="1:5" ht="15.9">
      <c r="A1865" s="754" t="s">
        <v>5857</v>
      </c>
      <c r="B1865" s="759" t="s">
        <v>5915</v>
      </c>
      <c r="C1865" s="759" t="s">
        <v>3988</v>
      </c>
      <c r="D1865" s="752" t="s">
        <v>3622</v>
      </c>
      <c r="E1865" s="754">
        <v>0</v>
      </c>
    </row>
    <row r="1866" spans="1:5" ht="15.9">
      <c r="A1866" s="754" t="s">
        <v>5857</v>
      </c>
      <c r="B1866" s="759" t="s">
        <v>5915</v>
      </c>
      <c r="C1866" s="759" t="s">
        <v>3989</v>
      </c>
      <c r="D1866" s="752" t="s">
        <v>3622</v>
      </c>
      <c r="E1866" s="754">
        <v>0</v>
      </c>
    </row>
    <row r="1867" spans="1:5" ht="15.9">
      <c r="A1867" s="754" t="s">
        <v>5857</v>
      </c>
      <c r="B1867" s="759" t="s">
        <v>5915</v>
      </c>
      <c r="C1867" s="759" t="s">
        <v>3990</v>
      </c>
      <c r="D1867" s="752" t="s">
        <v>3622</v>
      </c>
      <c r="E1867" s="754">
        <v>0</v>
      </c>
    </row>
    <row r="1868" spans="1:5" ht="15.9">
      <c r="A1868" s="754" t="s">
        <v>5857</v>
      </c>
      <c r="B1868" s="759" t="s">
        <v>5915</v>
      </c>
      <c r="C1868" s="759" t="s">
        <v>3991</v>
      </c>
      <c r="D1868" s="752" t="s">
        <v>3622</v>
      </c>
      <c r="E1868" s="754">
        <v>0</v>
      </c>
    </row>
    <row r="1869" spans="1:5" ht="15.9">
      <c r="A1869" s="754" t="s">
        <v>5857</v>
      </c>
      <c r="B1869" s="759" t="s">
        <v>5915</v>
      </c>
      <c r="C1869" s="759" t="s">
        <v>3992</v>
      </c>
      <c r="D1869" s="752" t="s">
        <v>3622</v>
      </c>
      <c r="E1869" s="754">
        <v>0</v>
      </c>
    </row>
    <row r="1870" spans="1:5" ht="15.9">
      <c r="A1870" s="754" t="s">
        <v>5857</v>
      </c>
      <c r="B1870" s="759" t="s">
        <v>5915</v>
      </c>
      <c r="C1870" s="759" t="s">
        <v>3993</v>
      </c>
      <c r="D1870" s="752" t="s">
        <v>3622</v>
      </c>
      <c r="E1870" s="754">
        <v>0</v>
      </c>
    </row>
    <row r="1871" spans="1:5" ht="15.9">
      <c r="A1871" s="754" t="s">
        <v>5857</v>
      </c>
      <c r="B1871" s="759" t="s">
        <v>5915</v>
      </c>
      <c r="C1871" s="759" t="s">
        <v>3994</v>
      </c>
      <c r="D1871" s="752" t="s">
        <v>3622</v>
      </c>
      <c r="E1871" s="754">
        <v>0</v>
      </c>
    </row>
    <row r="1872" spans="1:5" ht="15.9">
      <c r="A1872" s="754" t="s">
        <v>5857</v>
      </c>
      <c r="B1872" s="759" t="s">
        <v>5915</v>
      </c>
      <c r="C1872" s="759" t="s">
        <v>3995</v>
      </c>
      <c r="D1872" s="752" t="s">
        <v>3622</v>
      </c>
      <c r="E1872" s="754">
        <v>0</v>
      </c>
    </row>
    <row r="1873" spans="1:5" ht="15.9">
      <c r="A1873" s="754" t="s">
        <v>5857</v>
      </c>
      <c r="B1873" s="759" t="s">
        <v>5915</v>
      </c>
      <c r="C1873" s="759" t="s">
        <v>3996</v>
      </c>
      <c r="D1873" s="752" t="s">
        <v>3622</v>
      </c>
      <c r="E1873" s="754">
        <v>0</v>
      </c>
    </row>
    <row r="1874" spans="1:5" ht="15.9">
      <c r="A1874" s="754" t="s">
        <v>5857</v>
      </c>
      <c r="B1874" s="759" t="s">
        <v>5915</v>
      </c>
      <c r="C1874" s="759" t="s">
        <v>3997</v>
      </c>
      <c r="D1874" s="752" t="s">
        <v>3622</v>
      </c>
      <c r="E1874" s="754">
        <v>0</v>
      </c>
    </row>
    <row r="1875" spans="1:5" ht="15.9">
      <c r="A1875" s="754" t="s">
        <v>5857</v>
      </c>
      <c r="B1875" s="759" t="s">
        <v>5915</v>
      </c>
      <c r="C1875" s="759" t="s">
        <v>3998</v>
      </c>
      <c r="D1875" s="752" t="s">
        <v>3622</v>
      </c>
      <c r="E1875" s="754">
        <v>0</v>
      </c>
    </row>
    <row r="1876" spans="1:5" ht="15.9">
      <c r="A1876" s="754" t="s">
        <v>5857</v>
      </c>
      <c r="B1876" s="759" t="s">
        <v>5915</v>
      </c>
      <c r="C1876" s="759" t="s">
        <v>3999</v>
      </c>
      <c r="D1876" s="752" t="s">
        <v>3622</v>
      </c>
      <c r="E1876" s="754">
        <v>0</v>
      </c>
    </row>
    <row r="1877" spans="1:5" ht="15.9">
      <c r="A1877" s="754" t="s">
        <v>5857</v>
      </c>
      <c r="B1877" s="759" t="s">
        <v>5915</v>
      </c>
      <c r="C1877" s="759" t="s">
        <v>4000</v>
      </c>
      <c r="D1877" s="752" t="s">
        <v>3622</v>
      </c>
      <c r="E1877" s="754">
        <v>0</v>
      </c>
    </row>
    <row r="1878" spans="1:5" ht="15.9">
      <c r="A1878" s="754" t="s">
        <v>5857</v>
      </c>
      <c r="B1878" s="759" t="s">
        <v>5915</v>
      </c>
      <c r="C1878" s="759" t="s">
        <v>4001</v>
      </c>
      <c r="D1878" s="752" t="s">
        <v>3622</v>
      </c>
      <c r="E1878" s="754">
        <v>0</v>
      </c>
    </row>
    <row r="1879" spans="1:5" ht="15.9">
      <c r="A1879" s="754" t="s">
        <v>5857</v>
      </c>
      <c r="B1879" s="759" t="s">
        <v>5915</v>
      </c>
      <c r="C1879" s="759" t="s">
        <v>4002</v>
      </c>
      <c r="D1879" s="752" t="s">
        <v>3622</v>
      </c>
      <c r="E1879" s="754">
        <v>0</v>
      </c>
    </row>
    <row r="1880" spans="1:5" ht="15.9">
      <c r="A1880" s="754" t="s">
        <v>5857</v>
      </c>
      <c r="B1880" s="759" t="s">
        <v>5915</v>
      </c>
      <c r="C1880" s="759" t="s">
        <v>4003</v>
      </c>
      <c r="D1880" s="752" t="s">
        <v>3622</v>
      </c>
      <c r="E1880" s="754">
        <v>0</v>
      </c>
    </row>
    <row r="1881" spans="1:5" ht="15.9">
      <c r="A1881" s="754" t="s">
        <v>5857</v>
      </c>
      <c r="B1881" s="759" t="s">
        <v>5915</v>
      </c>
      <c r="C1881" s="759" t="s">
        <v>4004</v>
      </c>
      <c r="D1881" s="752" t="s">
        <v>3622</v>
      </c>
      <c r="E1881" s="754">
        <v>0</v>
      </c>
    </row>
    <row r="1882" spans="1:5" ht="15.9">
      <c r="A1882" s="754" t="s">
        <v>5857</v>
      </c>
      <c r="B1882" s="759" t="s">
        <v>5915</v>
      </c>
      <c r="C1882" s="759" t="s">
        <v>4005</v>
      </c>
      <c r="D1882" s="752" t="s">
        <v>3622</v>
      </c>
      <c r="E1882" s="754">
        <v>0</v>
      </c>
    </row>
    <row r="1883" spans="1:5" ht="15.9">
      <c r="A1883" s="754" t="s">
        <v>5857</v>
      </c>
      <c r="B1883" s="759" t="s">
        <v>5915</v>
      </c>
      <c r="C1883" s="759" t="s">
        <v>4006</v>
      </c>
      <c r="D1883" s="752" t="s">
        <v>3622</v>
      </c>
      <c r="E1883" s="754">
        <v>0</v>
      </c>
    </row>
    <row r="1884" spans="1:5" ht="15.9">
      <c r="A1884" s="754" t="s">
        <v>5857</v>
      </c>
      <c r="B1884" s="759" t="s">
        <v>5915</v>
      </c>
      <c r="C1884" s="759" t="s">
        <v>4007</v>
      </c>
      <c r="D1884" s="752" t="s">
        <v>3622</v>
      </c>
      <c r="E1884" s="754">
        <v>0</v>
      </c>
    </row>
    <row r="1885" spans="1:5" ht="15.9">
      <c r="A1885" s="754" t="s">
        <v>5857</v>
      </c>
      <c r="B1885" s="759" t="s">
        <v>5915</v>
      </c>
      <c r="C1885" s="759" t="s">
        <v>4008</v>
      </c>
      <c r="D1885" s="752" t="s">
        <v>3622</v>
      </c>
      <c r="E1885" s="754">
        <v>0</v>
      </c>
    </row>
    <row r="1886" spans="1:5" ht="15.9">
      <c r="A1886" s="754" t="s">
        <v>5857</v>
      </c>
      <c r="B1886" s="759" t="s">
        <v>5915</v>
      </c>
      <c r="C1886" s="759" t="s">
        <v>4009</v>
      </c>
      <c r="D1886" s="752" t="s">
        <v>3622</v>
      </c>
      <c r="E1886" s="754">
        <v>0</v>
      </c>
    </row>
    <row r="1887" spans="1:5" ht="15.9">
      <c r="A1887" s="754" t="s">
        <v>5857</v>
      </c>
      <c r="B1887" s="759" t="s">
        <v>5915</v>
      </c>
      <c r="C1887" s="759" t="s">
        <v>4010</v>
      </c>
      <c r="D1887" s="752" t="s">
        <v>3622</v>
      </c>
      <c r="E1887" s="754">
        <v>0</v>
      </c>
    </row>
    <row r="1888" spans="1:5" ht="15.9">
      <c r="A1888" s="754" t="s">
        <v>5857</v>
      </c>
      <c r="B1888" s="759" t="s">
        <v>5915</v>
      </c>
      <c r="C1888" s="759" t="s">
        <v>4011</v>
      </c>
      <c r="D1888" s="752" t="s">
        <v>3622</v>
      </c>
      <c r="E1888" s="754">
        <v>0</v>
      </c>
    </row>
    <row r="1889" spans="1:5" ht="15.9">
      <c r="A1889" s="754" t="s">
        <v>5857</v>
      </c>
      <c r="B1889" s="759" t="s">
        <v>5915</v>
      </c>
      <c r="C1889" s="759" t="s">
        <v>4012</v>
      </c>
      <c r="D1889" s="752" t="s">
        <v>3622</v>
      </c>
      <c r="E1889" s="754">
        <v>0</v>
      </c>
    </row>
    <row r="1890" spans="1:5" ht="15.9">
      <c r="A1890" s="754" t="s">
        <v>5857</v>
      </c>
      <c r="B1890" s="759" t="s">
        <v>5915</v>
      </c>
      <c r="C1890" s="759" t="s">
        <v>4013</v>
      </c>
      <c r="D1890" s="752" t="s">
        <v>3622</v>
      </c>
      <c r="E1890" s="754">
        <v>0</v>
      </c>
    </row>
    <row r="1891" spans="1:5" ht="15.9">
      <c r="A1891" s="754" t="s">
        <v>5857</v>
      </c>
      <c r="B1891" s="759" t="s">
        <v>5915</v>
      </c>
      <c r="C1891" s="759" t="s">
        <v>4014</v>
      </c>
      <c r="D1891" s="752" t="s">
        <v>3622</v>
      </c>
      <c r="E1891" s="754">
        <v>0</v>
      </c>
    </row>
    <row r="1892" spans="1:5" ht="15.9">
      <c r="A1892" s="754" t="s">
        <v>5857</v>
      </c>
      <c r="B1892" s="759" t="s">
        <v>5915</v>
      </c>
      <c r="C1892" s="759" t="s">
        <v>4015</v>
      </c>
      <c r="D1892" s="752" t="s">
        <v>3622</v>
      </c>
      <c r="E1892" s="754">
        <v>0</v>
      </c>
    </row>
    <row r="1893" spans="1:5" ht="15.9">
      <c r="A1893" s="754" t="s">
        <v>5857</v>
      </c>
      <c r="B1893" s="759" t="s">
        <v>5915</v>
      </c>
      <c r="C1893" s="759" t="s">
        <v>4016</v>
      </c>
      <c r="D1893" s="752" t="s">
        <v>3622</v>
      </c>
      <c r="E1893" s="754">
        <v>0</v>
      </c>
    </row>
    <row r="1894" spans="1:5" ht="15.9">
      <c r="A1894" s="754" t="s">
        <v>5857</v>
      </c>
      <c r="B1894" s="759" t="s">
        <v>5915</v>
      </c>
      <c r="C1894" s="759" t="s">
        <v>4017</v>
      </c>
      <c r="D1894" s="752" t="s">
        <v>3622</v>
      </c>
      <c r="E1894" s="754">
        <v>0</v>
      </c>
    </row>
    <row r="1895" spans="1:5" ht="15.9">
      <c r="A1895" s="754" t="s">
        <v>5857</v>
      </c>
      <c r="B1895" s="759" t="s">
        <v>5915</v>
      </c>
      <c r="C1895" s="759" t="s">
        <v>4018</v>
      </c>
      <c r="D1895" s="752" t="s">
        <v>3622</v>
      </c>
      <c r="E1895" s="754">
        <v>0</v>
      </c>
    </row>
    <row r="1896" spans="1:5" ht="15.9">
      <c r="A1896" s="754" t="s">
        <v>5857</v>
      </c>
      <c r="B1896" s="759" t="s">
        <v>5915</v>
      </c>
      <c r="C1896" s="759" t="s">
        <v>4019</v>
      </c>
      <c r="D1896" s="752" t="s">
        <v>3622</v>
      </c>
      <c r="E1896" s="754">
        <v>0</v>
      </c>
    </row>
    <row r="1897" spans="1:5" ht="15.9">
      <c r="A1897" s="754" t="s">
        <v>5857</v>
      </c>
      <c r="B1897" s="759" t="s">
        <v>5915</v>
      </c>
      <c r="C1897" s="759" t="s">
        <v>4020</v>
      </c>
      <c r="D1897" s="752" t="s">
        <v>3622</v>
      </c>
      <c r="E1897" s="754">
        <v>0</v>
      </c>
    </row>
    <row r="1898" spans="1:5" ht="15.9">
      <c r="A1898" s="754" t="s">
        <v>5857</v>
      </c>
      <c r="B1898" s="759" t="s">
        <v>5915</v>
      </c>
      <c r="C1898" s="759" t="s">
        <v>4021</v>
      </c>
      <c r="D1898" s="752" t="s">
        <v>3622</v>
      </c>
      <c r="E1898" s="754">
        <v>0</v>
      </c>
    </row>
    <row r="1899" spans="1:5" ht="15.9">
      <c r="A1899" s="754" t="s">
        <v>5857</v>
      </c>
      <c r="B1899" s="759" t="s">
        <v>5915</v>
      </c>
      <c r="C1899" s="759" t="s">
        <v>4022</v>
      </c>
      <c r="D1899" s="752" t="s">
        <v>3622</v>
      </c>
      <c r="E1899" s="754">
        <v>0</v>
      </c>
    </row>
    <row r="1900" spans="1:5" ht="15.9">
      <c r="A1900" s="754" t="s">
        <v>5857</v>
      </c>
      <c r="B1900" s="759" t="s">
        <v>5915</v>
      </c>
      <c r="C1900" s="759" t="s">
        <v>4023</v>
      </c>
      <c r="D1900" s="752" t="s">
        <v>3622</v>
      </c>
      <c r="E1900" s="754">
        <v>0</v>
      </c>
    </row>
    <row r="1901" spans="1:5" ht="15.9">
      <c r="A1901" s="754" t="s">
        <v>5857</v>
      </c>
      <c r="B1901" s="759" t="s">
        <v>5915</v>
      </c>
      <c r="C1901" s="759" t="s">
        <v>4024</v>
      </c>
      <c r="D1901" s="752" t="s">
        <v>3622</v>
      </c>
      <c r="E1901" s="754">
        <v>0</v>
      </c>
    </row>
    <row r="1902" spans="1:5" ht="15.9">
      <c r="A1902" s="754" t="s">
        <v>5857</v>
      </c>
      <c r="B1902" s="759" t="s">
        <v>5915</v>
      </c>
      <c r="C1902" s="759" t="s">
        <v>4025</v>
      </c>
      <c r="D1902" s="752" t="s">
        <v>3622</v>
      </c>
      <c r="E1902" s="754">
        <v>0</v>
      </c>
    </row>
    <row r="1903" spans="1:5" ht="15.9">
      <c r="A1903" s="754" t="s">
        <v>5857</v>
      </c>
      <c r="B1903" s="759" t="s">
        <v>5915</v>
      </c>
      <c r="C1903" s="759" t="s">
        <v>4026</v>
      </c>
      <c r="D1903" s="752" t="s">
        <v>3622</v>
      </c>
      <c r="E1903" s="754">
        <v>0</v>
      </c>
    </row>
    <row r="1904" spans="1:5" ht="15.9">
      <c r="A1904" s="754" t="s">
        <v>5857</v>
      </c>
      <c r="B1904" s="759" t="s">
        <v>5915</v>
      </c>
      <c r="C1904" s="759" t="s">
        <v>4027</v>
      </c>
      <c r="D1904" s="752" t="s">
        <v>3622</v>
      </c>
      <c r="E1904" s="754">
        <v>0</v>
      </c>
    </row>
    <row r="1905" spans="1:5" ht="15.9">
      <c r="A1905" s="754" t="s">
        <v>5857</v>
      </c>
      <c r="B1905" s="759" t="s">
        <v>5915</v>
      </c>
      <c r="C1905" s="759" t="s">
        <v>4028</v>
      </c>
      <c r="D1905" s="752" t="s">
        <v>3622</v>
      </c>
      <c r="E1905" s="754">
        <v>0</v>
      </c>
    </row>
    <row r="1906" spans="1:5" ht="15.9">
      <c r="A1906" s="754" t="s">
        <v>5857</v>
      </c>
      <c r="B1906" s="759" t="s">
        <v>5915</v>
      </c>
      <c r="C1906" s="759" t="s">
        <v>4029</v>
      </c>
      <c r="D1906" s="752" t="s">
        <v>3622</v>
      </c>
      <c r="E1906" s="754">
        <v>0</v>
      </c>
    </row>
    <row r="1907" spans="1:5" ht="15.9">
      <c r="A1907" s="754" t="s">
        <v>5857</v>
      </c>
      <c r="B1907" s="759" t="s">
        <v>5915</v>
      </c>
      <c r="C1907" s="759" t="s">
        <v>4030</v>
      </c>
      <c r="D1907" s="752" t="s">
        <v>3622</v>
      </c>
      <c r="E1907" s="754">
        <v>0</v>
      </c>
    </row>
    <row r="1908" spans="1:5" ht="15.9">
      <c r="A1908" s="754" t="s">
        <v>5857</v>
      </c>
      <c r="B1908" s="759" t="s">
        <v>5915</v>
      </c>
      <c r="C1908" s="759" t="s">
        <v>4031</v>
      </c>
      <c r="D1908" s="752" t="s">
        <v>3622</v>
      </c>
      <c r="E1908" s="754">
        <v>0</v>
      </c>
    </row>
    <row r="1909" spans="1:5" ht="15.9">
      <c r="A1909" s="754" t="s">
        <v>5857</v>
      </c>
      <c r="B1909" s="759" t="s">
        <v>5915</v>
      </c>
      <c r="C1909" s="759" t="s">
        <v>4032</v>
      </c>
      <c r="D1909" s="752" t="s">
        <v>3622</v>
      </c>
      <c r="E1909" s="754">
        <v>0</v>
      </c>
    </row>
    <row r="1910" spans="1:5" ht="15.9">
      <c r="A1910" s="754" t="s">
        <v>5857</v>
      </c>
      <c r="B1910" s="759" t="s">
        <v>5915</v>
      </c>
      <c r="C1910" s="759" t="s">
        <v>4033</v>
      </c>
      <c r="D1910" s="752" t="s">
        <v>3622</v>
      </c>
      <c r="E1910" s="754">
        <v>0</v>
      </c>
    </row>
    <row r="1911" spans="1:5" ht="15.9">
      <c r="A1911" s="754" t="s">
        <v>5857</v>
      </c>
      <c r="B1911" s="759" t="s">
        <v>5915</v>
      </c>
      <c r="C1911" s="759" t="s">
        <v>4034</v>
      </c>
      <c r="D1911" s="752" t="s">
        <v>3622</v>
      </c>
      <c r="E1911" s="754">
        <v>0</v>
      </c>
    </row>
    <row r="1912" spans="1:5" ht="15.9">
      <c r="A1912" s="754" t="s">
        <v>5857</v>
      </c>
      <c r="B1912" s="759" t="s">
        <v>5915</v>
      </c>
      <c r="C1912" s="759" t="s">
        <v>4035</v>
      </c>
      <c r="D1912" s="752" t="s">
        <v>3622</v>
      </c>
      <c r="E1912" s="754">
        <v>0</v>
      </c>
    </row>
    <row r="1913" spans="1:5" ht="15.9">
      <c r="A1913" s="754" t="s">
        <v>5857</v>
      </c>
      <c r="B1913" s="759" t="s">
        <v>5915</v>
      </c>
      <c r="C1913" s="759" t="s">
        <v>4036</v>
      </c>
      <c r="D1913" s="752" t="s">
        <v>3622</v>
      </c>
      <c r="E1913" s="754">
        <v>0</v>
      </c>
    </row>
    <row r="1914" spans="1:5" ht="15.9">
      <c r="A1914" s="754" t="s">
        <v>5857</v>
      </c>
      <c r="B1914" s="759" t="s">
        <v>5915</v>
      </c>
      <c r="C1914" s="759" t="s">
        <v>4037</v>
      </c>
      <c r="D1914" s="752" t="s">
        <v>3622</v>
      </c>
      <c r="E1914" s="754">
        <v>0</v>
      </c>
    </row>
    <row r="1915" spans="1:5" ht="15.9">
      <c r="A1915" s="754" t="s">
        <v>5857</v>
      </c>
      <c r="B1915" s="759" t="s">
        <v>5915</v>
      </c>
      <c r="C1915" s="759" t="s">
        <v>4038</v>
      </c>
      <c r="D1915" s="752" t="s">
        <v>3622</v>
      </c>
      <c r="E1915" s="754">
        <v>0</v>
      </c>
    </row>
    <row r="1916" spans="1:5" ht="15.9">
      <c r="A1916" s="754" t="s">
        <v>5857</v>
      </c>
      <c r="B1916" s="759" t="s">
        <v>5915</v>
      </c>
      <c r="C1916" s="759" t="s">
        <v>4039</v>
      </c>
      <c r="D1916" s="752" t="s">
        <v>3622</v>
      </c>
      <c r="E1916" s="754">
        <v>0</v>
      </c>
    </row>
    <row r="1917" spans="1:5" ht="15.9">
      <c r="A1917" s="754" t="s">
        <v>5857</v>
      </c>
      <c r="B1917" s="759" t="s">
        <v>5915</v>
      </c>
      <c r="C1917" s="759" t="s">
        <v>4040</v>
      </c>
      <c r="D1917" s="752" t="s">
        <v>3622</v>
      </c>
      <c r="E1917" s="754">
        <v>0</v>
      </c>
    </row>
    <row r="1918" spans="1:5" ht="15.9">
      <c r="A1918" s="754" t="s">
        <v>5857</v>
      </c>
      <c r="B1918" s="759" t="s">
        <v>5915</v>
      </c>
      <c r="C1918" s="759" t="s">
        <v>4041</v>
      </c>
      <c r="D1918" s="752" t="s">
        <v>3622</v>
      </c>
      <c r="E1918" s="754">
        <v>0</v>
      </c>
    </row>
    <row r="1919" spans="1:5" ht="15.9">
      <c r="A1919" s="754" t="s">
        <v>5857</v>
      </c>
      <c r="B1919" s="759" t="s">
        <v>5915</v>
      </c>
      <c r="C1919" s="759" t="s">
        <v>4042</v>
      </c>
      <c r="D1919" s="752" t="s">
        <v>3622</v>
      </c>
      <c r="E1919" s="754">
        <v>0</v>
      </c>
    </row>
    <row r="1920" spans="1:5" ht="15.9">
      <c r="A1920" s="754" t="s">
        <v>5857</v>
      </c>
      <c r="B1920" s="759" t="s">
        <v>5915</v>
      </c>
      <c r="C1920" s="759" t="s">
        <v>4043</v>
      </c>
      <c r="D1920" s="752" t="s">
        <v>3622</v>
      </c>
      <c r="E1920" s="754">
        <v>0</v>
      </c>
    </row>
    <row r="1921" spans="1:5" ht="15.9">
      <c r="A1921" s="754" t="s">
        <v>5857</v>
      </c>
      <c r="B1921" s="759" t="s">
        <v>5915</v>
      </c>
      <c r="C1921" s="759" t="s">
        <v>4044</v>
      </c>
      <c r="D1921" s="752" t="s">
        <v>3622</v>
      </c>
      <c r="E1921" s="754">
        <v>0</v>
      </c>
    </row>
    <row r="1922" spans="1:5" ht="15.9">
      <c r="A1922" s="754" t="s">
        <v>5857</v>
      </c>
      <c r="B1922" s="759" t="s">
        <v>5915</v>
      </c>
      <c r="C1922" s="759" t="s">
        <v>4045</v>
      </c>
      <c r="D1922" s="752" t="s">
        <v>3622</v>
      </c>
      <c r="E1922" s="754">
        <v>0</v>
      </c>
    </row>
    <row r="1923" spans="1:5" ht="15.9">
      <c r="A1923" s="754" t="s">
        <v>5857</v>
      </c>
      <c r="B1923" s="759" t="s">
        <v>5915</v>
      </c>
      <c r="C1923" s="759" t="s">
        <v>4046</v>
      </c>
      <c r="D1923" s="752" t="s">
        <v>3622</v>
      </c>
      <c r="E1923" s="754">
        <v>0</v>
      </c>
    </row>
    <row r="1924" spans="1:5" ht="15.9">
      <c r="A1924" s="754" t="s">
        <v>5857</v>
      </c>
      <c r="B1924" s="759" t="s">
        <v>5915</v>
      </c>
      <c r="C1924" s="759" t="s">
        <v>4047</v>
      </c>
      <c r="D1924" s="752" t="s">
        <v>3622</v>
      </c>
      <c r="E1924" s="754">
        <v>0</v>
      </c>
    </row>
    <row r="1925" spans="1:5" ht="15.9">
      <c r="A1925" s="754" t="s">
        <v>5857</v>
      </c>
      <c r="B1925" s="759" t="s">
        <v>5915</v>
      </c>
      <c r="C1925" s="759" t="s">
        <v>4048</v>
      </c>
      <c r="D1925" s="752" t="s">
        <v>3622</v>
      </c>
      <c r="E1925" s="754">
        <v>0</v>
      </c>
    </row>
    <row r="1926" spans="1:5" ht="15.9">
      <c r="A1926" s="754" t="s">
        <v>5857</v>
      </c>
      <c r="B1926" s="759" t="s">
        <v>5915</v>
      </c>
      <c r="C1926" s="759" t="s">
        <v>4049</v>
      </c>
      <c r="D1926" s="752" t="s">
        <v>3622</v>
      </c>
      <c r="E1926" s="754">
        <v>0</v>
      </c>
    </row>
    <row r="1927" spans="1:5" ht="15.9">
      <c r="A1927" s="754" t="s">
        <v>5857</v>
      </c>
      <c r="B1927" s="759" t="s">
        <v>5915</v>
      </c>
      <c r="C1927" s="759" t="s">
        <v>4050</v>
      </c>
      <c r="D1927" s="752" t="s">
        <v>3622</v>
      </c>
      <c r="E1927" s="754">
        <v>0</v>
      </c>
    </row>
    <row r="1928" spans="1:5" ht="15.9">
      <c r="A1928" s="754" t="s">
        <v>5857</v>
      </c>
      <c r="B1928" s="759" t="s">
        <v>5915</v>
      </c>
      <c r="C1928" s="759" t="s">
        <v>4051</v>
      </c>
      <c r="D1928" s="752" t="s">
        <v>3622</v>
      </c>
      <c r="E1928" s="754">
        <v>0</v>
      </c>
    </row>
    <row r="1929" spans="1:5" ht="15.9">
      <c r="A1929" s="754" t="s">
        <v>5857</v>
      </c>
      <c r="B1929" s="759" t="s">
        <v>5915</v>
      </c>
      <c r="C1929" s="759" t="s">
        <v>4052</v>
      </c>
      <c r="D1929" s="752" t="s">
        <v>3622</v>
      </c>
      <c r="E1929" s="754">
        <v>0</v>
      </c>
    </row>
    <row r="1930" spans="1:5" ht="15.9">
      <c r="A1930" s="754" t="s">
        <v>5857</v>
      </c>
      <c r="B1930" s="759" t="s">
        <v>5915</v>
      </c>
      <c r="C1930" s="759" t="s">
        <v>4053</v>
      </c>
      <c r="D1930" s="752" t="s">
        <v>3622</v>
      </c>
      <c r="E1930" s="754">
        <v>0</v>
      </c>
    </row>
    <row r="1931" spans="1:5" ht="15.9">
      <c r="A1931" s="754" t="s">
        <v>5857</v>
      </c>
      <c r="B1931" s="759" t="s">
        <v>5915</v>
      </c>
      <c r="C1931" s="759" t="s">
        <v>4054</v>
      </c>
      <c r="D1931" s="752" t="s">
        <v>3622</v>
      </c>
      <c r="E1931" s="754">
        <v>0</v>
      </c>
    </row>
    <row r="1932" spans="1:5" ht="15.9">
      <c r="A1932" s="754" t="s">
        <v>5857</v>
      </c>
      <c r="B1932" s="759" t="s">
        <v>5915</v>
      </c>
      <c r="C1932" s="759" t="s">
        <v>4055</v>
      </c>
      <c r="D1932" s="752" t="s">
        <v>3622</v>
      </c>
      <c r="E1932" s="754">
        <v>0</v>
      </c>
    </row>
    <row r="1933" spans="1:5" ht="15.9">
      <c r="A1933" s="754" t="s">
        <v>5857</v>
      </c>
      <c r="B1933" s="759" t="s">
        <v>5915</v>
      </c>
      <c r="C1933" s="759" t="s">
        <v>4056</v>
      </c>
      <c r="D1933" s="752" t="s">
        <v>3622</v>
      </c>
      <c r="E1933" s="754">
        <v>0</v>
      </c>
    </row>
    <row r="1934" spans="1:5" ht="15.9">
      <c r="A1934" s="754" t="s">
        <v>5857</v>
      </c>
      <c r="B1934" s="759" t="s">
        <v>5915</v>
      </c>
      <c r="C1934" s="759" t="s">
        <v>4057</v>
      </c>
      <c r="D1934" s="752" t="s">
        <v>3622</v>
      </c>
      <c r="E1934" s="754">
        <v>0</v>
      </c>
    </row>
    <row r="1935" spans="1:5" ht="15.9">
      <c r="A1935" s="754" t="s">
        <v>5857</v>
      </c>
      <c r="B1935" s="759" t="s">
        <v>5915</v>
      </c>
      <c r="C1935" s="759" t="s">
        <v>4058</v>
      </c>
      <c r="D1935" s="752" t="s">
        <v>3622</v>
      </c>
      <c r="E1935" s="754">
        <v>0</v>
      </c>
    </row>
    <row r="1936" spans="1:5" ht="15.9">
      <c r="A1936" s="754" t="s">
        <v>5857</v>
      </c>
      <c r="B1936" s="759" t="s">
        <v>5915</v>
      </c>
      <c r="C1936" s="759" t="s">
        <v>4059</v>
      </c>
      <c r="D1936" s="752" t="s">
        <v>3622</v>
      </c>
      <c r="E1936" s="754">
        <v>0</v>
      </c>
    </row>
    <row r="1937" spans="1:5" ht="15.9">
      <c r="A1937" s="754" t="s">
        <v>5857</v>
      </c>
      <c r="B1937" s="759" t="s">
        <v>5915</v>
      </c>
      <c r="C1937" s="759" t="s">
        <v>4060</v>
      </c>
      <c r="D1937" s="752" t="s">
        <v>3622</v>
      </c>
      <c r="E1937" s="754">
        <v>0</v>
      </c>
    </row>
    <row r="1938" spans="1:5" ht="15.9">
      <c r="A1938" s="754" t="s">
        <v>5857</v>
      </c>
      <c r="B1938" s="759" t="s">
        <v>5915</v>
      </c>
      <c r="C1938" s="759" t="s">
        <v>4061</v>
      </c>
      <c r="D1938" s="752" t="s">
        <v>3622</v>
      </c>
      <c r="E1938" s="754">
        <v>0</v>
      </c>
    </row>
    <row r="1939" spans="1:5" ht="15.9">
      <c r="A1939" s="754" t="s">
        <v>5857</v>
      </c>
      <c r="B1939" s="759" t="s">
        <v>5915</v>
      </c>
      <c r="C1939" s="759" t="s">
        <v>4062</v>
      </c>
      <c r="D1939" s="752" t="s">
        <v>3622</v>
      </c>
      <c r="E1939" s="754">
        <v>0</v>
      </c>
    </row>
    <row r="1940" spans="1:5" ht="15.9">
      <c r="A1940" s="754" t="s">
        <v>5857</v>
      </c>
      <c r="B1940" s="759" t="s">
        <v>5915</v>
      </c>
      <c r="C1940" s="759" t="s">
        <v>4063</v>
      </c>
      <c r="D1940" s="752" t="s">
        <v>3622</v>
      </c>
      <c r="E1940" s="754">
        <v>0</v>
      </c>
    </row>
    <row r="1941" spans="1:5" ht="15.9">
      <c r="A1941" s="754" t="s">
        <v>5857</v>
      </c>
      <c r="B1941" s="759" t="s">
        <v>5915</v>
      </c>
      <c r="C1941" s="759" t="s">
        <v>4064</v>
      </c>
      <c r="D1941" s="752" t="s">
        <v>3622</v>
      </c>
      <c r="E1941" s="754">
        <v>0</v>
      </c>
    </row>
    <row r="1942" spans="1:5" ht="15.9">
      <c r="A1942" s="754" t="s">
        <v>5857</v>
      </c>
      <c r="B1942" s="759" t="s">
        <v>5915</v>
      </c>
      <c r="C1942" s="759" t="s">
        <v>4065</v>
      </c>
      <c r="D1942" s="752" t="s">
        <v>3622</v>
      </c>
      <c r="E1942" s="754">
        <v>0</v>
      </c>
    </row>
    <row r="1943" spans="1:5" ht="15.9">
      <c r="A1943" s="754" t="s">
        <v>5857</v>
      </c>
      <c r="B1943" s="759" t="s">
        <v>5915</v>
      </c>
      <c r="C1943" s="759" t="s">
        <v>4066</v>
      </c>
      <c r="D1943" s="752" t="s">
        <v>3622</v>
      </c>
      <c r="E1943" s="754">
        <v>0</v>
      </c>
    </row>
    <row r="1944" spans="1:5" ht="15.9">
      <c r="A1944" s="754" t="s">
        <v>5857</v>
      </c>
      <c r="B1944" s="759" t="s">
        <v>5915</v>
      </c>
      <c r="C1944" s="759" t="s">
        <v>4067</v>
      </c>
      <c r="D1944" s="752" t="s">
        <v>3622</v>
      </c>
      <c r="E1944" s="754">
        <v>0</v>
      </c>
    </row>
    <row r="1945" spans="1:5" ht="15.9">
      <c r="A1945" s="754" t="s">
        <v>5857</v>
      </c>
      <c r="B1945" s="759" t="s">
        <v>5915</v>
      </c>
      <c r="C1945" s="759" t="s">
        <v>4068</v>
      </c>
      <c r="D1945" s="752" t="s">
        <v>3622</v>
      </c>
      <c r="E1945" s="754">
        <v>0</v>
      </c>
    </row>
    <row r="1946" spans="1:5" ht="15.9">
      <c r="A1946" s="754" t="s">
        <v>5857</v>
      </c>
      <c r="B1946" s="759" t="s">
        <v>5915</v>
      </c>
      <c r="C1946" s="759" t="s">
        <v>4069</v>
      </c>
      <c r="D1946" s="752" t="s">
        <v>3622</v>
      </c>
      <c r="E1946" s="754">
        <v>0</v>
      </c>
    </row>
    <row r="1947" spans="1:5" ht="15.9">
      <c r="A1947" s="754" t="s">
        <v>5857</v>
      </c>
      <c r="B1947" s="759" t="s">
        <v>5915</v>
      </c>
      <c r="C1947" s="759" t="s">
        <v>4070</v>
      </c>
      <c r="D1947" s="752" t="s">
        <v>3622</v>
      </c>
      <c r="E1947" s="754">
        <v>0</v>
      </c>
    </row>
    <row r="1948" spans="1:5" ht="15.9">
      <c r="A1948" s="754" t="s">
        <v>5857</v>
      </c>
      <c r="B1948" s="759" t="s">
        <v>5915</v>
      </c>
      <c r="C1948" s="759" t="s">
        <v>4071</v>
      </c>
      <c r="D1948" s="752" t="s">
        <v>3622</v>
      </c>
      <c r="E1948" s="754">
        <v>0</v>
      </c>
    </row>
    <row r="1949" spans="1:5" ht="15.9">
      <c r="A1949" s="754" t="s">
        <v>5857</v>
      </c>
      <c r="B1949" s="759" t="s">
        <v>5915</v>
      </c>
      <c r="C1949" s="759" t="s">
        <v>4072</v>
      </c>
      <c r="D1949" s="752" t="s">
        <v>3622</v>
      </c>
      <c r="E1949" s="754">
        <v>0</v>
      </c>
    </row>
    <row r="1950" spans="1:5" ht="15.9">
      <c r="A1950" s="754" t="s">
        <v>5857</v>
      </c>
      <c r="B1950" s="759" t="s">
        <v>5915</v>
      </c>
      <c r="C1950" s="759" t="s">
        <v>4073</v>
      </c>
      <c r="D1950" s="752" t="s">
        <v>3622</v>
      </c>
      <c r="E1950" s="754">
        <v>0</v>
      </c>
    </row>
    <row r="1951" spans="1:5" ht="15.9">
      <c r="A1951" s="754" t="s">
        <v>5857</v>
      </c>
      <c r="B1951" s="759" t="s">
        <v>5915</v>
      </c>
      <c r="C1951" s="759" t="s">
        <v>4074</v>
      </c>
      <c r="D1951" s="752" t="s">
        <v>3622</v>
      </c>
      <c r="E1951" s="754">
        <v>0</v>
      </c>
    </row>
    <row r="1952" spans="1:5" ht="15.9">
      <c r="A1952" s="754" t="s">
        <v>5857</v>
      </c>
      <c r="B1952" s="759" t="s">
        <v>5915</v>
      </c>
      <c r="C1952" s="759" t="s">
        <v>4075</v>
      </c>
      <c r="D1952" s="752" t="s">
        <v>3622</v>
      </c>
      <c r="E1952" s="754">
        <v>0</v>
      </c>
    </row>
    <row r="1953" spans="1:5" ht="15.9">
      <c r="A1953" s="754" t="s">
        <v>5857</v>
      </c>
      <c r="B1953" s="759" t="s">
        <v>5915</v>
      </c>
      <c r="C1953" s="759" t="s">
        <v>4076</v>
      </c>
      <c r="D1953" s="752" t="s">
        <v>3622</v>
      </c>
      <c r="E1953" s="754">
        <v>0</v>
      </c>
    </row>
    <row r="1954" spans="1:5" ht="15.9">
      <c r="A1954" s="754" t="s">
        <v>5857</v>
      </c>
      <c r="B1954" s="759" t="s">
        <v>5915</v>
      </c>
      <c r="C1954" s="759" t="s">
        <v>4077</v>
      </c>
      <c r="D1954" s="752" t="s">
        <v>3622</v>
      </c>
      <c r="E1954" s="754">
        <v>0</v>
      </c>
    </row>
    <row r="1955" spans="1:5" ht="15.9">
      <c r="A1955" s="754" t="s">
        <v>5857</v>
      </c>
      <c r="B1955" s="759" t="s">
        <v>5915</v>
      </c>
      <c r="C1955" s="759" t="s">
        <v>4078</v>
      </c>
      <c r="D1955" s="752" t="s">
        <v>3622</v>
      </c>
      <c r="E1955" s="754">
        <v>0</v>
      </c>
    </row>
    <row r="1956" spans="1:5" ht="15.9">
      <c r="A1956" s="754" t="s">
        <v>5857</v>
      </c>
      <c r="B1956" s="759" t="s">
        <v>5915</v>
      </c>
      <c r="C1956" s="759" t="s">
        <v>4079</v>
      </c>
      <c r="D1956" s="752" t="s">
        <v>3622</v>
      </c>
      <c r="E1956" s="754">
        <v>0</v>
      </c>
    </row>
    <row r="1957" spans="1:5" ht="15.9">
      <c r="A1957" s="754" t="s">
        <v>5857</v>
      </c>
      <c r="B1957" s="759" t="s">
        <v>5915</v>
      </c>
      <c r="C1957" s="759" t="s">
        <v>4080</v>
      </c>
      <c r="D1957" s="752" t="s">
        <v>3622</v>
      </c>
      <c r="E1957" s="754">
        <v>0</v>
      </c>
    </row>
    <row r="1958" spans="1:5" ht="15.9">
      <c r="A1958" s="754" t="s">
        <v>5857</v>
      </c>
      <c r="B1958" s="759" t="s">
        <v>5915</v>
      </c>
      <c r="C1958" s="759" t="s">
        <v>4081</v>
      </c>
      <c r="D1958" s="752" t="s">
        <v>3622</v>
      </c>
      <c r="E1958" s="754">
        <v>0</v>
      </c>
    </row>
    <row r="1959" spans="1:5" ht="15.9">
      <c r="A1959" s="754" t="s">
        <v>5857</v>
      </c>
      <c r="B1959" s="759" t="s">
        <v>5915</v>
      </c>
      <c r="C1959" s="759" t="s">
        <v>4082</v>
      </c>
      <c r="D1959" s="752" t="s">
        <v>3622</v>
      </c>
      <c r="E1959" s="754">
        <v>0</v>
      </c>
    </row>
    <row r="1960" spans="1:5" ht="15.9">
      <c r="A1960" s="754" t="s">
        <v>5857</v>
      </c>
      <c r="B1960" s="759" t="s">
        <v>5915</v>
      </c>
      <c r="C1960" s="759" t="s">
        <v>4083</v>
      </c>
      <c r="D1960" s="752" t="s">
        <v>3622</v>
      </c>
      <c r="E1960" s="754">
        <v>0</v>
      </c>
    </row>
    <row r="1961" spans="1:5" ht="15.9">
      <c r="A1961" s="754" t="s">
        <v>5857</v>
      </c>
      <c r="B1961" s="759" t="s">
        <v>5915</v>
      </c>
      <c r="C1961" s="759" t="s">
        <v>4084</v>
      </c>
      <c r="D1961" s="752" t="s">
        <v>3622</v>
      </c>
      <c r="E1961" s="754">
        <v>0</v>
      </c>
    </row>
    <row r="1962" spans="1:5" ht="15.9">
      <c r="A1962" s="754" t="s">
        <v>5857</v>
      </c>
      <c r="B1962" s="759" t="s">
        <v>5915</v>
      </c>
      <c r="C1962" s="759" t="s">
        <v>4085</v>
      </c>
      <c r="D1962" s="752" t="s">
        <v>3622</v>
      </c>
      <c r="E1962" s="754">
        <v>0</v>
      </c>
    </row>
    <row r="1963" spans="1:5" ht="15.9">
      <c r="A1963" s="754" t="s">
        <v>5857</v>
      </c>
      <c r="B1963" s="759" t="s">
        <v>5915</v>
      </c>
      <c r="C1963" s="759" t="s">
        <v>4086</v>
      </c>
      <c r="D1963" s="752" t="s">
        <v>3622</v>
      </c>
      <c r="E1963" s="754">
        <v>0</v>
      </c>
    </row>
    <row r="1964" spans="1:5" ht="15.9">
      <c r="A1964" s="754" t="s">
        <v>5857</v>
      </c>
      <c r="B1964" s="759" t="s">
        <v>5915</v>
      </c>
      <c r="C1964" s="759" t="s">
        <v>4087</v>
      </c>
      <c r="D1964" s="752" t="s">
        <v>3622</v>
      </c>
      <c r="E1964" s="754">
        <v>0</v>
      </c>
    </row>
    <row r="1965" spans="1:5" ht="15.9">
      <c r="A1965" s="754" t="s">
        <v>5857</v>
      </c>
      <c r="B1965" s="759" t="s">
        <v>5915</v>
      </c>
      <c r="C1965" s="759" t="s">
        <v>4088</v>
      </c>
      <c r="D1965" s="752" t="s">
        <v>3622</v>
      </c>
      <c r="E1965" s="754">
        <v>0</v>
      </c>
    </row>
    <row r="1966" spans="1:5" ht="15.9">
      <c r="A1966" s="754" t="s">
        <v>5857</v>
      </c>
      <c r="B1966" s="759" t="s">
        <v>5915</v>
      </c>
      <c r="C1966" s="759" t="s">
        <v>4089</v>
      </c>
      <c r="D1966" s="752" t="s">
        <v>3622</v>
      </c>
      <c r="E1966" s="754">
        <v>0</v>
      </c>
    </row>
    <row r="1967" spans="1:5" ht="15.9">
      <c r="A1967" s="754" t="s">
        <v>5857</v>
      </c>
      <c r="B1967" s="759" t="s">
        <v>5915</v>
      </c>
      <c r="C1967" s="759" t="s">
        <v>4090</v>
      </c>
      <c r="D1967" s="752" t="s">
        <v>3622</v>
      </c>
      <c r="E1967" s="754">
        <v>0</v>
      </c>
    </row>
    <row r="1968" spans="1:5" ht="15.9">
      <c r="A1968" s="754" t="s">
        <v>5857</v>
      </c>
      <c r="B1968" s="759" t="s">
        <v>5915</v>
      </c>
      <c r="C1968" s="759" t="s">
        <v>4091</v>
      </c>
      <c r="D1968" s="752" t="s">
        <v>3622</v>
      </c>
      <c r="E1968" s="754">
        <v>0</v>
      </c>
    </row>
    <row r="1969" spans="1:5" ht="15.9">
      <c r="A1969" s="754" t="s">
        <v>5857</v>
      </c>
      <c r="B1969" s="759" t="s">
        <v>5915</v>
      </c>
      <c r="C1969" s="759" t="s">
        <v>4092</v>
      </c>
      <c r="D1969" s="752" t="s">
        <v>3622</v>
      </c>
      <c r="E1969" s="754">
        <v>0</v>
      </c>
    </row>
    <row r="1970" spans="1:5" ht="15.9">
      <c r="A1970" s="754" t="s">
        <v>5857</v>
      </c>
      <c r="B1970" s="759" t="s">
        <v>5915</v>
      </c>
      <c r="C1970" s="759" t="s">
        <v>4093</v>
      </c>
      <c r="D1970" s="752" t="s">
        <v>3622</v>
      </c>
      <c r="E1970" s="754">
        <v>0</v>
      </c>
    </row>
    <row r="1971" spans="1:5" ht="15.9">
      <c r="A1971" s="754" t="s">
        <v>5857</v>
      </c>
      <c r="B1971" s="759" t="s">
        <v>5915</v>
      </c>
      <c r="C1971" s="759" t="s">
        <v>4094</v>
      </c>
      <c r="D1971" s="752" t="s">
        <v>3622</v>
      </c>
      <c r="E1971" s="754">
        <v>0</v>
      </c>
    </row>
    <row r="1972" spans="1:5" ht="15.9">
      <c r="A1972" s="754" t="s">
        <v>5857</v>
      </c>
      <c r="B1972" s="759" t="s">
        <v>5915</v>
      </c>
      <c r="C1972" s="759" t="s">
        <v>4095</v>
      </c>
      <c r="D1972" s="752" t="s">
        <v>3622</v>
      </c>
      <c r="E1972" s="754">
        <v>0</v>
      </c>
    </row>
    <row r="1973" spans="1:5" ht="15.9">
      <c r="A1973" s="754" t="s">
        <v>5857</v>
      </c>
      <c r="B1973" s="759" t="s">
        <v>5915</v>
      </c>
      <c r="C1973" s="759" t="s">
        <v>4096</v>
      </c>
      <c r="D1973" s="752" t="s">
        <v>3622</v>
      </c>
      <c r="E1973" s="754">
        <v>0</v>
      </c>
    </row>
    <row r="1974" spans="1:5" ht="15.9">
      <c r="A1974" s="754" t="s">
        <v>5857</v>
      </c>
      <c r="B1974" s="759" t="s">
        <v>5915</v>
      </c>
      <c r="C1974" s="759" t="s">
        <v>4097</v>
      </c>
      <c r="D1974" s="752" t="s">
        <v>3622</v>
      </c>
      <c r="E1974" s="754">
        <v>0</v>
      </c>
    </row>
    <row r="1975" spans="1:5" ht="15.9">
      <c r="A1975" s="754" t="s">
        <v>5857</v>
      </c>
      <c r="B1975" s="759" t="s">
        <v>5915</v>
      </c>
      <c r="C1975" s="759" t="s">
        <v>4098</v>
      </c>
      <c r="D1975" s="752" t="s">
        <v>3622</v>
      </c>
      <c r="E1975" s="754">
        <v>0</v>
      </c>
    </row>
    <row r="1976" spans="1:5" ht="15.9">
      <c r="A1976" s="754" t="s">
        <v>5857</v>
      </c>
      <c r="B1976" s="759" t="s">
        <v>5915</v>
      </c>
      <c r="C1976" s="759" t="s">
        <v>4099</v>
      </c>
      <c r="D1976" s="752" t="s">
        <v>3622</v>
      </c>
      <c r="E1976" s="754">
        <v>0</v>
      </c>
    </row>
    <row r="1977" spans="1:5" ht="15.9">
      <c r="A1977" s="754" t="s">
        <v>5857</v>
      </c>
      <c r="B1977" s="759" t="s">
        <v>5915</v>
      </c>
      <c r="C1977" s="759" t="s">
        <v>4100</v>
      </c>
      <c r="D1977" s="752" t="s">
        <v>3622</v>
      </c>
      <c r="E1977" s="754">
        <v>0</v>
      </c>
    </row>
    <row r="1978" spans="1:5" ht="15.9">
      <c r="A1978" s="754" t="s">
        <v>5857</v>
      </c>
      <c r="B1978" s="759" t="s">
        <v>5915</v>
      </c>
      <c r="C1978" s="759" t="s">
        <v>4101</v>
      </c>
      <c r="D1978" s="752" t="s">
        <v>3622</v>
      </c>
      <c r="E1978" s="754">
        <v>0</v>
      </c>
    </row>
    <row r="1979" spans="1:5" ht="15.9">
      <c r="A1979" s="754" t="s">
        <v>5857</v>
      </c>
      <c r="B1979" s="759" t="s">
        <v>5915</v>
      </c>
      <c r="C1979" s="759" t="s">
        <v>4102</v>
      </c>
      <c r="D1979" s="752" t="s">
        <v>3622</v>
      </c>
      <c r="E1979" s="754">
        <v>0</v>
      </c>
    </row>
    <row r="1980" spans="1:5" ht="15.9">
      <c r="A1980" s="754" t="s">
        <v>5857</v>
      </c>
      <c r="B1980" s="759" t="s">
        <v>5915</v>
      </c>
      <c r="C1980" s="759" t="s">
        <v>4103</v>
      </c>
      <c r="D1980" s="752" t="s">
        <v>3622</v>
      </c>
      <c r="E1980" s="754">
        <v>0</v>
      </c>
    </row>
    <row r="1981" spans="1:5" ht="15.9">
      <c r="A1981" s="754" t="s">
        <v>5857</v>
      </c>
      <c r="B1981" s="759" t="s">
        <v>5915</v>
      </c>
      <c r="C1981" s="759" t="s">
        <v>4104</v>
      </c>
      <c r="D1981" s="752" t="s">
        <v>3622</v>
      </c>
      <c r="E1981" s="754">
        <v>0</v>
      </c>
    </row>
    <row r="1982" spans="1:5" ht="15.9">
      <c r="A1982" s="754" t="s">
        <v>5857</v>
      </c>
      <c r="B1982" s="759" t="s">
        <v>5915</v>
      </c>
      <c r="C1982" s="759" t="s">
        <v>4105</v>
      </c>
      <c r="D1982" s="752" t="s">
        <v>3622</v>
      </c>
      <c r="E1982" s="754">
        <v>0</v>
      </c>
    </row>
    <row r="1983" spans="1:5" ht="15.9">
      <c r="A1983" s="754" t="s">
        <v>5857</v>
      </c>
      <c r="B1983" s="759" t="s">
        <v>5915</v>
      </c>
      <c r="C1983" s="759" t="s">
        <v>4106</v>
      </c>
      <c r="D1983" s="752" t="s">
        <v>3622</v>
      </c>
      <c r="E1983" s="754">
        <v>0</v>
      </c>
    </row>
    <row r="1984" spans="1:5" ht="15.9">
      <c r="A1984" s="754" t="s">
        <v>5857</v>
      </c>
      <c r="B1984" s="759" t="s">
        <v>5915</v>
      </c>
      <c r="C1984" s="759" t="s">
        <v>4107</v>
      </c>
      <c r="D1984" s="752" t="s">
        <v>3622</v>
      </c>
      <c r="E1984" s="754">
        <v>0</v>
      </c>
    </row>
    <row r="1985" spans="1:5" ht="15.9">
      <c r="A1985" s="754" t="s">
        <v>5857</v>
      </c>
      <c r="B1985" s="759" t="s">
        <v>5915</v>
      </c>
      <c r="C1985" s="759" t="s">
        <v>4108</v>
      </c>
      <c r="D1985" s="752" t="s">
        <v>3622</v>
      </c>
      <c r="E1985" s="754">
        <v>0</v>
      </c>
    </row>
    <row r="1986" spans="1:5" ht="15.9">
      <c r="A1986" s="754" t="s">
        <v>5857</v>
      </c>
      <c r="B1986" s="759" t="s">
        <v>5915</v>
      </c>
      <c r="C1986" s="759" t="s">
        <v>4109</v>
      </c>
      <c r="D1986" s="752" t="s">
        <v>3622</v>
      </c>
      <c r="E1986" s="754">
        <v>0</v>
      </c>
    </row>
    <row r="1987" spans="1:5" ht="15.9">
      <c r="A1987" s="754" t="s">
        <v>5857</v>
      </c>
      <c r="B1987" s="759" t="s">
        <v>5915</v>
      </c>
      <c r="C1987" s="759" t="s">
        <v>4110</v>
      </c>
      <c r="D1987" s="752" t="s">
        <v>3622</v>
      </c>
      <c r="E1987" s="754">
        <v>0</v>
      </c>
    </row>
    <row r="1988" spans="1:5" ht="15.9">
      <c r="A1988" s="754" t="s">
        <v>5857</v>
      </c>
      <c r="B1988" s="759" t="s">
        <v>5915</v>
      </c>
      <c r="C1988" s="759" t="s">
        <v>4111</v>
      </c>
      <c r="D1988" s="752" t="s">
        <v>3622</v>
      </c>
      <c r="E1988" s="754">
        <v>0</v>
      </c>
    </row>
    <row r="1989" spans="1:5" ht="15.9">
      <c r="A1989" s="754" t="s">
        <v>5857</v>
      </c>
      <c r="B1989" s="759" t="s">
        <v>5915</v>
      </c>
      <c r="C1989" s="759" t="s">
        <v>4112</v>
      </c>
      <c r="D1989" s="752" t="s">
        <v>3622</v>
      </c>
      <c r="E1989" s="754">
        <v>0</v>
      </c>
    </row>
    <row r="1990" spans="1:5" ht="15.9">
      <c r="A1990" s="754" t="s">
        <v>5857</v>
      </c>
      <c r="B1990" s="759" t="s">
        <v>5915</v>
      </c>
      <c r="C1990" s="759" t="s">
        <v>4113</v>
      </c>
      <c r="D1990" s="752" t="s">
        <v>3622</v>
      </c>
      <c r="E1990" s="754">
        <v>0</v>
      </c>
    </row>
    <row r="1991" spans="1:5" ht="15.9">
      <c r="A1991" s="754" t="s">
        <v>5857</v>
      </c>
      <c r="B1991" s="759" t="s">
        <v>5915</v>
      </c>
      <c r="C1991" s="759" t="s">
        <v>4114</v>
      </c>
      <c r="D1991" s="752" t="s">
        <v>3622</v>
      </c>
      <c r="E1991" s="754">
        <v>0</v>
      </c>
    </row>
    <row r="1992" spans="1:5" ht="15.9">
      <c r="A1992" s="754" t="s">
        <v>5857</v>
      </c>
      <c r="B1992" s="759" t="s">
        <v>5915</v>
      </c>
      <c r="C1992" s="759" t="s">
        <v>4115</v>
      </c>
      <c r="D1992" s="752" t="s">
        <v>3622</v>
      </c>
      <c r="E1992" s="754">
        <v>0</v>
      </c>
    </row>
    <row r="1993" spans="1:5" ht="15.9">
      <c r="A1993" s="754" t="s">
        <v>5857</v>
      </c>
      <c r="B1993" s="759" t="s">
        <v>5915</v>
      </c>
      <c r="C1993" s="759" t="s">
        <v>4116</v>
      </c>
      <c r="D1993" s="752" t="s">
        <v>3622</v>
      </c>
      <c r="E1993" s="754">
        <v>0</v>
      </c>
    </row>
    <row r="1994" spans="1:5" ht="15.9">
      <c r="A1994" s="754" t="s">
        <v>5857</v>
      </c>
      <c r="B1994" s="759" t="s">
        <v>5915</v>
      </c>
      <c r="C1994" s="759" t="s">
        <v>4117</v>
      </c>
      <c r="D1994" s="752" t="s">
        <v>3622</v>
      </c>
      <c r="E1994" s="754">
        <v>0</v>
      </c>
    </row>
    <row r="1995" spans="1:5" ht="15.9">
      <c r="A1995" s="754" t="s">
        <v>5857</v>
      </c>
      <c r="B1995" s="759" t="s">
        <v>5915</v>
      </c>
      <c r="C1995" s="759" t="s">
        <v>4118</v>
      </c>
      <c r="D1995" s="752" t="s">
        <v>3622</v>
      </c>
      <c r="E1995" s="754">
        <v>0</v>
      </c>
    </row>
    <row r="1996" spans="1:5" ht="15.9">
      <c r="A1996" s="754" t="s">
        <v>5857</v>
      </c>
      <c r="B1996" s="759" t="s">
        <v>5915</v>
      </c>
      <c r="C1996" s="759" t="s">
        <v>4119</v>
      </c>
      <c r="D1996" s="752" t="s">
        <v>3622</v>
      </c>
      <c r="E1996" s="754">
        <v>0</v>
      </c>
    </row>
    <row r="1997" spans="1:5" ht="15.9">
      <c r="A1997" s="754" t="s">
        <v>5857</v>
      </c>
      <c r="B1997" s="759" t="s">
        <v>5915</v>
      </c>
      <c r="C1997" s="759" t="s">
        <v>4120</v>
      </c>
      <c r="D1997" s="752" t="s">
        <v>3622</v>
      </c>
      <c r="E1997" s="754">
        <v>0</v>
      </c>
    </row>
    <row r="1998" spans="1:5" ht="15.9">
      <c r="A1998" s="754" t="s">
        <v>5857</v>
      </c>
      <c r="B1998" s="759" t="s">
        <v>5915</v>
      </c>
      <c r="C1998" s="759" t="s">
        <v>4121</v>
      </c>
      <c r="D1998" s="752" t="s">
        <v>3622</v>
      </c>
      <c r="E1998" s="754">
        <v>0</v>
      </c>
    </row>
    <row r="1999" spans="1:5" ht="15.9">
      <c r="A1999" s="754" t="s">
        <v>5857</v>
      </c>
      <c r="B1999" s="759" t="s">
        <v>5915</v>
      </c>
      <c r="C1999" s="759" t="s">
        <v>4122</v>
      </c>
      <c r="D1999" s="752" t="s">
        <v>3622</v>
      </c>
      <c r="E1999" s="754">
        <v>0</v>
      </c>
    </row>
    <row r="2000" spans="1:5" ht="15.9">
      <c r="A2000" s="754" t="s">
        <v>5857</v>
      </c>
      <c r="B2000" s="759" t="s">
        <v>5915</v>
      </c>
      <c r="C2000" s="759" t="s">
        <v>4123</v>
      </c>
      <c r="D2000" s="752" t="s">
        <v>3622</v>
      </c>
      <c r="E2000" s="754">
        <v>0</v>
      </c>
    </row>
    <row r="2001" spans="1:5" ht="15.9">
      <c r="A2001" s="754" t="s">
        <v>5857</v>
      </c>
      <c r="B2001" s="759" t="s">
        <v>5915</v>
      </c>
      <c r="C2001" s="759" t="s">
        <v>4124</v>
      </c>
      <c r="D2001" s="752" t="s">
        <v>3622</v>
      </c>
      <c r="E2001" s="754">
        <v>0</v>
      </c>
    </row>
    <row r="2002" spans="1:5" ht="15.9">
      <c r="A2002" s="754" t="s">
        <v>5857</v>
      </c>
      <c r="B2002" s="759" t="s">
        <v>5915</v>
      </c>
      <c r="C2002" s="759" t="s">
        <v>4125</v>
      </c>
      <c r="D2002" s="752" t="s">
        <v>3622</v>
      </c>
      <c r="E2002" s="754">
        <v>0</v>
      </c>
    </row>
    <row r="2003" spans="1:5" ht="15.9">
      <c r="A2003" s="754" t="s">
        <v>5857</v>
      </c>
      <c r="B2003" s="759" t="s">
        <v>5915</v>
      </c>
      <c r="C2003" s="759" t="s">
        <v>4126</v>
      </c>
      <c r="D2003" s="752" t="s">
        <v>3622</v>
      </c>
      <c r="E2003" s="754">
        <v>0</v>
      </c>
    </row>
    <row r="2004" spans="1:5" ht="15.9">
      <c r="A2004" s="754" t="s">
        <v>5857</v>
      </c>
      <c r="B2004" s="759" t="s">
        <v>5915</v>
      </c>
      <c r="C2004" s="759" t="s">
        <v>4127</v>
      </c>
      <c r="D2004" s="752" t="s">
        <v>3622</v>
      </c>
      <c r="E2004" s="754">
        <v>0</v>
      </c>
    </row>
    <row r="2005" spans="1:5" ht="15.9">
      <c r="A2005" s="754" t="s">
        <v>5857</v>
      </c>
      <c r="B2005" s="759" t="s">
        <v>5915</v>
      </c>
      <c r="C2005" s="759" t="s">
        <v>4128</v>
      </c>
      <c r="D2005" s="752" t="s">
        <v>3622</v>
      </c>
      <c r="E2005" s="754">
        <v>0</v>
      </c>
    </row>
    <row r="2006" spans="1:5" ht="15.9">
      <c r="A2006" s="754" t="s">
        <v>5857</v>
      </c>
      <c r="B2006" s="759" t="s">
        <v>5915</v>
      </c>
      <c r="C2006" s="759" t="s">
        <v>4129</v>
      </c>
      <c r="D2006" s="752" t="s">
        <v>3622</v>
      </c>
      <c r="E2006" s="754">
        <v>0</v>
      </c>
    </row>
    <row r="2007" spans="1:5" ht="15.9">
      <c r="A2007" s="754" t="s">
        <v>5857</v>
      </c>
      <c r="B2007" s="759" t="s">
        <v>5915</v>
      </c>
      <c r="C2007" s="759" t="s">
        <v>4130</v>
      </c>
      <c r="D2007" s="752" t="s">
        <v>3622</v>
      </c>
      <c r="E2007" s="754">
        <v>0</v>
      </c>
    </row>
    <row r="2008" spans="1:5" ht="15.9">
      <c r="A2008" s="754" t="s">
        <v>5857</v>
      </c>
      <c r="B2008" s="759" t="s">
        <v>5915</v>
      </c>
      <c r="C2008" s="759" t="s">
        <v>4131</v>
      </c>
      <c r="D2008" s="752" t="s">
        <v>3622</v>
      </c>
      <c r="E2008" s="754">
        <v>0</v>
      </c>
    </row>
    <row r="2009" spans="1:5" ht="15.9">
      <c r="A2009" s="754" t="s">
        <v>5857</v>
      </c>
      <c r="B2009" s="759" t="s">
        <v>5915</v>
      </c>
      <c r="C2009" s="759" t="s">
        <v>4132</v>
      </c>
      <c r="D2009" s="752" t="s">
        <v>3622</v>
      </c>
      <c r="E2009" s="754">
        <v>0</v>
      </c>
    </row>
    <row r="2010" spans="1:5" ht="15.9">
      <c r="A2010" s="754" t="s">
        <v>5857</v>
      </c>
      <c r="B2010" s="759" t="s">
        <v>5915</v>
      </c>
      <c r="C2010" s="759" t="s">
        <v>4133</v>
      </c>
      <c r="D2010" s="752" t="s">
        <v>3622</v>
      </c>
      <c r="E2010" s="754">
        <v>0</v>
      </c>
    </row>
    <row r="2011" spans="1:5" ht="15.9">
      <c r="A2011" s="754" t="s">
        <v>5857</v>
      </c>
      <c r="B2011" s="759" t="s">
        <v>5915</v>
      </c>
      <c r="C2011" s="759" t="s">
        <v>4134</v>
      </c>
      <c r="D2011" s="752" t="s">
        <v>3622</v>
      </c>
      <c r="E2011" s="754">
        <v>0</v>
      </c>
    </row>
    <row r="2012" spans="1:5" ht="15.9">
      <c r="A2012" s="754" t="s">
        <v>5857</v>
      </c>
      <c r="B2012" s="759" t="s">
        <v>5915</v>
      </c>
      <c r="C2012" s="759" t="s">
        <v>4135</v>
      </c>
      <c r="D2012" s="752" t="s">
        <v>3622</v>
      </c>
      <c r="E2012" s="754">
        <v>0</v>
      </c>
    </row>
    <row r="2013" spans="1:5" ht="15.9">
      <c r="A2013" s="754" t="s">
        <v>5857</v>
      </c>
      <c r="B2013" s="759" t="s">
        <v>5915</v>
      </c>
      <c r="C2013" s="759" t="s">
        <v>4136</v>
      </c>
      <c r="D2013" s="752" t="s">
        <v>3622</v>
      </c>
      <c r="E2013" s="754">
        <v>0</v>
      </c>
    </row>
    <row r="2014" spans="1:5" ht="15.9">
      <c r="A2014" s="754" t="s">
        <v>5857</v>
      </c>
      <c r="B2014" s="759" t="s">
        <v>5915</v>
      </c>
      <c r="C2014" s="759" t="s">
        <v>4137</v>
      </c>
      <c r="D2014" s="752" t="s">
        <v>3622</v>
      </c>
      <c r="E2014" s="754">
        <v>0</v>
      </c>
    </row>
    <row r="2015" spans="1:5" ht="15.9">
      <c r="A2015" s="754" t="s">
        <v>5857</v>
      </c>
      <c r="B2015" s="759" t="s">
        <v>5915</v>
      </c>
      <c r="C2015" s="759" t="s">
        <v>4138</v>
      </c>
      <c r="D2015" s="752" t="s">
        <v>3622</v>
      </c>
      <c r="E2015" s="754">
        <v>0</v>
      </c>
    </row>
    <row r="2016" spans="1:5" ht="15.9">
      <c r="A2016" s="754" t="s">
        <v>5857</v>
      </c>
      <c r="B2016" s="759" t="s">
        <v>5915</v>
      </c>
      <c r="C2016" s="759" t="s">
        <v>4139</v>
      </c>
      <c r="D2016" s="752" t="s">
        <v>3622</v>
      </c>
      <c r="E2016" s="754">
        <v>0</v>
      </c>
    </row>
    <row r="2017" spans="1:5" ht="15.9">
      <c r="A2017" s="754" t="s">
        <v>5857</v>
      </c>
      <c r="B2017" s="759" t="s">
        <v>5915</v>
      </c>
      <c r="C2017" s="759" t="s">
        <v>4140</v>
      </c>
      <c r="D2017" s="752" t="s">
        <v>3622</v>
      </c>
      <c r="E2017" s="754">
        <v>0</v>
      </c>
    </row>
    <row r="2018" spans="1:5" ht="15.9">
      <c r="A2018" s="754" t="s">
        <v>5857</v>
      </c>
      <c r="B2018" s="759" t="s">
        <v>5915</v>
      </c>
      <c r="C2018" s="759" t="s">
        <v>4141</v>
      </c>
      <c r="D2018" s="752" t="s">
        <v>3622</v>
      </c>
      <c r="E2018" s="754">
        <v>0</v>
      </c>
    </row>
    <row r="2019" spans="1:5" ht="15.9">
      <c r="A2019" s="754" t="s">
        <v>5857</v>
      </c>
      <c r="B2019" s="759" t="s">
        <v>5915</v>
      </c>
      <c r="C2019" s="759" t="s">
        <v>4142</v>
      </c>
      <c r="D2019" s="752" t="s">
        <v>3622</v>
      </c>
      <c r="E2019" s="754">
        <v>0</v>
      </c>
    </row>
    <row r="2020" spans="1:5" ht="15.9">
      <c r="A2020" s="754" t="s">
        <v>5857</v>
      </c>
      <c r="B2020" s="759" t="s">
        <v>5915</v>
      </c>
      <c r="C2020" s="759" t="s">
        <v>4143</v>
      </c>
      <c r="D2020" s="752" t="s">
        <v>3622</v>
      </c>
      <c r="E2020" s="754">
        <v>0</v>
      </c>
    </row>
    <row r="2021" spans="1:5" ht="15.9">
      <c r="A2021" s="754" t="s">
        <v>5857</v>
      </c>
      <c r="B2021" s="759" t="s">
        <v>5915</v>
      </c>
      <c r="C2021" s="759" t="s">
        <v>4144</v>
      </c>
      <c r="D2021" s="752" t="s">
        <v>3622</v>
      </c>
      <c r="E2021" s="754">
        <v>0</v>
      </c>
    </row>
    <row r="2022" spans="1:5" ht="15.9">
      <c r="A2022" s="754" t="s">
        <v>5857</v>
      </c>
      <c r="B2022" s="759" t="s">
        <v>5915</v>
      </c>
      <c r="C2022" s="759" t="s">
        <v>4145</v>
      </c>
      <c r="D2022" s="752" t="s">
        <v>3622</v>
      </c>
      <c r="E2022" s="754">
        <v>0</v>
      </c>
    </row>
    <row r="2023" spans="1:5" ht="15.9">
      <c r="A2023" s="754" t="s">
        <v>5857</v>
      </c>
      <c r="B2023" s="759" t="s">
        <v>5915</v>
      </c>
      <c r="C2023" s="759" t="s">
        <v>4146</v>
      </c>
      <c r="D2023" s="752" t="s">
        <v>3622</v>
      </c>
      <c r="E2023" s="754">
        <v>0</v>
      </c>
    </row>
    <row r="2024" spans="1:5" ht="15.9">
      <c r="A2024" s="754" t="s">
        <v>5857</v>
      </c>
      <c r="B2024" s="767" t="s">
        <v>5916</v>
      </c>
      <c r="C2024" s="767" t="s">
        <v>4147</v>
      </c>
      <c r="D2024" s="752" t="s">
        <v>3455</v>
      </c>
      <c r="E2024" s="754">
        <v>0</v>
      </c>
    </row>
    <row r="2025" spans="1:5" ht="15.9">
      <c r="A2025" s="754" t="s">
        <v>5857</v>
      </c>
      <c r="B2025" s="767" t="s">
        <v>5916</v>
      </c>
      <c r="C2025" s="767" t="s">
        <v>4148</v>
      </c>
      <c r="D2025" s="752" t="s">
        <v>3455</v>
      </c>
      <c r="E2025" s="754">
        <v>0</v>
      </c>
    </row>
    <row r="2026" spans="1:5" ht="15.9">
      <c r="A2026" s="754" t="s">
        <v>5857</v>
      </c>
      <c r="B2026" s="767" t="s">
        <v>5916</v>
      </c>
      <c r="C2026" s="767" t="s">
        <v>4149</v>
      </c>
      <c r="D2026" s="752" t="s">
        <v>3455</v>
      </c>
      <c r="E2026" s="754">
        <v>0</v>
      </c>
    </row>
    <row r="2027" spans="1:5" ht="15.9">
      <c r="A2027" s="754" t="s">
        <v>5857</v>
      </c>
      <c r="B2027" s="767" t="s">
        <v>5916</v>
      </c>
      <c r="C2027" s="767" t="s">
        <v>4150</v>
      </c>
      <c r="D2027" s="752" t="s">
        <v>3455</v>
      </c>
      <c r="E2027" s="754">
        <v>0</v>
      </c>
    </row>
    <row r="2028" spans="1:5" ht="15.9">
      <c r="A2028" s="754" t="s">
        <v>5857</v>
      </c>
      <c r="B2028" s="767" t="s">
        <v>5916</v>
      </c>
      <c r="C2028" s="767" t="s">
        <v>4151</v>
      </c>
      <c r="D2028" s="752" t="s">
        <v>3455</v>
      </c>
      <c r="E2028" s="754">
        <v>0</v>
      </c>
    </row>
    <row r="2029" spans="1:5" ht="15.9">
      <c r="A2029" s="754" t="s">
        <v>5857</v>
      </c>
      <c r="B2029" s="767" t="s">
        <v>5916</v>
      </c>
      <c r="C2029" s="767" t="s">
        <v>4152</v>
      </c>
      <c r="D2029" s="752" t="s">
        <v>3455</v>
      </c>
      <c r="E2029" s="754">
        <v>0</v>
      </c>
    </row>
    <row r="2030" spans="1:5" ht="15.9">
      <c r="A2030" s="754" t="s">
        <v>5857</v>
      </c>
      <c r="B2030" s="767" t="s">
        <v>5916</v>
      </c>
      <c r="C2030" s="767" t="s">
        <v>4153</v>
      </c>
      <c r="D2030" s="752" t="s">
        <v>3455</v>
      </c>
      <c r="E2030" s="754">
        <v>0</v>
      </c>
    </row>
    <row r="2031" spans="1:5" ht="15.9">
      <c r="A2031" s="754" t="s">
        <v>5857</v>
      </c>
      <c r="B2031" s="767" t="s">
        <v>5916</v>
      </c>
      <c r="C2031" s="767" t="s">
        <v>4154</v>
      </c>
      <c r="D2031" s="752" t="s">
        <v>3455</v>
      </c>
      <c r="E2031" s="754">
        <v>0</v>
      </c>
    </row>
    <row r="2032" spans="1:5" ht="15.9">
      <c r="A2032" s="754" t="s">
        <v>5857</v>
      </c>
      <c r="B2032" s="767" t="s">
        <v>5916</v>
      </c>
      <c r="C2032" s="767" t="s">
        <v>4155</v>
      </c>
      <c r="D2032" s="752" t="s">
        <v>3455</v>
      </c>
      <c r="E2032" s="754">
        <v>0</v>
      </c>
    </row>
    <row r="2033" spans="1:5" ht="15.9">
      <c r="A2033" s="754" t="s">
        <v>5857</v>
      </c>
      <c r="B2033" s="767" t="s">
        <v>5916</v>
      </c>
      <c r="C2033" s="767" t="s">
        <v>4156</v>
      </c>
      <c r="D2033" s="752" t="s">
        <v>3455</v>
      </c>
      <c r="E2033" s="754">
        <v>0</v>
      </c>
    </row>
    <row r="2034" spans="1:5" ht="15.9">
      <c r="A2034" s="754" t="s">
        <v>5857</v>
      </c>
      <c r="B2034" s="767" t="s">
        <v>5916</v>
      </c>
      <c r="C2034" s="767" t="s">
        <v>4157</v>
      </c>
      <c r="D2034" s="752" t="s">
        <v>3455</v>
      </c>
      <c r="E2034" s="754">
        <v>0</v>
      </c>
    </row>
    <row r="2035" spans="1:5" ht="15.9">
      <c r="A2035" s="754" t="s">
        <v>5857</v>
      </c>
      <c r="B2035" s="767" t="s">
        <v>5916</v>
      </c>
      <c r="C2035" s="767" t="s">
        <v>4158</v>
      </c>
      <c r="D2035" s="752" t="s">
        <v>3455</v>
      </c>
      <c r="E2035" s="754">
        <v>0</v>
      </c>
    </row>
    <row r="2036" spans="1:5" ht="15.9">
      <c r="A2036" s="754" t="s">
        <v>5857</v>
      </c>
      <c r="B2036" s="767" t="s">
        <v>5916</v>
      </c>
      <c r="C2036" s="767" t="s">
        <v>4159</v>
      </c>
      <c r="D2036" s="752" t="s">
        <v>3455</v>
      </c>
      <c r="E2036" s="754">
        <v>0</v>
      </c>
    </row>
    <row r="2037" spans="1:5" ht="15.9">
      <c r="A2037" s="754" t="s">
        <v>5857</v>
      </c>
      <c r="B2037" s="767" t="s">
        <v>5916</v>
      </c>
      <c r="C2037" s="767" t="s">
        <v>4160</v>
      </c>
      <c r="D2037" s="752" t="s">
        <v>3455</v>
      </c>
      <c r="E2037" s="754">
        <v>0</v>
      </c>
    </row>
    <row r="2038" spans="1:5" ht="15.9">
      <c r="A2038" s="754" t="s">
        <v>5857</v>
      </c>
      <c r="B2038" s="767" t="s">
        <v>5916</v>
      </c>
      <c r="C2038" s="767" t="s">
        <v>4161</v>
      </c>
      <c r="D2038" s="752" t="s">
        <v>3455</v>
      </c>
      <c r="E2038" s="754">
        <v>0</v>
      </c>
    </row>
    <row r="2039" spans="1:5" ht="15.9">
      <c r="A2039" s="754" t="s">
        <v>5857</v>
      </c>
      <c r="B2039" s="767" t="s">
        <v>5916</v>
      </c>
      <c r="C2039" s="767" t="s">
        <v>4162</v>
      </c>
      <c r="D2039" s="752" t="s">
        <v>3455</v>
      </c>
      <c r="E2039" s="754">
        <v>0</v>
      </c>
    </row>
    <row r="2040" spans="1:5" ht="15.9">
      <c r="A2040" s="754" t="s">
        <v>5857</v>
      </c>
      <c r="B2040" s="767" t="s">
        <v>5916</v>
      </c>
      <c r="C2040" s="767" t="s">
        <v>4163</v>
      </c>
      <c r="D2040" s="752" t="s">
        <v>3455</v>
      </c>
      <c r="E2040" s="754">
        <v>0</v>
      </c>
    </row>
    <row r="2041" spans="1:5" ht="15.9">
      <c r="A2041" s="754" t="s">
        <v>5857</v>
      </c>
      <c r="B2041" s="767" t="s">
        <v>5916</v>
      </c>
      <c r="C2041" s="767" t="s">
        <v>4164</v>
      </c>
      <c r="D2041" s="752" t="s">
        <v>3455</v>
      </c>
      <c r="E2041" s="754">
        <v>0</v>
      </c>
    </row>
    <row r="2042" spans="1:5" ht="15.9">
      <c r="A2042" s="754" t="s">
        <v>5857</v>
      </c>
      <c r="B2042" s="767" t="s">
        <v>5916</v>
      </c>
      <c r="C2042" s="767" t="s">
        <v>4165</v>
      </c>
      <c r="D2042" s="752" t="s">
        <v>3455</v>
      </c>
      <c r="E2042" s="754">
        <v>0</v>
      </c>
    </row>
    <row r="2043" spans="1:5" ht="15.9">
      <c r="A2043" s="754" t="s">
        <v>5857</v>
      </c>
      <c r="B2043" s="767" t="s">
        <v>5916</v>
      </c>
      <c r="C2043" s="767" t="s">
        <v>4166</v>
      </c>
      <c r="D2043" s="752" t="s">
        <v>3455</v>
      </c>
      <c r="E2043" s="754">
        <v>0</v>
      </c>
    </row>
    <row r="2044" spans="1:5" ht="15.9">
      <c r="A2044" s="754" t="s">
        <v>5857</v>
      </c>
      <c r="B2044" s="767" t="s">
        <v>5916</v>
      </c>
      <c r="C2044" s="767" t="s">
        <v>4167</v>
      </c>
      <c r="D2044" s="752" t="s">
        <v>3455</v>
      </c>
      <c r="E2044" s="754">
        <v>0</v>
      </c>
    </row>
    <row r="2045" spans="1:5" ht="15.9">
      <c r="A2045" s="754" t="s">
        <v>5857</v>
      </c>
      <c r="B2045" s="767" t="s">
        <v>5916</v>
      </c>
      <c r="C2045" s="767" t="s">
        <v>4168</v>
      </c>
      <c r="D2045" s="752" t="s">
        <v>3455</v>
      </c>
      <c r="E2045" s="754">
        <v>0</v>
      </c>
    </row>
    <row r="2046" spans="1:5" ht="15.9">
      <c r="A2046" s="754" t="s">
        <v>5857</v>
      </c>
      <c r="B2046" s="767" t="s">
        <v>5916</v>
      </c>
      <c r="C2046" s="767" t="s">
        <v>4169</v>
      </c>
      <c r="D2046" s="752" t="s">
        <v>3455</v>
      </c>
      <c r="E2046" s="754">
        <v>0</v>
      </c>
    </row>
    <row r="2047" spans="1:5" ht="15.9">
      <c r="A2047" s="754" t="s">
        <v>5857</v>
      </c>
      <c r="B2047" s="767" t="s">
        <v>5916</v>
      </c>
      <c r="C2047" s="767" t="s">
        <v>4170</v>
      </c>
      <c r="D2047" s="752" t="s">
        <v>3455</v>
      </c>
      <c r="E2047" s="754">
        <v>0</v>
      </c>
    </row>
    <row r="2048" spans="1:5" ht="15.9">
      <c r="A2048" s="754" t="s">
        <v>5857</v>
      </c>
      <c r="B2048" s="767" t="s">
        <v>5916</v>
      </c>
      <c r="C2048" s="767" t="s">
        <v>4171</v>
      </c>
      <c r="D2048" s="752" t="s">
        <v>3455</v>
      </c>
      <c r="E2048" s="754">
        <v>0</v>
      </c>
    </row>
    <row r="2049" spans="1:5" ht="15.9">
      <c r="A2049" s="754" t="s">
        <v>5857</v>
      </c>
      <c r="B2049" s="767" t="s">
        <v>5916</v>
      </c>
      <c r="C2049" s="767" t="s">
        <v>4172</v>
      </c>
      <c r="D2049" s="752" t="s">
        <v>3455</v>
      </c>
      <c r="E2049" s="754">
        <v>0</v>
      </c>
    </row>
    <row r="2050" spans="1:5" ht="15.9">
      <c r="A2050" s="754" t="s">
        <v>5857</v>
      </c>
      <c r="B2050" s="767" t="s">
        <v>5916</v>
      </c>
      <c r="C2050" s="767" t="s">
        <v>4173</v>
      </c>
      <c r="D2050" s="752" t="s">
        <v>3455</v>
      </c>
      <c r="E2050" s="754">
        <v>0</v>
      </c>
    </row>
    <row r="2051" spans="1:5" ht="15.9">
      <c r="A2051" s="754" t="s">
        <v>5857</v>
      </c>
      <c r="B2051" s="767" t="s">
        <v>5916</v>
      </c>
      <c r="C2051" s="767" t="s">
        <v>4174</v>
      </c>
      <c r="D2051" s="752" t="s">
        <v>3455</v>
      </c>
      <c r="E2051" s="754">
        <v>0</v>
      </c>
    </row>
    <row r="2052" spans="1:5" ht="15.9">
      <c r="A2052" s="754" t="s">
        <v>5857</v>
      </c>
      <c r="B2052" s="767" t="s">
        <v>5916</v>
      </c>
      <c r="C2052" s="767" t="s">
        <v>4175</v>
      </c>
      <c r="D2052" s="752" t="s">
        <v>3455</v>
      </c>
      <c r="E2052" s="754">
        <v>0</v>
      </c>
    </row>
    <row r="2053" spans="1:5" ht="15.9">
      <c r="A2053" s="754" t="s">
        <v>5857</v>
      </c>
      <c r="B2053" s="767" t="s">
        <v>5916</v>
      </c>
      <c r="C2053" s="767" t="s">
        <v>4176</v>
      </c>
      <c r="D2053" s="752" t="s">
        <v>3455</v>
      </c>
      <c r="E2053" s="754">
        <v>0</v>
      </c>
    </row>
    <row r="2054" spans="1:5" ht="15.9">
      <c r="A2054" s="754" t="s">
        <v>5857</v>
      </c>
      <c r="B2054" s="767" t="s">
        <v>5916</v>
      </c>
      <c r="C2054" s="767" t="s">
        <v>4177</v>
      </c>
      <c r="D2054" s="752" t="s">
        <v>3455</v>
      </c>
      <c r="E2054" s="754">
        <v>0</v>
      </c>
    </row>
    <row r="2055" spans="1:5" ht="15.9">
      <c r="A2055" s="754" t="s">
        <v>5857</v>
      </c>
      <c r="B2055" s="767" t="s">
        <v>5916</v>
      </c>
      <c r="C2055" s="767" t="s">
        <v>4178</v>
      </c>
      <c r="D2055" s="752" t="s">
        <v>3455</v>
      </c>
      <c r="E2055" s="754">
        <v>0</v>
      </c>
    </row>
    <row r="2056" spans="1:5" ht="15.9">
      <c r="A2056" s="754" t="s">
        <v>5857</v>
      </c>
      <c r="B2056" s="767" t="s">
        <v>5916</v>
      </c>
      <c r="C2056" s="767" t="s">
        <v>4179</v>
      </c>
      <c r="D2056" s="752" t="s">
        <v>3455</v>
      </c>
      <c r="E2056" s="754">
        <v>0</v>
      </c>
    </row>
    <row r="2057" spans="1:5" ht="15.9">
      <c r="A2057" s="754" t="s">
        <v>5857</v>
      </c>
      <c r="B2057" s="767" t="s">
        <v>5916</v>
      </c>
      <c r="C2057" s="767" t="s">
        <v>4180</v>
      </c>
      <c r="D2057" s="752" t="s">
        <v>3455</v>
      </c>
      <c r="E2057" s="754">
        <v>0</v>
      </c>
    </row>
    <row r="2058" spans="1:5" ht="15.9">
      <c r="A2058" s="754" t="s">
        <v>5857</v>
      </c>
      <c r="B2058" s="767" t="s">
        <v>5916</v>
      </c>
      <c r="C2058" s="767" t="s">
        <v>4181</v>
      </c>
      <c r="D2058" s="752" t="s">
        <v>3455</v>
      </c>
      <c r="E2058" s="754">
        <v>0</v>
      </c>
    </row>
    <row r="2059" spans="1:5" ht="15.9">
      <c r="A2059" s="754" t="s">
        <v>5857</v>
      </c>
      <c r="B2059" s="767" t="s">
        <v>5916</v>
      </c>
      <c r="C2059" s="767" t="s">
        <v>4182</v>
      </c>
      <c r="D2059" s="752" t="s">
        <v>3455</v>
      </c>
      <c r="E2059" s="754">
        <v>0</v>
      </c>
    </row>
    <row r="2060" spans="1:5" ht="15.9">
      <c r="A2060" s="754" t="s">
        <v>5857</v>
      </c>
      <c r="B2060" s="767" t="s">
        <v>5916</v>
      </c>
      <c r="C2060" s="767" t="s">
        <v>4183</v>
      </c>
      <c r="D2060" s="752" t="s">
        <v>3455</v>
      </c>
      <c r="E2060" s="754">
        <v>0</v>
      </c>
    </row>
    <row r="2061" spans="1:5" ht="15.9">
      <c r="A2061" s="754" t="s">
        <v>5857</v>
      </c>
      <c r="B2061" s="767" t="s">
        <v>5916</v>
      </c>
      <c r="C2061" s="767" t="s">
        <v>4184</v>
      </c>
      <c r="D2061" s="752" t="s">
        <v>3455</v>
      </c>
      <c r="E2061" s="754">
        <v>0</v>
      </c>
    </row>
    <row r="2062" spans="1:5" ht="15.9">
      <c r="A2062" s="754" t="s">
        <v>5857</v>
      </c>
      <c r="B2062" s="767" t="s">
        <v>5916</v>
      </c>
      <c r="C2062" s="767" t="s">
        <v>4185</v>
      </c>
      <c r="D2062" s="752" t="s">
        <v>3455</v>
      </c>
      <c r="E2062" s="754">
        <v>0</v>
      </c>
    </row>
    <row r="2063" spans="1:5" ht="15.9">
      <c r="A2063" s="754" t="s">
        <v>5857</v>
      </c>
      <c r="B2063" s="767" t="s">
        <v>5916</v>
      </c>
      <c r="C2063" s="767" t="s">
        <v>4186</v>
      </c>
      <c r="D2063" s="752" t="s">
        <v>3455</v>
      </c>
      <c r="E2063" s="754">
        <v>0</v>
      </c>
    </row>
    <row r="2064" spans="1:5" ht="15.9">
      <c r="A2064" s="754" t="s">
        <v>5857</v>
      </c>
      <c r="B2064" s="767" t="s">
        <v>5916</v>
      </c>
      <c r="C2064" s="767" t="s">
        <v>4187</v>
      </c>
      <c r="D2064" s="752" t="s">
        <v>3455</v>
      </c>
      <c r="E2064" s="754">
        <v>0</v>
      </c>
    </row>
    <row r="2065" spans="1:5" ht="15.9">
      <c r="A2065" s="754" t="s">
        <v>5857</v>
      </c>
      <c r="B2065" s="767" t="s">
        <v>5916</v>
      </c>
      <c r="C2065" s="767" t="s">
        <v>4188</v>
      </c>
      <c r="D2065" s="752" t="s">
        <v>3455</v>
      </c>
      <c r="E2065" s="754">
        <v>0</v>
      </c>
    </row>
    <row r="2066" spans="1:5" ht="15.9">
      <c r="A2066" s="754" t="s">
        <v>5857</v>
      </c>
      <c r="B2066" s="767" t="s">
        <v>5916</v>
      </c>
      <c r="C2066" s="767" t="s">
        <v>4189</v>
      </c>
      <c r="D2066" s="752" t="s">
        <v>3455</v>
      </c>
      <c r="E2066" s="754">
        <v>0</v>
      </c>
    </row>
    <row r="2067" spans="1:5" ht="15.9">
      <c r="A2067" s="754" t="s">
        <v>5857</v>
      </c>
      <c r="B2067" s="767" t="s">
        <v>5916</v>
      </c>
      <c r="C2067" s="767" t="s">
        <v>4190</v>
      </c>
      <c r="D2067" s="752" t="s">
        <v>3455</v>
      </c>
      <c r="E2067" s="754">
        <v>0</v>
      </c>
    </row>
    <row r="2068" spans="1:5" ht="15.9">
      <c r="A2068" s="754" t="s">
        <v>5857</v>
      </c>
      <c r="B2068" s="767" t="s">
        <v>5916</v>
      </c>
      <c r="C2068" s="767" t="s">
        <v>4191</v>
      </c>
      <c r="D2068" s="752" t="s">
        <v>3455</v>
      </c>
      <c r="E2068" s="754">
        <v>0</v>
      </c>
    </row>
    <row r="2069" spans="1:5" ht="15.9">
      <c r="A2069" s="754" t="s">
        <v>5857</v>
      </c>
      <c r="B2069" s="767" t="s">
        <v>5916</v>
      </c>
      <c r="C2069" s="767" t="s">
        <v>4192</v>
      </c>
      <c r="D2069" s="752" t="s">
        <v>3455</v>
      </c>
      <c r="E2069" s="754">
        <v>0</v>
      </c>
    </row>
    <row r="2070" spans="1:5" ht="15.9">
      <c r="A2070" s="754" t="s">
        <v>5857</v>
      </c>
      <c r="B2070" s="767" t="s">
        <v>5916</v>
      </c>
      <c r="C2070" s="767" t="s">
        <v>4193</v>
      </c>
      <c r="D2070" s="752" t="s">
        <v>3455</v>
      </c>
      <c r="E2070" s="754">
        <v>0</v>
      </c>
    </row>
    <row r="2071" spans="1:5" ht="15.9">
      <c r="A2071" s="754" t="s">
        <v>5857</v>
      </c>
      <c r="B2071" s="767" t="s">
        <v>5916</v>
      </c>
      <c r="C2071" s="767" t="s">
        <v>4194</v>
      </c>
      <c r="D2071" s="752" t="s">
        <v>3455</v>
      </c>
      <c r="E2071" s="754">
        <v>0</v>
      </c>
    </row>
    <row r="2072" spans="1:5" ht="15.9">
      <c r="A2072" s="754" t="s">
        <v>5857</v>
      </c>
      <c r="B2072" s="767" t="s">
        <v>5916</v>
      </c>
      <c r="C2072" s="767" t="s">
        <v>4195</v>
      </c>
      <c r="D2072" s="752" t="s">
        <v>3455</v>
      </c>
      <c r="E2072" s="754">
        <v>0</v>
      </c>
    </row>
    <row r="2073" spans="1:5" ht="15.9">
      <c r="A2073" s="754" t="s">
        <v>5857</v>
      </c>
      <c r="B2073" s="767" t="s">
        <v>5916</v>
      </c>
      <c r="C2073" s="767" t="s">
        <v>4196</v>
      </c>
      <c r="D2073" s="752" t="s">
        <v>3455</v>
      </c>
      <c r="E2073" s="754">
        <v>0</v>
      </c>
    </row>
    <row r="2074" spans="1:5" ht="15.9">
      <c r="A2074" s="754" t="s">
        <v>5857</v>
      </c>
      <c r="B2074" s="767" t="s">
        <v>5916</v>
      </c>
      <c r="C2074" s="767" t="s">
        <v>4197</v>
      </c>
      <c r="D2074" s="752" t="s">
        <v>3455</v>
      </c>
      <c r="E2074" s="754">
        <v>0</v>
      </c>
    </row>
    <row r="2075" spans="1:5" ht="15.9">
      <c r="A2075" s="754" t="s">
        <v>5857</v>
      </c>
      <c r="B2075" s="767" t="s">
        <v>5916</v>
      </c>
      <c r="C2075" s="767" t="s">
        <v>4198</v>
      </c>
      <c r="D2075" s="752" t="s">
        <v>3455</v>
      </c>
      <c r="E2075" s="754">
        <v>0</v>
      </c>
    </row>
    <row r="2076" spans="1:5" ht="15.9">
      <c r="A2076" s="754" t="s">
        <v>5857</v>
      </c>
      <c r="B2076" s="767" t="s">
        <v>5916</v>
      </c>
      <c r="C2076" s="767" t="s">
        <v>4199</v>
      </c>
      <c r="D2076" s="752" t="s">
        <v>3455</v>
      </c>
      <c r="E2076" s="754">
        <v>0</v>
      </c>
    </row>
    <row r="2077" spans="1:5" ht="15.9">
      <c r="A2077" s="754" t="s">
        <v>5857</v>
      </c>
      <c r="B2077" s="767" t="s">
        <v>5916</v>
      </c>
      <c r="C2077" s="767" t="s">
        <v>4200</v>
      </c>
      <c r="D2077" s="752" t="s">
        <v>3455</v>
      </c>
      <c r="E2077" s="754">
        <v>0</v>
      </c>
    </row>
    <row r="2078" spans="1:5" ht="15.9">
      <c r="A2078" s="754" t="s">
        <v>5857</v>
      </c>
      <c r="B2078" s="767" t="s">
        <v>5916</v>
      </c>
      <c r="C2078" s="767" t="s">
        <v>4201</v>
      </c>
      <c r="D2078" s="752" t="s">
        <v>3455</v>
      </c>
      <c r="E2078" s="754">
        <v>0</v>
      </c>
    </row>
    <row r="2079" spans="1:5" ht="15.9">
      <c r="A2079" s="754" t="s">
        <v>5857</v>
      </c>
      <c r="B2079" s="767" t="s">
        <v>5916</v>
      </c>
      <c r="C2079" s="767" t="s">
        <v>4202</v>
      </c>
      <c r="D2079" s="752" t="s">
        <v>3455</v>
      </c>
      <c r="E2079" s="754">
        <v>0</v>
      </c>
    </row>
    <row r="2080" spans="1:5" ht="15.9">
      <c r="A2080" s="754" t="s">
        <v>5857</v>
      </c>
      <c r="B2080" s="767" t="s">
        <v>5916</v>
      </c>
      <c r="C2080" s="767" t="s">
        <v>4203</v>
      </c>
      <c r="D2080" s="752" t="s">
        <v>3455</v>
      </c>
      <c r="E2080" s="754">
        <v>0</v>
      </c>
    </row>
    <row r="2081" spans="1:5" ht="15.9">
      <c r="A2081" s="754" t="s">
        <v>5857</v>
      </c>
      <c r="B2081" s="767" t="s">
        <v>5916</v>
      </c>
      <c r="C2081" s="767" t="s">
        <v>4204</v>
      </c>
      <c r="D2081" s="752" t="s">
        <v>3455</v>
      </c>
      <c r="E2081" s="754">
        <v>0</v>
      </c>
    </row>
    <row r="2082" spans="1:5" ht="15.9">
      <c r="A2082" s="754" t="s">
        <v>5857</v>
      </c>
      <c r="B2082" s="767" t="s">
        <v>5916</v>
      </c>
      <c r="C2082" s="767" t="s">
        <v>4205</v>
      </c>
      <c r="D2082" s="752" t="s">
        <v>3455</v>
      </c>
      <c r="E2082" s="754">
        <v>0</v>
      </c>
    </row>
    <row r="2083" spans="1:5" ht="15.9">
      <c r="A2083" s="754" t="s">
        <v>5857</v>
      </c>
      <c r="B2083" s="767" t="s">
        <v>5916</v>
      </c>
      <c r="C2083" s="767" t="s">
        <v>4206</v>
      </c>
      <c r="D2083" s="752" t="s">
        <v>3455</v>
      </c>
      <c r="E2083" s="754">
        <v>0</v>
      </c>
    </row>
    <row r="2084" spans="1:5" ht="15.9">
      <c r="A2084" s="754" t="s">
        <v>5857</v>
      </c>
      <c r="B2084" s="767" t="s">
        <v>5916</v>
      </c>
      <c r="C2084" s="767" t="s">
        <v>4207</v>
      </c>
      <c r="D2084" s="752" t="s">
        <v>3455</v>
      </c>
      <c r="E2084" s="754">
        <v>0</v>
      </c>
    </row>
    <row r="2085" spans="1:5" ht="15.9">
      <c r="A2085" s="754" t="s">
        <v>5857</v>
      </c>
      <c r="B2085" s="767" t="s">
        <v>5916</v>
      </c>
      <c r="C2085" s="767" t="s">
        <v>4208</v>
      </c>
      <c r="D2085" s="752" t="s">
        <v>3455</v>
      </c>
      <c r="E2085" s="754">
        <v>0</v>
      </c>
    </row>
    <row r="2086" spans="1:5" ht="15.9">
      <c r="A2086" s="754" t="s">
        <v>5857</v>
      </c>
      <c r="B2086" s="767" t="s">
        <v>5916</v>
      </c>
      <c r="C2086" s="767" t="s">
        <v>4209</v>
      </c>
      <c r="D2086" s="752" t="s">
        <v>3455</v>
      </c>
      <c r="E2086" s="754">
        <v>0</v>
      </c>
    </row>
    <row r="2087" spans="1:5" ht="15.9">
      <c r="A2087" s="754" t="s">
        <v>5857</v>
      </c>
      <c r="B2087" s="767" t="s">
        <v>5916</v>
      </c>
      <c r="C2087" s="767" t="s">
        <v>4210</v>
      </c>
      <c r="D2087" s="752" t="s">
        <v>3455</v>
      </c>
      <c r="E2087" s="754">
        <v>0</v>
      </c>
    </row>
    <row r="2088" spans="1:5" ht="15.9">
      <c r="A2088" s="754" t="s">
        <v>5857</v>
      </c>
      <c r="B2088" s="767" t="s">
        <v>5916</v>
      </c>
      <c r="C2088" s="767" t="s">
        <v>4211</v>
      </c>
      <c r="D2088" s="752" t="s">
        <v>3455</v>
      </c>
      <c r="E2088" s="754">
        <v>0</v>
      </c>
    </row>
    <row r="2089" spans="1:5" ht="15.9">
      <c r="A2089" s="754" t="s">
        <v>5857</v>
      </c>
      <c r="B2089" s="767" t="s">
        <v>5916</v>
      </c>
      <c r="C2089" s="767" t="s">
        <v>4212</v>
      </c>
      <c r="D2089" s="752" t="s">
        <v>3455</v>
      </c>
      <c r="E2089" s="754">
        <v>0</v>
      </c>
    </row>
    <row r="2090" spans="1:5" ht="15.9">
      <c r="A2090" s="754" t="s">
        <v>5857</v>
      </c>
      <c r="B2090" s="767" t="s">
        <v>5916</v>
      </c>
      <c r="C2090" s="767" t="s">
        <v>4213</v>
      </c>
      <c r="D2090" s="752" t="s">
        <v>3455</v>
      </c>
      <c r="E2090" s="754">
        <v>0</v>
      </c>
    </row>
    <row r="2091" spans="1:5" ht="15.9">
      <c r="A2091" s="754" t="s">
        <v>5857</v>
      </c>
      <c r="B2091" s="767" t="s">
        <v>5916</v>
      </c>
      <c r="C2091" s="767" t="s">
        <v>4214</v>
      </c>
      <c r="D2091" s="752" t="s">
        <v>3455</v>
      </c>
      <c r="E2091" s="754">
        <v>0</v>
      </c>
    </row>
    <row r="2092" spans="1:5" ht="15.9">
      <c r="A2092" s="754" t="s">
        <v>5857</v>
      </c>
      <c r="B2092" s="767" t="s">
        <v>5916</v>
      </c>
      <c r="C2092" s="767" t="s">
        <v>4215</v>
      </c>
      <c r="D2092" s="752" t="s">
        <v>3455</v>
      </c>
      <c r="E2092" s="754">
        <v>0</v>
      </c>
    </row>
    <row r="2093" spans="1:5" ht="15.9">
      <c r="A2093" s="754" t="s">
        <v>5857</v>
      </c>
      <c r="B2093" s="767" t="s">
        <v>5916</v>
      </c>
      <c r="C2093" s="767" t="s">
        <v>4216</v>
      </c>
      <c r="D2093" s="752" t="s">
        <v>3455</v>
      </c>
      <c r="E2093" s="754">
        <v>0</v>
      </c>
    </row>
    <row r="2094" spans="1:5" ht="15.9">
      <c r="A2094" s="754" t="s">
        <v>5857</v>
      </c>
      <c r="B2094" s="767" t="s">
        <v>5916</v>
      </c>
      <c r="C2094" s="767" t="s">
        <v>4217</v>
      </c>
      <c r="D2094" s="752" t="s">
        <v>3455</v>
      </c>
      <c r="E2094" s="754">
        <v>0</v>
      </c>
    </row>
    <row r="2095" spans="1:5" ht="15.9">
      <c r="A2095" s="754" t="s">
        <v>5857</v>
      </c>
      <c r="B2095" s="767" t="s">
        <v>5916</v>
      </c>
      <c r="C2095" s="767" t="s">
        <v>4218</v>
      </c>
      <c r="D2095" s="752" t="s">
        <v>3455</v>
      </c>
      <c r="E2095" s="754">
        <v>0</v>
      </c>
    </row>
    <row r="2096" spans="1:5" ht="15.9">
      <c r="A2096" s="754" t="s">
        <v>5857</v>
      </c>
      <c r="B2096" s="767" t="s">
        <v>5916</v>
      </c>
      <c r="C2096" s="767" t="s">
        <v>4219</v>
      </c>
      <c r="D2096" s="752" t="s">
        <v>3455</v>
      </c>
      <c r="E2096" s="754">
        <v>0</v>
      </c>
    </row>
    <row r="2097" spans="1:5" ht="15.9">
      <c r="A2097" s="754" t="s">
        <v>5857</v>
      </c>
      <c r="B2097" s="767" t="s">
        <v>5916</v>
      </c>
      <c r="C2097" s="767" t="s">
        <v>4220</v>
      </c>
      <c r="D2097" s="752" t="s">
        <v>3455</v>
      </c>
      <c r="E2097" s="754">
        <v>0</v>
      </c>
    </row>
    <row r="2098" spans="1:5" ht="15.9">
      <c r="A2098" s="754" t="s">
        <v>5857</v>
      </c>
      <c r="B2098" s="767" t="s">
        <v>5916</v>
      </c>
      <c r="C2098" s="767" t="s">
        <v>4221</v>
      </c>
      <c r="D2098" s="752" t="s">
        <v>3455</v>
      </c>
      <c r="E2098" s="754">
        <v>0</v>
      </c>
    </row>
    <row r="2099" spans="1:5" ht="15.9">
      <c r="A2099" s="754" t="s">
        <v>5857</v>
      </c>
      <c r="B2099" s="767" t="s">
        <v>5916</v>
      </c>
      <c r="C2099" s="767" t="s">
        <v>4222</v>
      </c>
      <c r="D2099" s="752" t="s">
        <v>3455</v>
      </c>
      <c r="E2099" s="754">
        <v>0</v>
      </c>
    </row>
    <row r="2100" spans="1:5" ht="15.9">
      <c r="A2100" s="754" t="s">
        <v>5857</v>
      </c>
      <c r="B2100" s="767" t="s">
        <v>5916</v>
      </c>
      <c r="C2100" s="767" t="s">
        <v>4223</v>
      </c>
      <c r="D2100" s="752" t="s">
        <v>3455</v>
      </c>
      <c r="E2100" s="754">
        <v>0</v>
      </c>
    </row>
    <row r="2101" spans="1:5" ht="15.9">
      <c r="A2101" s="754" t="s">
        <v>5857</v>
      </c>
      <c r="B2101" s="767" t="s">
        <v>5916</v>
      </c>
      <c r="C2101" s="767" t="s">
        <v>4224</v>
      </c>
      <c r="D2101" s="752" t="s">
        <v>3455</v>
      </c>
      <c r="E2101" s="754">
        <v>0</v>
      </c>
    </row>
    <row r="2102" spans="1:5" ht="15.9">
      <c r="A2102" s="754" t="s">
        <v>5857</v>
      </c>
      <c r="B2102" s="767" t="s">
        <v>5916</v>
      </c>
      <c r="C2102" s="767" t="s">
        <v>4225</v>
      </c>
      <c r="D2102" s="752" t="s">
        <v>3455</v>
      </c>
      <c r="E2102" s="754">
        <v>0</v>
      </c>
    </row>
    <row r="2103" spans="1:5" ht="15.9">
      <c r="A2103" s="754" t="s">
        <v>5857</v>
      </c>
      <c r="B2103" s="767" t="s">
        <v>5916</v>
      </c>
      <c r="C2103" s="767" t="s">
        <v>4226</v>
      </c>
      <c r="D2103" s="752" t="s">
        <v>3455</v>
      </c>
      <c r="E2103" s="754">
        <v>0</v>
      </c>
    </row>
    <row r="2104" spans="1:5" ht="15.9">
      <c r="A2104" s="754" t="s">
        <v>5857</v>
      </c>
      <c r="B2104" s="767" t="s">
        <v>5916</v>
      </c>
      <c r="C2104" s="767" t="s">
        <v>4227</v>
      </c>
      <c r="D2104" s="752" t="s">
        <v>3455</v>
      </c>
      <c r="E2104" s="754">
        <v>0</v>
      </c>
    </row>
    <row r="2105" spans="1:5" ht="15.9">
      <c r="A2105" s="754" t="s">
        <v>5857</v>
      </c>
      <c r="B2105" s="767" t="s">
        <v>5916</v>
      </c>
      <c r="C2105" s="767" t="s">
        <v>4228</v>
      </c>
      <c r="D2105" s="752" t="s">
        <v>3455</v>
      </c>
      <c r="E2105" s="754">
        <v>0</v>
      </c>
    </row>
    <row r="2106" spans="1:5" ht="15.9">
      <c r="A2106" s="754" t="s">
        <v>5857</v>
      </c>
      <c r="B2106" s="767" t="s">
        <v>5916</v>
      </c>
      <c r="C2106" s="767" t="s">
        <v>4229</v>
      </c>
      <c r="D2106" s="752" t="s">
        <v>3455</v>
      </c>
      <c r="E2106" s="754">
        <v>0</v>
      </c>
    </row>
    <row r="2107" spans="1:5" ht="15.9">
      <c r="A2107" s="754" t="s">
        <v>5857</v>
      </c>
      <c r="B2107" s="767" t="s">
        <v>5916</v>
      </c>
      <c r="C2107" s="767" t="s">
        <v>4230</v>
      </c>
      <c r="D2107" s="752" t="s">
        <v>3455</v>
      </c>
      <c r="E2107" s="754">
        <v>0</v>
      </c>
    </row>
    <row r="2108" spans="1:5" ht="15.9">
      <c r="A2108" s="754" t="s">
        <v>5857</v>
      </c>
      <c r="B2108" s="767" t="s">
        <v>5916</v>
      </c>
      <c r="C2108" s="767" t="s">
        <v>4231</v>
      </c>
      <c r="D2108" s="752" t="s">
        <v>3455</v>
      </c>
      <c r="E2108" s="754">
        <v>0</v>
      </c>
    </row>
    <row r="2109" spans="1:5" ht="15.9">
      <c r="A2109" s="754" t="s">
        <v>5857</v>
      </c>
      <c r="B2109" s="767" t="s">
        <v>5916</v>
      </c>
      <c r="C2109" s="767" t="s">
        <v>4232</v>
      </c>
      <c r="D2109" s="752" t="s">
        <v>3455</v>
      </c>
      <c r="E2109" s="754">
        <v>0</v>
      </c>
    </row>
    <row r="2110" spans="1:5" ht="15.9">
      <c r="A2110" s="754" t="s">
        <v>5857</v>
      </c>
      <c r="B2110" s="767" t="s">
        <v>5916</v>
      </c>
      <c r="C2110" s="767" t="s">
        <v>4233</v>
      </c>
      <c r="D2110" s="752" t="s">
        <v>3455</v>
      </c>
      <c r="E2110" s="754">
        <v>0</v>
      </c>
    </row>
    <row r="2111" spans="1:5" ht="15.9">
      <c r="A2111" s="754" t="s">
        <v>5857</v>
      </c>
      <c r="B2111" s="767" t="s">
        <v>5916</v>
      </c>
      <c r="C2111" s="767" t="s">
        <v>4234</v>
      </c>
      <c r="D2111" s="752" t="s">
        <v>3455</v>
      </c>
      <c r="E2111" s="754">
        <v>0</v>
      </c>
    </row>
    <row r="2112" spans="1:5" ht="15.9">
      <c r="A2112" s="754" t="s">
        <v>5857</v>
      </c>
      <c r="B2112" s="767" t="s">
        <v>5916</v>
      </c>
      <c r="C2112" s="767" t="s">
        <v>4235</v>
      </c>
      <c r="D2112" s="752" t="s">
        <v>3455</v>
      </c>
      <c r="E2112" s="754">
        <v>0</v>
      </c>
    </row>
    <row r="2113" spans="1:5" ht="15.9">
      <c r="A2113" s="754" t="s">
        <v>5857</v>
      </c>
      <c r="B2113" s="767" t="s">
        <v>5916</v>
      </c>
      <c r="C2113" s="767" t="s">
        <v>4236</v>
      </c>
      <c r="D2113" s="752" t="s">
        <v>3455</v>
      </c>
      <c r="E2113" s="754">
        <v>0</v>
      </c>
    </row>
    <row r="2114" spans="1:5" ht="15.9">
      <c r="A2114" s="754" t="s">
        <v>5857</v>
      </c>
      <c r="B2114" s="767" t="s">
        <v>5916</v>
      </c>
      <c r="C2114" s="767" t="s">
        <v>4237</v>
      </c>
      <c r="D2114" s="752" t="s">
        <v>3455</v>
      </c>
      <c r="E2114" s="754">
        <v>0</v>
      </c>
    </row>
    <row r="2115" spans="1:5" ht="15.9">
      <c r="A2115" s="754" t="s">
        <v>5857</v>
      </c>
      <c r="B2115" s="767" t="s">
        <v>5916</v>
      </c>
      <c r="C2115" s="767" t="s">
        <v>4238</v>
      </c>
      <c r="D2115" s="752" t="s">
        <v>3455</v>
      </c>
      <c r="E2115" s="754">
        <v>0</v>
      </c>
    </row>
    <row r="2116" spans="1:5" ht="15.9">
      <c r="A2116" s="754" t="s">
        <v>5857</v>
      </c>
      <c r="B2116" s="767" t="s">
        <v>5916</v>
      </c>
      <c r="C2116" s="767" t="s">
        <v>4239</v>
      </c>
      <c r="D2116" s="752" t="s">
        <v>3455</v>
      </c>
      <c r="E2116" s="754">
        <v>0</v>
      </c>
    </row>
    <row r="2117" spans="1:5" ht="15.9">
      <c r="A2117" s="754" t="s">
        <v>5857</v>
      </c>
      <c r="B2117" s="767" t="s">
        <v>5916</v>
      </c>
      <c r="C2117" s="767" t="s">
        <v>4240</v>
      </c>
      <c r="D2117" s="752" t="s">
        <v>3455</v>
      </c>
      <c r="E2117" s="754">
        <v>0</v>
      </c>
    </row>
    <row r="2118" spans="1:5" ht="15.9">
      <c r="A2118" s="754" t="s">
        <v>5857</v>
      </c>
      <c r="B2118" s="767" t="s">
        <v>5916</v>
      </c>
      <c r="C2118" s="767" t="s">
        <v>4241</v>
      </c>
      <c r="D2118" s="752" t="s">
        <v>3455</v>
      </c>
      <c r="E2118" s="754">
        <v>0</v>
      </c>
    </row>
    <row r="2119" spans="1:5" ht="15.9">
      <c r="A2119" s="754" t="s">
        <v>5857</v>
      </c>
      <c r="B2119" s="767" t="s">
        <v>5916</v>
      </c>
      <c r="C2119" s="767" t="s">
        <v>4242</v>
      </c>
      <c r="D2119" s="752" t="s">
        <v>3455</v>
      </c>
      <c r="E2119" s="754">
        <v>0</v>
      </c>
    </row>
    <row r="2120" spans="1:5" ht="15.9">
      <c r="A2120" s="754" t="s">
        <v>5857</v>
      </c>
      <c r="B2120" s="767" t="s">
        <v>5916</v>
      </c>
      <c r="C2120" s="767" t="s">
        <v>4243</v>
      </c>
      <c r="D2120" s="752" t="s">
        <v>3455</v>
      </c>
      <c r="E2120" s="754">
        <v>0</v>
      </c>
    </row>
    <row r="2121" spans="1:5" ht="15.9">
      <c r="A2121" s="754" t="s">
        <v>5857</v>
      </c>
      <c r="B2121" s="767" t="s">
        <v>5916</v>
      </c>
      <c r="C2121" s="767" t="s">
        <v>4244</v>
      </c>
      <c r="D2121" s="752" t="s">
        <v>3455</v>
      </c>
      <c r="E2121" s="754">
        <v>0</v>
      </c>
    </row>
    <row r="2122" spans="1:5" ht="15.9">
      <c r="A2122" s="754" t="s">
        <v>5857</v>
      </c>
      <c r="B2122" s="767" t="s">
        <v>5916</v>
      </c>
      <c r="C2122" s="767" t="s">
        <v>4245</v>
      </c>
      <c r="D2122" s="752" t="s">
        <v>3455</v>
      </c>
      <c r="E2122" s="754">
        <v>0</v>
      </c>
    </row>
    <row r="2123" spans="1:5" ht="15.9">
      <c r="A2123" s="754" t="s">
        <v>5857</v>
      </c>
      <c r="B2123" s="767" t="s">
        <v>5916</v>
      </c>
      <c r="C2123" s="767" t="s">
        <v>4246</v>
      </c>
      <c r="D2123" s="752" t="s">
        <v>3455</v>
      </c>
      <c r="E2123" s="754">
        <v>0</v>
      </c>
    </row>
    <row r="2124" spans="1:5" ht="15.9">
      <c r="A2124" s="754" t="s">
        <v>5857</v>
      </c>
      <c r="B2124" s="767" t="s">
        <v>5916</v>
      </c>
      <c r="C2124" s="767" t="s">
        <v>4247</v>
      </c>
      <c r="D2124" s="752" t="s">
        <v>3455</v>
      </c>
      <c r="E2124" s="754">
        <v>0</v>
      </c>
    </row>
    <row r="2125" spans="1:5" ht="15.9">
      <c r="A2125" s="754" t="s">
        <v>5857</v>
      </c>
      <c r="B2125" s="767" t="s">
        <v>5916</v>
      </c>
      <c r="C2125" s="767" t="s">
        <v>4248</v>
      </c>
      <c r="D2125" s="752" t="s">
        <v>3455</v>
      </c>
      <c r="E2125" s="754">
        <v>0</v>
      </c>
    </row>
    <row r="2126" spans="1:5" ht="15.9">
      <c r="A2126" s="754" t="s">
        <v>5857</v>
      </c>
      <c r="B2126" s="767" t="s">
        <v>5916</v>
      </c>
      <c r="C2126" s="767" t="s">
        <v>4249</v>
      </c>
      <c r="D2126" s="752" t="s">
        <v>3455</v>
      </c>
      <c r="E2126" s="754">
        <v>0</v>
      </c>
    </row>
    <row r="2127" spans="1:5" ht="15.9">
      <c r="A2127" s="754" t="s">
        <v>5857</v>
      </c>
      <c r="B2127" s="767" t="s">
        <v>5916</v>
      </c>
      <c r="C2127" s="767" t="s">
        <v>4250</v>
      </c>
      <c r="D2127" s="752" t="s">
        <v>3455</v>
      </c>
      <c r="E2127" s="754">
        <v>0</v>
      </c>
    </row>
    <row r="2128" spans="1:5" ht="15.9">
      <c r="A2128" s="754" t="s">
        <v>5857</v>
      </c>
      <c r="B2128" s="767" t="s">
        <v>5916</v>
      </c>
      <c r="C2128" s="767" t="s">
        <v>4251</v>
      </c>
      <c r="D2128" s="752" t="s">
        <v>3455</v>
      </c>
      <c r="E2128" s="754">
        <v>0</v>
      </c>
    </row>
    <row r="2129" spans="1:5" ht="15.9">
      <c r="A2129" s="754" t="s">
        <v>5857</v>
      </c>
      <c r="B2129" s="767" t="s">
        <v>5916</v>
      </c>
      <c r="C2129" s="767" t="s">
        <v>4252</v>
      </c>
      <c r="D2129" s="752" t="s">
        <v>3455</v>
      </c>
      <c r="E2129" s="754">
        <v>0</v>
      </c>
    </row>
    <row r="2130" spans="1:5" ht="15.9">
      <c r="A2130" s="754" t="s">
        <v>5857</v>
      </c>
      <c r="B2130" s="767" t="s">
        <v>5916</v>
      </c>
      <c r="C2130" s="767" t="s">
        <v>4253</v>
      </c>
      <c r="D2130" s="752" t="s">
        <v>3455</v>
      </c>
      <c r="E2130" s="754">
        <v>0</v>
      </c>
    </row>
    <row r="2131" spans="1:5" ht="15.9">
      <c r="A2131" s="754" t="s">
        <v>5857</v>
      </c>
      <c r="B2131" s="767" t="s">
        <v>5916</v>
      </c>
      <c r="C2131" s="767" t="s">
        <v>4254</v>
      </c>
      <c r="D2131" s="752" t="s">
        <v>3455</v>
      </c>
      <c r="E2131" s="754">
        <v>0</v>
      </c>
    </row>
    <row r="2132" spans="1:5" ht="15.9">
      <c r="A2132" s="754" t="s">
        <v>5857</v>
      </c>
      <c r="B2132" s="767" t="s">
        <v>5916</v>
      </c>
      <c r="C2132" s="767" t="s">
        <v>4255</v>
      </c>
      <c r="D2132" s="752" t="s">
        <v>3455</v>
      </c>
      <c r="E2132" s="754">
        <v>0</v>
      </c>
    </row>
    <row r="2133" spans="1:5" ht="15.9">
      <c r="A2133" s="754" t="s">
        <v>5857</v>
      </c>
      <c r="B2133" s="767" t="s">
        <v>5916</v>
      </c>
      <c r="C2133" s="767" t="s">
        <v>4256</v>
      </c>
      <c r="D2133" s="752" t="s">
        <v>3455</v>
      </c>
      <c r="E2133" s="754">
        <v>0</v>
      </c>
    </row>
    <row r="2134" spans="1:5" ht="15.9">
      <c r="A2134" s="754" t="s">
        <v>5857</v>
      </c>
      <c r="B2134" s="767" t="s">
        <v>5916</v>
      </c>
      <c r="C2134" s="767" t="s">
        <v>4257</v>
      </c>
      <c r="D2134" s="752" t="s">
        <v>3455</v>
      </c>
      <c r="E2134" s="754">
        <v>0</v>
      </c>
    </row>
    <row r="2135" spans="1:5" ht="15.9">
      <c r="A2135" s="754" t="s">
        <v>5857</v>
      </c>
      <c r="B2135" s="767" t="s">
        <v>5916</v>
      </c>
      <c r="C2135" s="767" t="s">
        <v>4258</v>
      </c>
      <c r="D2135" s="752" t="s">
        <v>3455</v>
      </c>
      <c r="E2135" s="754">
        <v>0</v>
      </c>
    </row>
    <row r="2136" spans="1:5" ht="15.9">
      <c r="A2136" s="754" t="s">
        <v>5857</v>
      </c>
      <c r="B2136" s="767" t="s">
        <v>5916</v>
      </c>
      <c r="C2136" s="767" t="s">
        <v>4259</v>
      </c>
      <c r="D2136" s="752" t="s">
        <v>3455</v>
      </c>
      <c r="E2136" s="754">
        <v>0</v>
      </c>
    </row>
    <row r="2137" spans="1:5" ht="15.9">
      <c r="A2137" s="754" t="s">
        <v>5857</v>
      </c>
      <c r="B2137" s="767" t="s">
        <v>5916</v>
      </c>
      <c r="C2137" s="767" t="s">
        <v>4260</v>
      </c>
      <c r="D2137" s="752" t="s">
        <v>3455</v>
      </c>
      <c r="E2137" s="754">
        <v>0</v>
      </c>
    </row>
    <row r="2138" spans="1:5" ht="15.9">
      <c r="A2138" s="754" t="s">
        <v>5857</v>
      </c>
      <c r="B2138" s="767" t="s">
        <v>5916</v>
      </c>
      <c r="C2138" s="767" t="s">
        <v>4261</v>
      </c>
      <c r="D2138" s="752" t="s">
        <v>3455</v>
      </c>
      <c r="E2138" s="754">
        <v>0</v>
      </c>
    </row>
    <row r="2139" spans="1:5" ht="15.9">
      <c r="A2139" s="754" t="s">
        <v>5857</v>
      </c>
      <c r="B2139" s="767" t="s">
        <v>5916</v>
      </c>
      <c r="C2139" s="767" t="s">
        <v>4262</v>
      </c>
      <c r="D2139" s="752" t="s">
        <v>3455</v>
      </c>
      <c r="E2139" s="754">
        <v>0</v>
      </c>
    </row>
    <row r="2140" spans="1:5" ht="15.9">
      <c r="A2140" s="754" t="s">
        <v>5857</v>
      </c>
      <c r="B2140" s="767" t="s">
        <v>5916</v>
      </c>
      <c r="C2140" s="767" t="s">
        <v>4263</v>
      </c>
      <c r="D2140" s="752" t="s">
        <v>3455</v>
      </c>
      <c r="E2140" s="754">
        <v>0</v>
      </c>
    </row>
    <row r="2141" spans="1:5" ht="15.9">
      <c r="A2141" s="754" t="s">
        <v>5857</v>
      </c>
      <c r="B2141" s="767" t="s">
        <v>5916</v>
      </c>
      <c r="C2141" s="767" t="s">
        <v>4264</v>
      </c>
      <c r="D2141" s="752" t="s">
        <v>3455</v>
      </c>
      <c r="E2141" s="754">
        <v>0</v>
      </c>
    </row>
    <row r="2142" spans="1:5" ht="15.9">
      <c r="A2142" s="754" t="s">
        <v>5857</v>
      </c>
      <c r="B2142" s="767" t="s">
        <v>5916</v>
      </c>
      <c r="C2142" s="767" t="s">
        <v>4265</v>
      </c>
      <c r="D2142" s="752" t="s">
        <v>3455</v>
      </c>
      <c r="E2142" s="754">
        <v>0</v>
      </c>
    </row>
    <row r="2143" spans="1:5" ht="15.9">
      <c r="A2143" s="754" t="s">
        <v>5857</v>
      </c>
      <c r="B2143" s="767" t="s">
        <v>5916</v>
      </c>
      <c r="C2143" s="767" t="s">
        <v>4266</v>
      </c>
      <c r="D2143" s="752" t="s">
        <v>3455</v>
      </c>
      <c r="E2143" s="754">
        <v>0</v>
      </c>
    </row>
    <row r="2144" spans="1:5" ht="15.9">
      <c r="A2144" s="754" t="s">
        <v>5857</v>
      </c>
      <c r="B2144" s="767" t="s">
        <v>5916</v>
      </c>
      <c r="C2144" s="767" t="s">
        <v>4267</v>
      </c>
      <c r="D2144" s="752" t="s">
        <v>3455</v>
      </c>
      <c r="E2144" s="754">
        <v>0</v>
      </c>
    </row>
    <row r="2145" spans="1:5" ht="15.9">
      <c r="A2145" s="754" t="s">
        <v>5857</v>
      </c>
      <c r="B2145" s="767" t="s">
        <v>5916</v>
      </c>
      <c r="C2145" s="767" t="s">
        <v>4268</v>
      </c>
      <c r="D2145" s="752" t="s">
        <v>3455</v>
      </c>
      <c r="E2145" s="754">
        <v>0</v>
      </c>
    </row>
    <row r="2146" spans="1:5" ht="15.9">
      <c r="A2146" s="754" t="s">
        <v>5857</v>
      </c>
      <c r="B2146" s="767" t="s">
        <v>5916</v>
      </c>
      <c r="C2146" s="767" t="s">
        <v>4269</v>
      </c>
      <c r="D2146" s="752" t="s">
        <v>3455</v>
      </c>
      <c r="E2146" s="754">
        <v>0</v>
      </c>
    </row>
    <row r="2147" spans="1:5" ht="15.9">
      <c r="A2147" s="754" t="s">
        <v>5857</v>
      </c>
      <c r="B2147" s="767" t="s">
        <v>5916</v>
      </c>
      <c r="C2147" s="767" t="s">
        <v>4270</v>
      </c>
      <c r="D2147" s="752" t="s">
        <v>3455</v>
      </c>
      <c r="E2147" s="754">
        <v>0</v>
      </c>
    </row>
    <row r="2148" spans="1:5" ht="15.9">
      <c r="A2148" s="754" t="s">
        <v>5857</v>
      </c>
      <c r="B2148" s="767" t="s">
        <v>5916</v>
      </c>
      <c r="C2148" s="767" t="s">
        <v>4271</v>
      </c>
      <c r="D2148" s="752" t="s">
        <v>3455</v>
      </c>
      <c r="E2148" s="754">
        <v>0</v>
      </c>
    </row>
    <row r="2149" spans="1:5" ht="15.9">
      <c r="A2149" s="754" t="s">
        <v>5857</v>
      </c>
      <c r="B2149" s="767" t="s">
        <v>5916</v>
      </c>
      <c r="C2149" s="767" t="s">
        <v>4272</v>
      </c>
      <c r="D2149" s="752" t="s">
        <v>3455</v>
      </c>
      <c r="E2149" s="754">
        <v>0</v>
      </c>
    </row>
    <row r="2150" spans="1:5" ht="15.9">
      <c r="A2150" s="754" t="s">
        <v>5857</v>
      </c>
      <c r="B2150" s="767" t="s">
        <v>5916</v>
      </c>
      <c r="C2150" s="767" t="s">
        <v>4273</v>
      </c>
      <c r="D2150" s="752" t="s">
        <v>3455</v>
      </c>
      <c r="E2150" s="754">
        <v>0</v>
      </c>
    </row>
    <row r="2151" spans="1:5" ht="15.9">
      <c r="A2151" s="754" t="s">
        <v>5857</v>
      </c>
      <c r="B2151" s="767" t="s">
        <v>5916</v>
      </c>
      <c r="C2151" s="767" t="s">
        <v>4274</v>
      </c>
      <c r="D2151" s="752" t="s">
        <v>3455</v>
      </c>
      <c r="E2151" s="754">
        <v>0</v>
      </c>
    </row>
    <row r="2152" spans="1:5" ht="15.9">
      <c r="A2152" s="754" t="s">
        <v>5857</v>
      </c>
      <c r="B2152" s="767" t="s">
        <v>5916</v>
      </c>
      <c r="C2152" s="767" t="s">
        <v>4035</v>
      </c>
      <c r="D2152" s="752" t="s">
        <v>3455</v>
      </c>
      <c r="E2152" s="754">
        <v>0</v>
      </c>
    </row>
    <row r="2153" spans="1:5" ht="15.9">
      <c r="A2153" s="754" t="s">
        <v>5857</v>
      </c>
      <c r="B2153" s="767" t="s">
        <v>5916</v>
      </c>
      <c r="C2153" s="767" t="s">
        <v>4050</v>
      </c>
      <c r="D2153" s="752" t="s">
        <v>3455</v>
      </c>
      <c r="E2153" s="754">
        <v>0</v>
      </c>
    </row>
    <row r="2154" spans="1:5" ht="15.9">
      <c r="A2154" s="754" t="s">
        <v>5857</v>
      </c>
      <c r="B2154" s="767" t="s">
        <v>5916</v>
      </c>
      <c r="C2154" s="767" t="s">
        <v>4064</v>
      </c>
      <c r="D2154" s="752" t="s">
        <v>3455</v>
      </c>
      <c r="E2154" s="754">
        <v>0</v>
      </c>
    </row>
    <row r="2155" spans="1:5" ht="15.9">
      <c r="A2155" s="754" t="s">
        <v>5857</v>
      </c>
      <c r="B2155" s="767" t="s">
        <v>5916</v>
      </c>
      <c r="C2155" s="767" t="s">
        <v>4077</v>
      </c>
      <c r="D2155" s="752" t="s">
        <v>3455</v>
      </c>
      <c r="E2155" s="754">
        <v>0</v>
      </c>
    </row>
    <row r="2156" spans="1:5" ht="15.9">
      <c r="A2156" s="754" t="s">
        <v>5857</v>
      </c>
      <c r="B2156" s="767" t="s">
        <v>5916</v>
      </c>
      <c r="C2156" s="767" t="s">
        <v>4099</v>
      </c>
      <c r="D2156" s="752" t="s">
        <v>3455</v>
      </c>
      <c r="E2156" s="754">
        <v>0</v>
      </c>
    </row>
    <row r="2157" spans="1:5" ht="15.9">
      <c r="A2157" s="754" t="s">
        <v>5857</v>
      </c>
      <c r="B2157" s="767" t="s">
        <v>5916</v>
      </c>
      <c r="C2157" s="767" t="s">
        <v>4110</v>
      </c>
      <c r="D2157" s="752" t="s">
        <v>3455</v>
      </c>
      <c r="E2157" s="754">
        <v>0</v>
      </c>
    </row>
    <row r="2158" spans="1:5" ht="15.9">
      <c r="A2158" s="754" t="s">
        <v>5857</v>
      </c>
      <c r="B2158" s="761" t="s">
        <v>5917</v>
      </c>
      <c r="C2158" s="767" t="s">
        <v>4275</v>
      </c>
      <c r="D2158" s="752" t="s">
        <v>3626</v>
      </c>
      <c r="E2158" s="754">
        <v>0</v>
      </c>
    </row>
    <row r="2159" spans="1:5" ht="15.9">
      <c r="A2159" s="754" t="s">
        <v>5857</v>
      </c>
      <c r="B2159" s="761" t="s">
        <v>5917</v>
      </c>
      <c r="C2159" s="761" t="s">
        <v>4276</v>
      </c>
      <c r="D2159" s="752" t="s">
        <v>3626</v>
      </c>
      <c r="E2159" s="754">
        <v>0</v>
      </c>
    </row>
    <row r="2160" spans="1:5" ht="15.9">
      <c r="A2160" s="754" t="s">
        <v>5857</v>
      </c>
      <c r="B2160" s="761" t="s">
        <v>5917</v>
      </c>
      <c r="C2160" s="761" t="s">
        <v>4277</v>
      </c>
      <c r="D2160" s="752" t="s">
        <v>3626</v>
      </c>
      <c r="E2160" s="754">
        <v>0</v>
      </c>
    </row>
    <row r="2161" spans="1:5" ht="15.9">
      <c r="A2161" s="754" t="s">
        <v>5857</v>
      </c>
      <c r="B2161" s="761" t="s">
        <v>5917</v>
      </c>
      <c r="C2161" s="761" t="s">
        <v>4278</v>
      </c>
      <c r="D2161" s="752" t="s">
        <v>3626</v>
      </c>
      <c r="E2161" s="754">
        <v>0</v>
      </c>
    </row>
    <row r="2162" spans="1:5" ht="15.9">
      <c r="A2162" s="754" t="s">
        <v>5857</v>
      </c>
      <c r="B2162" s="761" t="s">
        <v>5917</v>
      </c>
      <c r="C2162" s="761" t="s">
        <v>4279</v>
      </c>
      <c r="D2162" s="752" t="s">
        <v>3626</v>
      </c>
      <c r="E2162" s="754">
        <v>0</v>
      </c>
    </row>
    <row r="2163" spans="1:5" ht="15.9">
      <c r="A2163" s="754" t="s">
        <v>5857</v>
      </c>
      <c r="B2163" s="761" t="s">
        <v>5917</v>
      </c>
      <c r="C2163" s="761" t="s">
        <v>4280</v>
      </c>
      <c r="D2163" s="752" t="s">
        <v>3626</v>
      </c>
      <c r="E2163" s="754">
        <v>0</v>
      </c>
    </row>
    <row r="2164" spans="1:5" ht="15.9">
      <c r="A2164" s="754" t="s">
        <v>5857</v>
      </c>
      <c r="B2164" s="761" t="s">
        <v>5917</v>
      </c>
      <c r="C2164" s="761" t="s">
        <v>4281</v>
      </c>
      <c r="D2164" s="752" t="s">
        <v>3626</v>
      </c>
      <c r="E2164" s="754">
        <v>0</v>
      </c>
    </row>
    <row r="2165" spans="1:5" ht="15.9">
      <c r="A2165" s="754" t="s">
        <v>5857</v>
      </c>
      <c r="B2165" s="761" t="s">
        <v>5917</v>
      </c>
      <c r="C2165" s="761" t="s">
        <v>4282</v>
      </c>
      <c r="D2165" s="752" t="s">
        <v>3626</v>
      </c>
      <c r="E2165" s="754">
        <v>0</v>
      </c>
    </row>
    <row r="2166" spans="1:5" ht="15.9">
      <c r="A2166" s="754" t="s">
        <v>5857</v>
      </c>
      <c r="B2166" s="761" t="s">
        <v>5917</v>
      </c>
      <c r="C2166" s="761" t="s">
        <v>4283</v>
      </c>
      <c r="D2166" s="752" t="s">
        <v>3626</v>
      </c>
      <c r="E2166" s="754">
        <v>0</v>
      </c>
    </row>
    <row r="2167" spans="1:5" ht="15.9">
      <c r="A2167" s="754" t="s">
        <v>5857</v>
      </c>
      <c r="B2167" s="761" t="s">
        <v>5917</v>
      </c>
      <c r="C2167" s="761" t="s">
        <v>4284</v>
      </c>
      <c r="D2167" s="752" t="s">
        <v>3626</v>
      </c>
      <c r="E2167" s="754">
        <v>0</v>
      </c>
    </row>
    <row r="2168" spans="1:5" ht="15.9">
      <c r="A2168" s="754" t="s">
        <v>5857</v>
      </c>
      <c r="B2168" s="761" t="s">
        <v>5917</v>
      </c>
      <c r="C2168" s="761" t="s">
        <v>4285</v>
      </c>
      <c r="D2168" s="752" t="s">
        <v>3626</v>
      </c>
      <c r="E2168" s="754">
        <v>0</v>
      </c>
    </row>
    <row r="2169" spans="1:5" ht="15.9">
      <c r="A2169" s="754" t="s">
        <v>5857</v>
      </c>
      <c r="B2169" s="761" t="s">
        <v>5917</v>
      </c>
      <c r="C2169" s="761" t="s">
        <v>4286</v>
      </c>
      <c r="D2169" s="752" t="s">
        <v>3626</v>
      </c>
      <c r="E2169" s="754">
        <v>0</v>
      </c>
    </row>
    <row r="2170" spans="1:5" ht="15.9">
      <c r="A2170" s="754" t="s">
        <v>5857</v>
      </c>
      <c r="B2170" s="761" t="s">
        <v>5917</v>
      </c>
      <c r="C2170" s="761" t="s">
        <v>4287</v>
      </c>
      <c r="D2170" s="752" t="s">
        <v>3626</v>
      </c>
      <c r="E2170" s="754">
        <v>0</v>
      </c>
    </row>
    <row r="2171" spans="1:5" ht="15.9">
      <c r="A2171" s="754" t="s">
        <v>5857</v>
      </c>
      <c r="B2171" s="761" t="s">
        <v>5917</v>
      </c>
      <c r="C2171" s="761" t="s">
        <v>4288</v>
      </c>
      <c r="D2171" s="752" t="s">
        <v>3626</v>
      </c>
      <c r="E2171" s="754">
        <v>0</v>
      </c>
    </row>
    <row r="2172" spans="1:5" ht="15.9">
      <c r="A2172" s="754" t="s">
        <v>5857</v>
      </c>
      <c r="B2172" s="761" t="s">
        <v>5917</v>
      </c>
      <c r="C2172" s="761" t="s">
        <v>4289</v>
      </c>
      <c r="D2172" s="752" t="s">
        <v>3626</v>
      </c>
      <c r="E2172" s="754">
        <v>0</v>
      </c>
    </row>
    <row r="2173" spans="1:5" ht="15.9">
      <c r="A2173" s="754" t="s">
        <v>5857</v>
      </c>
      <c r="B2173" s="761" t="s">
        <v>5917</v>
      </c>
      <c r="C2173" s="761" t="s">
        <v>4290</v>
      </c>
      <c r="D2173" s="752" t="s">
        <v>3626</v>
      </c>
      <c r="E2173" s="754">
        <v>0</v>
      </c>
    </row>
    <row r="2174" spans="1:5" ht="15.9">
      <c r="A2174" s="754" t="s">
        <v>5857</v>
      </c>
      <c r="B2174" s="761" t="s">
        <v>5917</v>
      </c>
      <c r="C2174" s="761" t="s">
        <v>5904</v>
      </c>
      <c r="D2174" s="752" t="s">
        <v>3626</v>
      </c>
      <c r="E2174" s="754">
        <v>0</v>
      </c>
    </row>
    <row r="2175" spans="1:5" ht="15.9">
      <c r="A2175" s="754" t="s">
        <v>5857</v>
      </c>
      <c r="B2175" s="761" t="s">
        <v>5917</v>
      </c>
      <c r="C2175" s="761" t="s">
        <v>4291</v>
      </c>
      <c r="D2175" s="752" t="s">
        <v>3626</v>
      </c>
      <c r="E2175" s="754">
        <v>0</v>
      </c>
    </row>
    <row r="2176" spans="1:5" ht="15.9">
      <c r="A2176" s="754" t="s">
        <v>5857</v>
      </c>
      <c r="B2176" s="761" t="s">
        <v>5917</v>
      </c>
      <c r="C2176" s="761" t="s">
        <v>4292</v>
      </c>
      <c r="D2176" s="752" t="s">
        <v>3626</v>
      </c>
      <c r="E2176" s="754">
        <v>0</v>
      </c>
    </row>
    <row r="2177" spans="1:5" ht="15.9">
      <c r="A2177" s="754" t="s">
        <v>5857</v>
      </c>
      <c r="B2177" s="761" t="s">
        <v>5917</v>
      </c>
      <c r="C2177" s="761" t="s">
        <v>4293</v>
      </c>
      <c r="D2177" s="752" t="s">
        <v>3626</v>
      </c>
      <c r="E2177" s="754">
        <v>0</v>
      </c>
    </row>
    <row r="2178" spans="1:5" ht="15.9">
      <c r="A2178" s="754" t="s">
        <v>5857</v>
      </c>
      <c r="B2178" s="761" t="s">
        <v>5917</v>
      </c>
      <c r="C2178" s="761" t="s">
        <v>4294</v>
      </c>
      <c r="D2178" s="752" t="s">
        <v>3626</v>
      </c>
      <c r="E2178" s="754">
        <v>0</v>
      </c>
    </row>
    <row r="2179" spans="1:5" ht="15.9">
      <c r="A2179" s="754" t="s">
        <v>5857</v>
      </c>
      <c r="B2179" s="761" t="s">
        <v>5917</v>
      </c>
      <c r="C2179" s="761" t="s">
        <v>4295</v>
      </c>
      <c r="D2179" s="752" t="s">
        <v>3626</v>
      </c>
      <c r="E2179" s="754">
        <v>0</v>
      </c>
    </row>
    <row r="2180" spans="1:5" ht="15.9">
      <c r="A2180" s="754" t="s">
        <v>5857</v>
      </c>
      <c r="B2180" s="761" t="s">
        <v>5917</v>
      </c>
      <c r="C2180" s="761" t="s">
        <v>4296</v>
      </c>
      <c r="D2180" s="752" t="s">
        <v>3626</v>
      </c>
      <c r="E2180" s="754">
        <v>0</v>
      </c>
    </row>
    <row r="2181" spans="1:5" ht="15.9">
      <c r="A2181" s="754" t="s">
        <v>5857</v>
      </c>
      <c r="B2181" s="761" t="s">
        <v>5917</v>
      </c>
      <c r="C2181" s="761" t="s">
        <v>4297</v>
      </c>
      <c r="D2181" s="752" t="s">
        <v>3626</v>
      </c>
      <c r="E2181" s="754">
        <v>0</v>
      </c>
    </row>
    <row r="2182" spans="1:5" ht="15.9">
      <c r="A2182" s="754" t="s">
        <v>5857</v>
      </c>
      <c r="B2182" s="761" t="s">
        <v>5917</v>
      </c>
      <c r="C2182" s="761" t="s">
        <v>4298</v>
      </c>
      <c r="D2182" s="752" t="s">
        <v>3626</v>
      </c>
      <c r="E2182" s="754">
        <v>0</v>
      </c>
    </row>
    <row r="2183" spans="1:5" ht="15.9">
      <c r="A2183" s="754" t="s">
        <v>5857</v>
      </c>
      <c r="B2183" s="761" t="s">
        <v>5917</v>
      </c>
      <c r="C2183" s="761" t="s">
        <v>4299</v>
      </c>
      <c r="D2183" s="752" t="s">
        <v>3626</v>
      </c>
      <c r="E2183" s="754">
        <v>0</v>
      </c>
    </row>
    <row r="2184" spans="1:5" ht="15.9">
      <c r="A2184" s="754" t="s">
        <v>5857</v>
      </c>
      <c r="B2184" s="761" t="s">
        <v>5917</v>
      </c>
      <c r="C2184" s="761" t="s">
        <v>4300</v>
      </c>
      <c r="D2184" s="752" t="s">
        <v>3626</v>
      </c>
      <c r="E2184" s="754">
        <v>0</v>
      </c>
    </row>
    <row r="2185" spans="1:5" ht="15.9">
      <c r="A2185" s="754" t="s">
        <v>5857</v>
      </c>
      <c r="B2185" s="761" t="s">
        <v>5917</v>
      </c>
      <c r="C2185" s="761" t="s">
        <v>4301</v>
      </c>
      <c r="D2185" s="752" t="s">
        <v>3626</v>
      </c>
      <c r="E2185" s="754">
        <v>0</v>
      </c>
    </row>
    <row r="2186" spans="1:5" ht="15.9">
      <c r="A2186" s="754" t="s">
        <v>5857</v>
      </c>
      <c r="B2186" s="761" t="s">
        <v>5917</v>
      </c>
      <c r="C2186" s="761" t="s">
        <v>4302</v>
      </c>
      <c r="D2186" s="752" t="s">
        <v>3626</v>
      </c>
      <c r="E2186" s="754">
        <v>0</v>
      </c>
    </row>
    <row r="2187" spans="1:5" ht="15.9">
      <c r="A2187" s="754" t="s">
        <v>5857</v>
      </c>
      <c r="B2187" s="761" t="s">
        <v>5917</v>
      </c>
      <c r="C2187" s="761" t="s">
        <v>4303</v>
      </c>
      <c r="D2187" s="752" t="s">
        <v>3626</v>
      </c>
      <c r="E2187" s="754">
        <v>0</v>
      </c>
    </row>
    <row r="2188" spans="1:5" ht="15.9">
      <c r="A2188" s="754" t="s">
        <v>5857</v>
      </c>
      <c r="B2188" s="761" t="s">
        <v>5917</v>
      </c>
      <c r="C2188" s="761" t="s">
        <v>4304</v>
      </c>
      <c r="D2188" s="752" t="s">
        <v>3626</v>
      </c>
      <c r="E2188" s="754">
        <v>0</v>
      </c>
    </row>
    <row r="2189" spans="1:5" ht="15.9">
      <c r="A2189" s="754" t="s">
        <v>5857</v>
      </c>
      <c r="B2189" s="761" t="s">
        <v>5917</v>
      </c>
      <c r="C2189" s="761" t="s">
        <v>4305</v>
      </c>
      <c r="D2189" s="752" t="s">
        <v>3626</v>
      </c>
      <c r="E2189" s="754">
        <v>0</v>
      </c>
    </row>
    <row r="2190" spans="1:5" ht="15.9">
      <c r="A2190" s="754" t="s">
        <v>5857</v>
      </c>
      <c r="B2190" s="761" t="s">
        <v>5917</v>
      </c>
      <c r="C2190" s="761" t="s">
        <v>4306</v>
      </c>
      <c r="D2190" s="752" t="s">
        <v>3626</v>
      </c>
      <c r="E2190" s="754">
        <v>0</v>
      </c>
    </row>
    <row r="2191" spans="1:5" ht="15.9">
      <c r="A2191" s="754" t="s">
        <v>5857</v>
      </c>
      <c r="B2191" s="761" t="s">
        <v>5917</v>
      </c>
      <c r="C2191" s="761" t="s">
        <v>4307</v>
      </c>
      <c r="D2191" s="752" t="s">
        <v>3626</v>
      </c>
      <c r="E2191" s="754">
        <v>0</v>
      </c>
    </row>
    <row r="2192" spans="1:5" ht="15.9">
      <c r="A2192" s="754" t="s">
        <v>5857</v>
      </c>
      <c r="B2192" s="761" t="s">
        <v>5917</v>
      </c>
      <c r="C2192" s="761" t="s">
        <v>4308</v>
      </c>
      <c r="D2192" s="752" t="s">
        <v>3626</v>
      </c>
      <c r="E2192" s="754">
        <v>0</v>
      </c>
    </row>
    <row r="2193" spans="1:5" ht="15.9">
      <c r="A2193" s="754" t="s">
        <v>5857</v>
      </c>
      <c r="B2193" s="761" t="s">
        <v>5917</v>
      </c>
      <c r="C2193" s="761" t="s">
        <v>4309</v>
      </c>
      <c r="D2193" s="752" t="s">
        <v>3626</v>
      </c>
      <c r="E2193" s="754">
        <v>0</v>
      </c>
    </row>
    <row r="2194" spans="1:5" ht="15.9">
      <c r="A2194" s="754" t="s">
        <v>5857</v>
      </c>
      <c r="B2194" s="761" t="s">
        <v>5917</v>
      </c>
      <c r="C2194" s="761" t="s">
        <v>4310</v>
      </c>
      <c r="D2194" s="752" t="s">
        <v>3626</v>
      </c>
      <c r="E2194" s="754">
        <v>0</v>
      </c>
    </row>
    <row r="2195" spans="1:5" ht="15.9">
      <c r="A2195" s="754" t="s">
        <v>5857</v>
      </c>
      <c r="B2195" s="761" t="s">
        <v>5917</v>
      </c>
      <c r="C2195" s="761" t="s">
        <v>4311</v>
      </c>
      <c r="D2195" s="752" t="s">
        <v>3626</v>
      </c>
      <c r="E2195" s="754">
        <v>0</v>
      </c>
    </row>
    <row r="2196" spans="1:5" ht="15.9">
      <c r="A2196" s="754" t="s">
        <v>5857</v>
      </c>
      <c r="B2196" s="761" t="s">
        <v>5917</v>
      </c>
      <c r="C2196" s="761" t="s">
        <v>4312</v>
      </c>
      <c r="D2196" s="752" t="s">
        <v>3626</v>
      </c>
      <c r="E2196" s="754">
        <v>0</v>
      </c>
    </row>
    <row r="2197" spans="1:5" ht="15.9">
      <c r="A2197" s="754" t="s">
        <v>5857</v>
      </c>
      <c r="B2197" s="761" t="s">
        <v>5917</v>
      </c>
      <c r="C2197" s="761" t="s">
        <v>4313</v>
      </c>
      <c r="D2197" s="752" t="s">
        <v>3626</v>
      </c>
      <c r="E2197" s="754">
        <v>0</v>
      </c>
    </row>
    <row r="2198" spans="1:5" ht="15.9">
      <c r="A2198" s="754" t="s">
        <v>5857</v>
      </c>
      <c r="B2198" s="761" t="s">
        <v>5917</v>
      </c>
      <c r="C2198" s="761" t="s">
        <v>4314</v>
      </c>
      <c r="D2198" s="752" t="s">
        <v>3626</v>
      </c>
      <c r="E2198" s="754">
        <v>0</v>
      </c>
    </row>
    <row r="2199" spans="1:5" ht="15.9">
      <c r="A2199" s="754" t="s">
        <v>5857</v>
      </c>
      <c r="B2199" s="761" t="s">
        <v>5917</v>
      </c>
      <c r="C2199" s="761" t="s">
        <v>5905</v>
      </c>
      <c r="D2199" s="752" t="s">
        <v>3626</v>
      </c>
      <c r="E2199" s="754">
        <v>0</v>
      </c>
    </row>
    <row r="2200" spans="1:5" ht="15.9">
      <c r="A2200" s="754" t="s">
        <v>5857</v>
      </c>
      <c r="B2200" s="761" t="s">
        <v>5917</v>
      </c>
      <c r="C2200" s="761" t="s">
        <v>4315</v>
      </c>
      <c r="D2200" s="752" t="s">
        <v>3626</v>
      </c>
      <c r="E2200" s="754">
        <v>0</v>
      </c>
    </row>
    <row r="2201" spans="1:5" ht="15.9">
      <c r="A2201" s="754" t="s">
        <v>5857</v>
      </c>
      <c r="B2201" s="761" t="s">
        <v>5917</v>
      </c>
      <c r="C2201" s="761" t="s">
        <v>4316</v>
      </c>
      <c r="D2201" s="752" t="s">
        <v>3626</v>
      </c>
      <c r="E2201" s="754">
        <v>0</v>
      </c>
    </row>
    <row r="2202" spans="1:5" ht="15.9">
      <c r="A2202" s="754" t="s">
        <v>5857</v>
      </c>
      <c r="B2202" s="761" t="s">
        <v>5917</v>
      </c>
      <c r="C2202" s="761" t="s">
        <v>4317</v>
      </c>
      <c r="D2202" s="752" t="s">
        <v>3626</v>
      </c>
      <c r="E2202" s="754">
        <v>0</v>
      </c>
    </row>
    <row r="2203" spans="1:5" ht="15.9">
      <c r="A2203" s="754" t="s">
        <v>5857</v>
      </c>
      <c r="B2203" s="732" t="s">
        <v>5912</v>
      </c>
      <c r="C2203" s="755" t="s">
        <v>4321</v>
      </c>
      <c r="D2203" s="752" t="s">
        <v>3449</v>
      </c>
      <c r="E2203" s="754">
        <v>0</v>
      </c>
    </row>
    <row r="2204" spans="1:5" ht="15.9">
      <c r="A2204" s="754" t="s">
        <v>5857</v>
      </c>
      <c r="B2204" s="757" t="s">
        <v>5914</v>
      </c>
      <c r="C2204" s="757" t="s">
        <v>5906</v>
      </c>
      <c r="D2204" s="752" t="s">
        <v>3486</v>
      </c>
      <c r="E2204" s="754">
        <v>0</v>
      </c>
    </row>
    <row r="2205" spans="1:5" ht="15.9">
      <c r="A2205" s="754" t="s">
        <v>5857</v>
      </c>
      <c r="B2205" s="757" t="s">
        <v>5914</v>
      </c>
      <c r="C2205" s="757" t="s">
        <v>5907</v>
      </c>
      <c r="D2205" s="752" t="s">
        <v>3486</v>
      </c>
      <c r="E2205" s="754">
        <v>0</v>
      </c>
    </row>
    <row r="2206" spans="1:5" ht="15.9">
      <c r="A2206" s="754" t="s">
        <v>5857</v>
      </c>
      <c r="B2206" s="758" t="s">
        <v>5913</v>
      </c>
      <c r="C2206" s="758" t="s">
        <v>5908</v>
      </c>
      <c r="D2206" s="752" t="s">
        <v>3452</v>
      </c>
      <c r="E2206" s="754">
        <v>0</v>
      </c>
    </row>
    <row r="2207" spans="1:5" ht="15.9">
      <c r="A2207" s="754" t="s">
        <v>5857</v>
      </c>
      <c r="B2207" s="758" t="s">
        <v>5913</v>
      </c>
      <c r="C2207" s="758" t="s">
        <v>5909</v>
      </c>
      <c r="D2207" s="752" t="s">
        <v>3452</v>
      </c>
      <c r="E2207" s="754">
        <v>0</v>
      </c>
    </row>
    <row r="2208" spans="1:5" ht="15.9">
      <c r="A2208" s="754" t="s">
        <v>5857</v>
      </c>
      <c r="B2208" s="759" t="s">
        <v>5915</v>
      </c>
      <c r="C2208" s="759" t="s">
        <v>4322</v>
      </c>
      <c r="D2208" s="752" t="s">
        <v>3514</v>
      </c>
      <c r="E2208" s="754">
        <v>0</v>
      </c>
    </row>
    <row r="2209" spans="1:5" ht="15.9">
      <c r="A2209" s="754" t="s">
        <v>5857</v>
      </c>
      <c r="B2209" s="759" t="s">
        <v>5915</v>
      </c>
      <c r="C2209" s="759" t="s">
        <v>5910</v>
      </c>
      <c r="D2209" s="752" t="s">
        <v>3514</v>
      </c>
      <c r="E2209" s="754">
        <v>0</v>
      </c>
    </row>
    <row r="2210" spans="1:5" ht="15.9">
      <c r="A2210" s="754" t="s">
        <v>5857</v>
      </c>
      <c r="B2210" s="760" t="s">
        <v>5916</v>
      </c>
      <c r="C2210" s="760" t="s">
        <v>4323</v>
      </c>
      <c r="D2210" s="752" t="s">
        <v>3622</v>
      </c>
      <c r="E2210" s="754">
        <v>0</v>
      </c>
    </row>
    <row r="2211" spans="1:5" ht="15.9">
      <c r="A2211" s="754" t="s">
        <v>5857</v>
      </c>
      <c r="B2211" s="760" t="s">
        <v>5916</v>
      </c>
      <c r="C2211" s="760" t="s">
        <v>4324</v>
      </c>
      <c r="D2211" s="752" t="s">
        <v>3622</v>
      </c>
      <c r="E2211" s="754">
        <v>0</v>
      </c>
    </row>
    <row r="2212" spans="1:5" ht="15.9">
      <c r="A2212" s="754" t="s">
        <v>5857</v>
      </c>
      <c r="B2212" s="761" t="s">
        <v>5917</v>
      </c>
      <c r="C2212" s="761" t="s">
        <v>5911</v>
      </c>
      <c r="D2212" s="752" t="s">
        <v>3455</v>
      </c>
      <c r="E2212" s="754">
        <v>0</v>
      </c>
    </row>
  </sheetData>
  <autoFilter ref="A1:E2212"/>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topLeftCell="A28" workbookViewId="0">
      <selection activeCell="A51" sqref="A51"/>
    </sheetView>
  </sheetViews>
  <sheetFormatPr defaultColWidth="9" defaultRowHeight="16.5" customHeight="1"/>
  <cols>
    <col min="1" max="1" width="169.85546875" style="534" customWidth="1"/>
    <col min="2" max="2" width="77.5" style="534" customWidth="1"/>
    <col min="3" max="3" width="39.640625" style="534" customWidth="1"/>
    <col min="4" max="4" width="185.2109375" style="534" bestFit="1" customWidth="1"/>
    <col min="5" max="5" width="164.640625" style="534" customWidth="1"/>
    <col min="6" max="6" width="81.2109375" style="534" customWidth="1"/>
    <col min="7" max="7" width="115.7109375" style="534" customWidth="1"/>
    <col min="8" max="8" width="171.7109375" style="534" customWidth="1"/>
    <col min="9" max="9" width="38" style="534" customWidth="1"/>
    <col min="10" max="16384" width="9" style="534"/>
  </cols>
  <sheetData>
    <row r="1" spans="1:9" ht="16.5" customHeight="1">
      <c r="A1" s="745" t="s">
        <v>5840</v>
      </c>
    </row>
    <row r="2" spans="1:9" ht="16.5" customHeight="1">
      <c r="A2" s="535" t="s">
        <v>4325</v>
      </c>
      <c r="B2" s="536"/>
      <c r="C2" s="536"/>
      <c r="D2" s="536"/>
      <c r="E2" s="536"/>
      <c r="F2" s="536"/>
      <c r="G2" s="536"/>
      <c r="H2" s="536"/>
      <c r="I2" s="536"/>
    </row>
    <row r="3" spans="1:9" ht="16.5" customHeight="1">
      <c r="A3" s="537" t="s">
        <v>5830</v>
      </c>
      <c r="B3" s="536"/>
      <c r="C3" s="536"/>
      <c r="D3" s="536"/>
      <c r="E3" s="536"/>
      <c r="F3" s="536"/>
      <c r="G3" s="536"/>
      <c r="H3" s="536"/>
      <c r="I3" s="536"/>
    </row>
    <row r="4" spans="1:9" ht="16.5" customHeight="1">
      <c r="A4" s="538" t="s">
        <v>5832</v>
      </c>
      <c r="B4" s="536"/>
      <c r="C4" s="536"/>
      <c r="D4" s="536"/>
      <c r="E4" s="536"/>
      <c r="F4" s="536"/>
      <c r="G4" s="536"/>
      <c r="H4" s="536"/>
      <c r="I4" s="536"/>
    </row>
    <row r="5" spans="1:9" ht="16.5" customHeight="1">
      <c r="A5" s="538" t="s">
        <v>5831</v>
      </c>
      <c r="B5" s="536"/>
      <c r="C5" s="536"/>
      <c r="D5" s="536"/>
      <c r="E5" s="536"/>
      <c r="F5" s="536"/>
      <c r="G5" s="536"/>
      <c r="H5" s="536"/>
      <c r="I5" s="536"/>
    </row>
    <row r="6" spans="1:9" ht="16.5" customHeight="1">
      <c r="A6" s="537" t="s">
        <v>4326</v>
      </c>
      <c r="B6" s="536"/>
      <c r="C6" s="536"/>
      <c r="D6" s="536"/>
      <c r="E6" s="536"/>
      <c r="F6" s="536"/>
      <c r="G6" s="536"/>
      <c r="H6" s="536"/>
      <c r="I6" s="536"/>
    </row>
    <row r="7" spans="1:9" ht="16.5" customHeight="1">
      <c r="A7" s="537" t="s">
        <v>4327</v>
      </c>
      <c r="B7" s="536"/>
      <c r="C7" s="536"/>
      <c r="D7" s="536"/>
      <c r="E7" s="536"/>
      <c r="F7" s="536"/>
      <c r="G7" s="536"/>
      <c r="H7" s="536"/>
      <c r="I7" s="536"/>
    </row>
    <row r="8" spans="1:9" ht="16.5" customHeight="1">
      <c r="A8" s="537" t="s">
        <v>4328</v>
      </c>
      <c r="B8" s="536"/>
      <c r="C8" s="536"/>
      <c r="D8" s="536"/>
      <c r="E8" s="536"/>
      <c r="F8" s="536"/>
      <c r="G8" s="536"/>
      <c r="H8" s="536"/>
      <c r="I8" s="536"/>
    </row>
    <row r="9" spans="1:9" ht="16.5" customHeight="1">
      <c r="A9" s="536"/>
      <c r="B9" s="536"/>
      <c r="C9" s="536"/>
      <c r="D9" s="536"/>
      <c r="E9" s="536"/>
      <c r="F9" s="536"/>
      <c r="G9" s="536"/>
      <c r="H9" s="536"/>
      <c r="I9" s="536"/>
    </row>
    <row r="10" spans="1:9" ht="16.5" customHeight="1">
      <c r="A10" s="536"/>
      <c r="B10" s="536"/>
      <c r="C10" s="536"/>
      <c r="D10" s="536"/>
      <c r="E10" s="536"/>
      <c r="F10" s="536"/>
      <c r="G10" s="536"/>
      <c r="H10" s="536"/>
      <c r="I10" s="536"/>
    </row>
    <row r="11" spans="1:9" ht="16.5" customHeight="1">
      <c r="A11" s="539" t="s">
        <v>4329</v>
      </c>
      <c r="B11" s="536"/>
      <c r="C11" s="536"/>
      <c r="D11" s="536"/>
      <c r="E11" s="536"/>
      <c r="F11" s="536"/>
      <c r="G11" s="536"/>
      <c r="H11" s="536"/>
      <c r="I11" s="536"/>
    </row>
    <row r="12" spans="1:9" ht="16.5" customHeight="1">
      <c r="A12" s="746" t="s">
        <v>5841</v>
      </c>
      <c r="B12" s="536"/>
      <c r="C12" s="536"/>
      <c r="D12" s="536"/>
      <c r="E12" s="536"/>
      <c r="F12" s="536"/>
      <c r="G12" s="536"/>
      <c r="H12" s="536"/>
      <c r="I12" s="536"/>
    </row>
    <row r="13" spans="1:9" ht="16.5" customHeight="1">
      <c r="A13" s="537" t="s">
        <v>5833</v>
      </c>
      <c r="B13" s="536"/>
      <c r="C13" s="536"/>
      <c r="D13" s="536"/>
      <c r="E13" s="536"/>
      <c r="F13" s="536"/>
      <c r="G13" s="536"/>
      <c r="H13" s="536"/>
      <c r="I13" s="536"/>
    </row>
    <row r="14" spans="1:9" ht="16.5" customHeight="1">
      <c r="A14" s="537" t="s">
        <v>5834</v>
      </c>
      <c r="B14" s="536"/>
      <c r="C14" s="536"/>
      <c r="D14" s="536"/>
      <c r="E14" s="536"/>
      <c r="F14" s="536"/>
      <c r="G14" s="536"/>
      <c r="H14" s="536"/>
      <c r="I14" s="536"/>
    </row>
    <row r="15" spans="1:9" ht="16.5" customHeight="1">
      <c r="A15" s="537" t="s">
        <v>4330</v>
      </c>
      <c r="B15" s="536"/>
      <c r="C15" s="536"/>
      <c r="D15" s="536"/>
      <c r="E15" s="536"/>
      <c r="F15" s="536"/>
      <c r="G15" s="536"/>
      <c r="H15" s="536"/>
      <c r="I15" s="536"/>
    </row>
    <row r="16" spans="1:9" ht="16.5" customHeight="1">
      <c r="A16" s="537" t="s">
        <v>4331</v>
      </c>
      <c r="B16" s="536"/>
      <c r="C16" s="536"/>
      <c r="D16" s="536"/>
      <c r="E16" s="536"/>
      <c r="F16" s="536"/>
      <c r="G16" s="536"/>
      <c r="H16" s="536"/>
      <c r="I16" s="536"/>
    </row>
    <row r="17" spans="1:9" ht="16.5" customHeight="1">
      <c r="A17" s="181" t="s">
        <v>4332</v>
      </c>
      <c r="B17" s="536"/>
      <c r="C17" s="536"/>
      <c r="D17" s="536"/>
      <c r="E17" s="536"/>
      <c r="F17" s="536"/>
      <c r="G17" s="536"/>
      <c r="H17" s="536"/>
      <c r="I17" s="536"/>
    </row>
    <row r="18" spans="1:9" ht="16.5" customHeight="1">
      <c r="A18" s="536"/>
      <c r="B18" s="536"/>
      <c r="C18" s="536"/>
      <c r="D18" s="536"/>
      <c r="E18" s="536"/>
      <c r="F18" s="536"/>
      <c r="G18" s="536"/>
      <c r="H18" s="536"/>
      <c r="I18" s="536"/>
    </row>
    <row r="19" spans="1:9" ht="16.5" customHeight="1">
      <c r="A19" s="536"/>
      <c r="B19" s="536"/>
      <c r="C19" s="536"/>
      <c r="D19" s="536"/>
      <c r="E19" s="536"/>
      <c r="F19" s="536"/>
      <c r="G19" s="536"/>
      <c r="H19" s="536"/>
      <c r="I19" s="536"/>
    </row>
    <row r="20" spans="1:9" ht="16.5" customHeight="1">
      <c r="A20" s="540" t="s">
        <v>4333</v>
      </c>
      <c r="B20" s="536"/>
      <c r="C20" s="536"/>
      <c r="D20" s="536"/>
      <c r="E20" s="536"/>
      <c r="F20" s="536"/>
      <c r="G20" s="536"/>
      <c r="H20" s="536"/>
      <c r="I20" s="536"/>
    </row>
    <row r="21" spans="1:9" ht="16.5" customHeight="1">
      <c r="A21" s="537" t="s">
        <v>4334</v>
      </c>
      <c r="B21" s="536"/>
      <c r="C21" s="536"/>
      <c r="D21" s="536"/>
      <c r="E21" s="536"/>
      <c r="F21" s="536"/>
      <c r="G21" s="536"/>
      <c r="H21" s="536"/>
      <c r="I21" s="536"/>
    </row>
    <row r="22" spans="1:9" ht="16.5" customHeight="1">
      <c r="A22" s="537" t="s">
        <v>4335</v>
      </c>
      <c r="B22" s="536"/>
      <c r="C22" s="536"/>
      <c r="D22" s="536"/>
      <c r="E22" s="536"/>
      <c r="F22" s="536"/>
      <c r="G22" s="536"/>
      <c r="H22" s="536"/>
      <c r="I22" s="536"/>
    </row>
    <row r="23" spans="1:9" ht="16.5" customHeight="1">
      <c r="A23" s="537" t="s">
        <v>4336</v>
      </c>
      <c r="B23" s="536"/>
      <c r="C23" s="536"/>
      <c r="D23" s="536"/>
      <c r="E23" s="536"/>
      <c r="F23" s="536"/>
      <c r="G23" s="536"/>
      <c r="H23" s="536"/>
      <c r="I23" s="536"/>
    </row>
    <row r="24" spans="1:9" ht="16.5" customHeight="1">
      <c r="A24" s="537" t="s">
        <v>4337</v>
      </c>
      <c r="B24" s="536"/>
      <c r="C24" s="536"/>
      <c r="D24" s="536"/>
      <c r="E24" s="536"/>
      <c r="F24" s="536"/>
      <c r="G24" s="536"/>
      <c r="H24" s="536"/>
      <c r="I24" s="536"/>
    </row>
    <row r="25" spans="1:9" ht="16.5" customHeight="1">
      <c r="A25" s="537" t="s">
        <v>4338</v>
      </c>
      <c r="B25" s="536"/>
      <c r="C25" s="536"/>
      <c r="D25" s="536"/>
      <c r="E25" s="536"/>
      <c r="F25" s="536"/>
      <c r="G25" s="536"/>
      <c r="H25" s="536"/>
      <c r="I25" s="536"/>
    </row>
    <row r="26" spans="1:9" ht="16.5" customHeight="1">
      <c r="A26" s="181" t="s">
        <v>4339</v>
      </c>
      <c r="B26" s="536"/>
      <c r="C26" s="536"/>
      <c r="D26" s="536"/>
      <c r="E26" s="536"/>
      <c r="F26" s="536"/>
      <c r="G26" s="536"/>
      <c r="H26" s="536"/>
      <c r="I26" s="536"/>
    </row>
    <row r="27" spans="1:9" ht="16.5" customHeight="1">
      <c r="A27" s="536"/>
      <c r="B27" s="536"/>
      <c r="C27" s="536"/>
      <c r="D27" s="536"/>
      <c r="E27" s="536"/>
      <c r="F27" s="536"/>
      <c r="G27" s="536"/>
      <c r="H27" s="536"/>
      <c r="I27" s="536"/>
    </row>
    <row r="28" spans="1:9" ht="16.5" customHeight="1">
      <c r="A28" s="536"/>
      <c r="B28" s="536"/>
      <c r="C28" s="536"/>
      <c r="D28" s="536"/>
      <c r="E28" s="536"/>
      <c r="F28" s="536"/>
      <c r="G28" s="536"/>
      <c r="H28" s="536"/>
      <c r="I28" s="536"/>
    </row>
    <row r="29" spans="1:9" ht="16.5" customHeight="1">
      <c r="A29" s="541" t="s">
        <v>4340</v>
      </c>
      <c r="B29" s="536"/>
      <c r="C29" s="536"/>
      <c r="D29" s="536"/>
      <c r="E29" s="536"/>
      <c r="F29" s="536"/>
      <c r="G29" s="536"/>
      <c r="H29" s="536"/>
      <c r="I29" s="536"/>
    </row>
    <row r="30" spans="1:9" ht="16.5" customHeight="1">
      <c r="A30" s="537" t="s">
        <v>4341</v>
      </c>
      <c r="B30" s="536"/>
      <c r="C30" s="536"/>
      <c r="D30" s="536"/>
      <c r="E30" s="536"/>
      <c r="F30" s="536"/>
      <c r="G30" s="536"/>
      <c r="H30" s="536"/>
      <c r="I30" s="536"/>
    </row>
    <row r="31" spans="1:9" ht="16.5" customHeight="1">
      <c r="A31" s="537" t="s">
        <v>4342</v>
      </c>
      <c r="B31" s="536"/>
      <c r="C31" s="536"/>
      <c r="D31" s="536"/>
      <c r="E31" s="536"/>
      <c r="F31" s="536"/>
      <c r="G31" s="536"/>
      <c r="H31" s="536"/>
      <c r="I31" s="536"/>
    </row>
    <row r="32" spans="1:9" ht="16.5" customHeight="1">
      <c r="A32" s="537" t="s">
        <v>4343</v>
      </c>
      <c r="B32" s="536"/>
      <c r="C32" s="536"/>
      <c r="D32" s="536"/>
      <c r="E32" s="536"/>
      <c r="F32" s="536"/>
      <c r="G32" s="536"/>
      <c r="H32" s="536"/>
      <c r="I32" s="536"/>
    </row>
    <row r="33" spans="1:9" ht="16.5" customHeight="1">
      <c r="A33" s="542" t="s">
        <v>4344</v>
      </c>
      <c r="B33" s="536"/>
      <c r="C33" s="536"/>
      <c r="D33" s="536"/>
      <c r="E33" s="536"/>
      <c r="F33" s="536"/>
      <c r="G33" s="536"/>
      <c r="H33" s="536"/>
      <c r="I33" s="536"/>
    </row>
    <row r="34" spans="1:9" ht="16.5" customHeight="1">
      <c r="A34" s="542" t="s">
        <v>4345</v>
      </c>
      <c r="B34" s="536"/>
      <c r="C34" s="536"/>
      <c r="D34" s="536"/>
      <c r="E34" s="536"/>
      <c r="F34" s="536"/>
      <c r="G34" s="536"/>
      <c r="H34" s="536"/>
      <c r="I34" s="536"/>
    </row>
    <row r="35" spans="1:9" ht="16.5" customHeight="1">
      <c r="A35" s="181" t="s">
        <v>4346</v>
      </c>
      <c r="B35" s="536"/>
      <c r="C35" s="536"/>
      <c r="D35" s="536"/>
      <c r="E35" s="536"/>
      <c r="F35" s="536"/>
      <c r="G35" s="536"/>
      <c r="H35" s="536"/>
      <c r="I35" s="536"/>
    </row>
    <row r="36" spans="1:9" ht="16.5" customHeight="1">
      <c r="A36" s="536"/>
      <c r="B36" s="536"/>
      <c r="C36" s="536"/>
      <c r="D36" s="536"/>
      <c r="E36" s="536"/>
      <c r="F36" s="536"/>
      <c r="G36" s="536"/>
      <c r="H36" s="536"/>
      <c r="I36" s="536"/>
    </row>
    <row r="37" spans="1:9" ht="16.5" customHeight="1">
      <c r="A37" s="536"/>
      <c r="B37" s="536"/>
      <c r="C37" s="536"/>
      <c r="D37" s="536"/>
      <c r="E37" s="536"/>
      <c r="F37" s="536"/>
      <c r="G37" s="536"/>
      <c r="H37" s="536"/>
      <c r="I37" s="536"/>
    </row>
    <row r="38" spans="1:9" ht="16.5" customHeight="1">
      <c r="A38" s="543" t="s">
        <v>4347</v>
      </c>
      <c r="B38" s="536"/>
      <c r="C38" s="536"/>
      <c r="D38" s="536"/>
      <c r="E38" s="536"/>
      <c r="F38" s="536"/>
      <c r="G38" s="536"/>
      <c r="H38" s="536"/>
      <c r="I38" s="536"/>
    </row>
    <row r="39" spans="1:9" ht="16.5" customHeight="1">
      <c r="A39" s="537" t="s">
        <v>4348</v>
      </c>
      <c r="B39" s="536"/>
      <c r="C39" s="536"/>
      <c r="D39" s="536"/>
      <c r="E39" s="536"/>
      <c r="F39" s="536"/>
      <c r="G39" s="536"/>
      <c r="H39" s="536"/>
      <c r="I39" s="536"/>
    </row>
    <row r="40" spans="1:9" ht="16.5" customHeight="1">
      <c r="A40" s="537" t="s">
        <v>4349</v>
      </c>
      <c r="B40" s="536"/>
      <c r="C40" s="536"/>
      <c r="D40" s="536"/>
      <c r="E40" s="536"/>
      <c r="F40" s="536"/>
      <c r="G40" s="536"/>
      <c r="H40" s="536"/>
      <c r="I40" s="536"/>
    </row>
    <row r="41" spans="1:9" ht="16.5" customHeight="1">
      <c r="A41" s="537" t="s">
        <v>4350</v>
      </c>
      <c r="B41" s="536"/>
      <c r="C41" s="536"/>
      <c r="D41" s="536"/>
      <c r="E41" s="536"/>
      <c r="F41" s="536"/>
      <c r="G41" s="536"/>
      <c r="H41" s="536"/>
      <c r="I41" s="536"/>
    </row>
    <row r="42" spans="1:9" ht="16.5" customHeight="1">
      <c r="A42" s="537" t="s">
        <v>4351</v>
      </c>
      <c r="B42" s="536"/>
      <c r="C42" s="536"/>
      <c r="D42" s="536"/>
      <c r="E42" s="536"/>
      <c r="F42" s="536"/>
      <c r="G42" s="536"/>
      <c r="H42" s="536"/>
      <c r="I42" s="536"/>
    </row>
    <row r="43" spans="1:9" ht="16.5" customHeight="1">
      <c r="A43" s="537" t="s">
        <v>4352</v>
      </c>
      <c r="B43" s="536"/>
      <c r="C43" s="536"/>
      <c r="D43" s="536"/>
      <c r="E43" s="536"/>
      <c r="F43" s="536"/>
      <c r="G43" s="536"/>
      <c r="H43" s="536"/>
      <c r="I43" s="536"/>
    </row>
    <row r="44" spans="1:9" ht="16.5" customHeight="1">
      <c r="A44" s="181" t="s">
        <v>4353</v>
      </c>
      <c r="B44" s="536"/>
      <c r="C44" s="536"/>
      <c r="D44" s="536"/>
      <c r="E44" s="536"/>
      <c r="F44" s="536"/>
      <c r="G44" s="536"/>
      <c r="H44" s="536"/>
      <c r="I44" s="536"/>
    </row>
    <row r="45" spans="1:9" ht="16.5" customHeight="1">
      <c r="A45" s="536"/>
      <c r="B45" s="536"/>
      <c r="C45" s="536"/>
      <c r="D45" s="536"/>
      <c r="E45" s="536"/>
      <c r="F45" s="536"/>
      <c r="G45" s="536"/>
      <c r="H45" s="536"/>
      <c r="I45" s="536"/>
    </row>
    <row r="46" spans="1:9" ht="16.5" customHeight="1">
      <c r="A46" s="536"/>
      <c r="B46" s="536"/>
      <c r="C46" s="536"/>
      <c r="D46" s="536"/>
      <c r="E46" s="536"/>
      <c r="F46" s="536"/>
      <c r="G46" s="536"/>
      <c r="H46" s="536"/>
      <c r="I46" s="536"/>
    </row>
    <row r="47" spans="1:9" ht="16.5" customHeight="1">
      <c r="A47" s="544" t="s">
        <v>4354</v>
      </c>
      <c r="B47" s="536"/>
      <c r="C47" s="536"/>
      <c r="D47" s="536"/>
      <c r="E47" s="536"/>
      <c r="F47" s="536"/>
      <c r="G47" s="536"/>
      <c r="H47" s="536"/>
      <c r="I47" s="536"/>
    </row>
    <row r="48" spans="1:9" ht="16.5" customHeight="1">
      <c r="A48" s="537" t="s">
        <v>4355</v>
      </c>
      <c r="B48" s="536"/>
      <c r="C48" s="536"/>
      <c r="D48" s="536"/>
      <c r="E48" s="536"/>
      <c r="F48" s="536"/>
      <c r="G48" s="536"/>
      <c r="H48" s="536"/>
      <c r="I48" s="536"/>
    </row>
    <row r="49" spans="1:9" ht="16.5" customHeight="1">
      <c r="A49" s="537" t="s">
        <v>4356</v>
      </c>
      <c r="B49" s="536"/>
      <c r="C49" s="536"/>
      <c r="D49" s="536"/>
      <c r="E49" s="536"/>
      <c r="F49" s="536"/>
      <c r="G49" s="536"/>
      <c r="H49" s="536"/>
      <c r="I49" s="536"/>
    </row>
    <row r="50" spans="1:9" ht="16.5" customHeight="1">
      <c r="A50" s="537" t="s">
        <v>4357</v>
      </c>
      <c r="B50" s="536"/>
      <c r="C50" s="536"/>
      <c r="D50" s="536"/>
      <c r="E50" s="536"/>
      <c r="F50" s="536"/>
      <c r="G50" s="536"/>
      <c r="H50" s="536"/>
      <c r="I50" s="536"/>
    </row>
    <row r="51" spans="1:9" ht="16.5" customHeight="1">
      <c r="A51" s="537" t="s">
        <v>4358</v>
      </c>
      <c r="B51" s="536"/>
      <c r="C51" s="536"/>
      <c r="D51" s="536"/>
      <c r="E51" s="536"/>
      <c r="F51" s="536"/>
      <c r="G51" s="536"/>
      <c r="H51" s="536"/>
      <c r="I51" s="536"/>
    </row>
    <row r="52" spans="1:9" ht="16.5" customHeight="1">
      <c r="A52" s="537" t="s">
        <v>4359</v>
      </c>
      <c r="B52" s="536"/>
      <c r="C52" s="536"/>
      <c r="D52" s="536"/>
      <c r="E52" s="536"/>
      <c r="F52" s="536"/>
      <c r="G52" s="536"/>
      <c r="H52" s="536"/>
      <c r="I52" s="536"/>
    </row>
    <row r="53" spans="1:9" ht="16.5" customHeight="1">
      <c r="A53" s="537" t="s">
        <v>4360</v>
      </c>
      <c r="B53" s="536"/>
      <c r="C53" s="536"/>
      <c r="D53" s="536"/>
      <c r="E53" s="536"/>
      <c r="F53" s="536"/>
      <c r="G53" s="536"/>
      <c r="H53" s="536"/>
      <c r="I53" s="536"/>
    </row>
    <row r="54" spans="1:9" ht="16.5" customHeight="1">
      <c r="A54" s="537" t="s">
        <v>4361</v>
      </c>
      <c r="B54" s="536"/>
      <c r="C54" s="536"/>
      <c r="D54" s="536"/>
      <c r="E54" s="536"/>
      <c r="F54" s="536"/>
      <c r="G54" s="536"/>
      <c r="H54" s="536"/>
      <c r="I54" s="536"/>
    </row>
    <row r="55" spans="1:9" ht="16.5" customHeight="1">
      <c r="A55" s="181" t="s">
        <v>4362</v>
      </c>
      <c r="B55" s="536"/>
      <c r="C55" s="536"/>
      <c r="D55" s="536"/>
      <c r="E55" s="536"/>
      <c r="F55" s="536"/>
      <c r="G55" s="536"/>
      <c r="H55" s="536"/>
      <c r="I55" s="536"/>
    </row>
    <row r="56" spans="1:9" ht="16.5" customHeight="1">
      <c r="A56" s="536"/>
      <c r="B56" s="536"/>
      <c r="C56" s="536"/>
      <c r="D56" s="536"/>
      <c r="E56" s="536"/>
      <c r="F56" s="536"/>
      <c r="G56" s="536"/>
      <c r="H56" s="536"/>
      <c r="I56" s="536"/>
    </row>
    <row r="57" spans="1:9" ht="16.5" customHeight="1">
      <c r="A57" s="536"/>
      <c r="B57" s="536"/>
      <c r="C57" s="536"/>
      <c r="D57" s="536"/>
      <c r="E57" s="536"/>
      <c r="F57" s="536"/>
      <c r="G57" s="536"/>
      <c r="H57" s="536"/>
      <c r="I57" s="536"/>
    </row>
    <row r="58" spans="1:9" ht="16.5" customHeight="1">
      <c r="A58" s="545" t="s">
        <v>4363</v>
      </c>
      <c r="B58" s="536"/>
      <c r="C58" s="536"/>
      <c r="D58" s="536"/>
      <c r="E58" s="536"/>
      <c r="F58" s="536"/>
      <c r="G58" s="536"/>
      <c r="H58" s="536"/>
      <c r="I58" s="536"/>
    </row>
    <row r="59" spans="1:9" ht="16.5" customHeight="1">
      <c r="A59" s="546" t="s">
        <v>4364</v>
      </c>
      <c r="B59" s="536"/>
      <c r="C59" s="536"/>
      <c r="D59" s="536"/>
      <c r="E59" s="536"/>
      <c r="F59" s="536"/>
      <c r="G59" s="536"/>
      <c r="H59" s="536"/>
      <c r="I59" s="536"/>
    </row>
    <row r="60" spans="1:9" ht="16.5" customHeight="1">
      <c r="A60" s="789" t="s">
        <v>6545</v>
      </c>
      <c r="B60" s="536"/>
      <c r="C60" s="536"/>
      <c r="D60" s="536"/>
      <c r="E60" s="536"/>
      <c r="F60" s="536"/>
      <c r="G60" s="536"/>
      <c r="H60" s="536"/>
      <c r="I60" s="536"/>
    </row>
    <row r="61" spans="1:9" ht="16.5" customHeight="1">
      <c r="A61" s="546" t="s">
        <v>5838</v>
      </c>
      <c r="B61" s="536"/>
      <c r="C61" s="536"/>
      <c r="D61" s="536"/>
      <c r="E61" s="536"/>
      <c r="F61" s="536"/>
      <c r="G61" s="536"/>
      <c r="H61" s="536"/>
      <c r="I61" s="536"/>
    </row>
    <row r="62" spans="1:9" ht="16.5" customHeight="1">
      <c r="A62" s="537" t="s">
        <v>4365</v>
      </c>
      <c r="B62" s="536"/>
      <c r="C62" s="536"/>
      <c r="D62" s="536"/>
      <c r="E62" s="536"/>
      <c r="F62" s="536"/>
      <c r="G62" s="536"/>
      <c r="H62" s="536"/>
      <c r="I62" s="536"/>
    </row>
    <row r="63" spans="1:9" ht="16.5" customHeight="1">
      <c r="A63" s="546" t="s">
        <v>5839</v>
      </c>
      <c r="B63" s="536"/>
      <c r="C63" s="536"/>
      <c r="D63" s="536"/>
      <c r="E63" s="536"/>
      <c r="F63" s="536"/>
      <c r="G63" s="536"/>
      <c r="H63" s="536"/>
      <c r="I63" s="536"/>
    </row>
    <row r="64" spans="1:9" ht="16.5" customHeight="1">
      <c r="A64" s="546" t="s">
        <v>4366</v>
      </c>
      <c r="B64" s="536"/>
      <c r="C64" s="536"/>
      <c r="D64" s="536"/>
      <c r="E64" s="536"/>
      <c r="F64" s="536"/>
      <c r="G64" s="536"/>
      <c r="H64" s="536"/>
      <c r="I64" s="536"/>
    </row>
    <row r="65" spans="1:9" ht="16.5" customHeight="1">
      <c r="A65" s="536"/>
      <c r="B65" s="536"/>
      <c r="C65" s="536"/>
      <c r="D65" s="536"/>
      <c r="E65" s="536"/>
      <c r="F65" s="536"/>
      <c r="G65" s="536"/>
      <c r="H65" s="536"/>
      <c r="I65" s="536"/>
    </row>
    <row r="66" spans="1:9" ht="16.5" customHeight="1">
      <c r="A66" s="536"/>
      <c r="B66" s="536"/>
      <c r="C66" s="536"/>
      <c r="D66" s="536"/>
      <c r="E66" s="536"/>
      <c r="F66" s="536"/>
      <c r="G66" s="536"/>
      <c r="H66" s="536"/>
      <c r="I66" s="536"/>
    </row>
    <row r="67" spans="1:9" ht="16.5" customHeight="1">
      <c r="A67" s="547" t="s">
        <v>4367</v>
      </c>
      <c r="B67" s="536"/>
      <c r="C67" s="536"/>
      <c r="D67" s="536"/>
      <c r="E67" s="536"/>
      <c r="F67" s="536"/>
      <c r="G67" s="536"/>
      <c r="H67" s="536"/>
      <c r="I67" s="536"/>
    </row>
    <row r="68" spans="1:9" ht="16.5" customHeight="1">
      <c r="A68" s="546" t="s">
        <v>4368</v>
      </c>
      <c r="B68" s="536"/>
      <c r="C68" s="536"/>
      <c r="D68" s="536"/>
      <c r="E68" s="536"/>
      <c r="F68" s="536"/>
      <c r="G68" s="536"/>
      <c r="H68" s="536"/>
      <c r="I68" s="536"/>
    </row>
    <row r="69" spans="1:9" ht="16.5" customHeight="1">
      <c r="A69" s="546" t="s">
        <v>4369</v>
      </c>
      <c r="B69" s="536"/>
      <c r="C69" s="536"/>
      <c r="D69" s="536"/>
      <c r="E69" s="536"/>
      <c r="F69" s="536"/>
      <c r="G69" s="536"/>
      <c r="H69" s="536"/>
      <c r="I69" s="536"/>
    </row>
    <row r="70" spans="1:9" ht="16.5" customHeight="1">
      <c r="A70" s="546" t="s">
        <v>5837</v>
      </c>
      <c r="B70" s="536"/>
      <c r="C70" s="536"/>
      <c r="D70" s="536"/>
      <c r="E70" s="536"/>
      <c r="F70" s="536"/>
      <c r="G70" s="536"/>
      <c r="H70" s="536"/>
      <c r="I70" s="536"/>
    </row>
    <row r="71" spans="1:9" ht="16.5" customHeight="1">
      <c r="A71" s="537" t="s">
        <v>5835</v>
      </c>
      <c r="B71" s="536"/>
      <c r="C71" s="536"/>
      <c r="D71" s="536"/>
      <c r="E71" s="536"/>
      <c r="F71" s="536"/>
      <c r="G71" s="536"/>
      <c r="H71" s="536"/>
      <c r="I71" s="536"/>
    </row>
    <row r="72" spans="1:9" ht="16.5" customHeight="1">
      <c r="A72" s="537" t="s">
        <v>5836</v>
      </c>
      <c r="B72" s="536"/>
      <c r="C72" s="536"/>
      <c r="D72" s="536"/>
      <c r="E72" s="536"/>
      <c r="F72" s="536"/>
      <c r="G72" s="536"/>
      <c r="H72" s="536"/>
      <c r="I72" s="536"/>
    </row>
    <row r="73" spans="1:9" ht="16.5" customHeight="1">
      <c r="A73" s="546" t="s">
        <v>4370</v>
      </c>
      <c r="B73" s="536"/>
      <c r="C73" s="536"/>
      <c r="D73" s="536"/>
      <c r="E73" s="536"/>
      <c r="F73" s="536"/>
      <c r="G73" s="536"/>
      <c r="H73" s="536"/>
      <c r="I73" s="536"/>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topLeftCell="A19" workbookViewId="0">
      <selection activeCell="B13" sqref="B13"/>
    </sheetView>
  </sheetViews>
  <sheetFormatPr defaultRowHeight="14.15"/>
  <cols>
    <col min="1" max="1" width="19.2109375" bestFit="1" customWidth="1"/>
    <col min="2" max="2" width="155.5" bestFit="1" customWidth="1"/>
    <col min="3" max="3" width="164.7109375" customWidth="1"/>
  </cols>
  <sheetData>
    <row r="1" spans="1:3" ht="17.600000000000001">
      <c r="A1" s="548" t="s">
        <v>4371</v>
      </c>
      <c r="B1" s="548" t="s">
        <v>4372</v>
      </c>
      <c r="C1" s="548" t="s">
        <v>4373</v>
      </c>
    </row>
    <row r="2" spans="1:3">
      <c r="A2" s="549" t="s">
        <v>4374</v>
      </c>
      <c r="B2" s="70" t="s">
        <v>4375</v>
      </c>
      <c r="C2" s="70" t="s">
        <v>4376</v>
      </c>
    </row>
    <row r="3" spans="1:3">
      <c r="A3" s="549" t="s">
        <v>4377</v>
      </c>
      <c r="B3" s="70" t="s">
        <v>4378</v>
      </c>
      <c r="C3" s="70" t="s">
        <v>4379</v>
      </c>
    </row>
    <row r="4" spans="1:3">
      <c r="A4" s="549" t="s">
        <v>4380</v>
      </c>
      <c r="B4" s="70" t="s">
        <v>4381</v>
      </c>
      <c r="C4" s="70" t="s">
        <v>4382</v>
      </c>
    </row>
    <row r="5" spans="1:3" s="39" customFormat="1">
      <c r="A5" s="749" t="s">
        <v>5843</v>
      </c>
      <c r="B5" s="748" t="s">
        <v>5845</v>
      </c>
      <c r="C5" s="748" t="s">
        <v>5844</v>
      </c>
    </row>
    <row r="6" spans="1:3">
      <c r="A6" s="550" t="s">
        <v>4383</v>
      </c>
      <c r="B6" s="748" t="s">
        <v>5846</v>
      </c>
      <c r="C6" s="70" t="s">
        <v>4384</v>
      </c>
    </row>
    <row r="7" spans="1:3">
      <c r="A7" s="550" t="s">
        <v>4385</v>
      </c>
      <c r="B7" s="70" t="s">
        <v>4386</v>
      </c>
      <c r="C7" s="70" t="s">
        <v>4387</v>
      </c>
    </row>
    <row r="8" spans="1:3">
      <c r="A8" s="550" t="s">
        <v>4388</v>
      </c>
      <c r="B8" s="70" t="s">
        <v>4389</v>
      </c>
      <c r="C8" s="70" t="s">
        <v>4390</v>
      </c>
    </row>
    <row r="9" spans="1:3">
      <c r="A9" s="550" t="s">
        <v>4391</v>
      </c>
      <c r="B9" s="70" t="s">
        <v>4392</v>
      </c>
      <c r="C9" s="70" t="s">
        <v>4393</v>
      </c>
    </row>
    <row r="10" spans="1:3">
      <c r="A10" s="550" t="s">
        <v>4394</v>
      </c>
      <c r="B10" s="70" t="s">
        <v>4395</v>
      </c>
      <c r="C10" s="70" t="s">
        <v>4396</v>
      </c>
    </row>
    <row r="11" spans="1:3">
      <c r="A11" s="551" t="s">
        <v>4397</v>
      </c>
      <c r="B11" s="70" t="s">
        <v>6546</v>
      </c>
      <c r="C11" s="70" t="s">
        <v>4398</v>
      </c>
    </row>
    <row r="12" spans="1:3">
      <c r="A12" s="551" t="s">
        <v>4399</v>
      </c>
      <c r="B12" s="70" t="s">
        <v>4400</v>
      </c>
      <c r="C12" s="70" t="s">
        <v>4401</v>
      </c>
    </row>
    <row r="13" spans="1:3">
      <c r="A13" s="551" t="s">
        <v>4402</v>
      </c>
      <c r="B13" s="70" t="s">
        <v>4403</v>
      </c>
      <c r="C13" s="70" t="s">
        <v>4404</v>
      </c>
    </row>
    <row r="14" spans="1:3">
      <c r="A14" s="551" t="s">
        <v>4405</v>
      </c>
      <c r="B14" s="70" t="s">
        <v>4406</v>
      </c>
      <c r="C14" s="70" t="s">
        <v>4407</v>
      </c>
    </row>
    <row r="15" spans="1:3">
      <c r="A15" s="551" t="s">
        <v>4408</v>
      </c>
      <c r="B15" s="70" t="s">
        <v>4409</v>
      </c>
      <c r="C15" s="70" t="s">
        <v>4410</v>
      </c>
    </row>
    <row r="16" spans="1:3">
      <c r="A16" s="552" t="s">
        <v>4411</v>
      </c>
      <c r="B16" s="70" t="s">
        <v>4412</v>
      </c>
      <c r="C16" s="70" t="s">
        <v>4413</v>
      </c>
    </row>
    <row r="17" spans="1:3">
      <c r="A17" s="552" t="s">
        <v>4414</v>
      </c>
      <c r="B17" s="70" t="s">
        <v>4415</v>
      </c>
      <c r="C17" s="70" t="s">
        <v>4416</v>
      </c>
    </row>
    <row r="18" spans="1:3">
      <c r="A18" s="552" t="s">
        <v>4417</v>
      </c>
      <c r="B18" s="70" t="s">
        <v>4418</v>
      </c>
      <c r="C18" s="70" t="s">
        <v>4419</v>
      </c>
    </row>
    <row r="19" spans="1:3">
      <c r="A19" s="552" t="s">
        <v>4420</v>
      </c>
      <c r="B19" s="70" t="s">
        <v>4421</v>
      </c>
      <c r="C19" s="70" t="s">
        <v>4422</v>
      </c>
    </row>
    <row r="20" spans="1:3">
      <c r="A20" s="552" t="s">
        <v>4423</v>
      </c>
      <c r="B20" s="70" t="s">
        <v>4424</v>
      </c>
      <c r="C20" s="70" t="s">
        <v>4425</v>
      </c>
    </row>
    <row r="21" spans="1:3">
      <c r="A21" s="552" t="s">
        <v>4426</v>
      </c>
      <c r="B21" s="70" t="s">
        <v>4427</v>
      </c>
      <c r="C21" s="70" t="s">
        <v>4428</v>
      </c>
    </row>
    <row r="22" spans="1:3">
      <c r="A22" s="552" t="s">
        <v>4429</v>
      </c>
      <c r="B22" s="70" t="s">
        <v>4430</v>
      </c>
      <c r="C22" s="553"/>
    </row>
    <row r="23" spans="1:3">
      <c r="A23" s="552" t="s">
        <v>4431</v>
      </c>
      <c r="B23" s="70" t="s">
        <v>4432</v>
      </c>
      <c r="C23" s="70" t="s">
        <v>4433</v>
      </c>
    </row>
    <row r="24" spans="1:3">
      <c r="A24" s="552" t="s">
        <v>4434</v>
      </c>
      <c r="B24" s="70" t="s">
        <v>4435</v>
      </c>
      <c r="C24" s="70" t="s">
        <v>4436</v>
      </c>
    </row>
    <row r="25" spans="1:3">
      <c r="A25" s="554" t="s">
        <v>4437</v>
      </c>
      <c r="B25" s="70" t="s">
        <v>4438</v>
      </c>
      <c r="C25" s="70" t="s">
        <v>4439</v>
      </c>
    </row>
    <row r="26" spans="1:3">
      <c r="A26" s="554" t="s">
        <v>4440</v>
      </c>
      <c r="B26" s="70" t="s">
        <v>4441</v>
      </c>
      <c r="C26" s="70" t="s">
        <v>4442</v>
      </c>
    </row>
    <row r="27" spans="1:3">
      <c r="A27" s="555" t="s">
        <v>4443</v>
      </c>
      <c r="B27" s="70" t="s">
        <v>4444</v>
      </c>
      <c r="C27" s="70" t="s">
        <v>4445</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C16" sqref="C16"/>
    </sheetView>
  </sheetViews>
  <sheetFormatPr defaultRowHeight="14.15"/>
  <cols>
    <col min="1" max="1" width="25.7109375" customWidth="1"/>
    <col min="2" max="2" width="21.35546875" customWidth="1"/>
    <col min="3" max="3" width="52.85546875" customWidth="1"/>
  </cols>
  <sheetData>
    <row r="1" spans="1:3">
      <c r="A1" s="556" t="s">
        <v>3438</v>
      </c>
      <c r="B1" s="557" t="s">
        <v>4446</v>
      </c>
      <c r="C1" s="558" t="s">
        <v>4447</v>
      </c>
    </row>
    <row r="2" spans="1:3">
      <c r="A2" t="s">
        <v>4448</v>
      </c>
      <c r="B2" t="s">
        <v>4329</v>
      </c>
      <c r="C2" s="534" t="s">
        <v>4449</v>
      </c>
    </row>
    <row r="3" spans="1:3">
      <c r="A3" t="s">
        <v>4450</v>
      </c>
      <c r="B3" t="s">
        <v>4329</v>
      </c>
      <c r="C3" s="747" t="s">
        <v>5842</v>
      </c>
    </row>
    <row r="4" spans="1:3">
      <c r="A4" t="s">
        <v>4451</v>
      </c>
      <c r="B4" t="s">
        <v>4329</v>
      </c>
      <c r="C4" t="s">
        <v>4449</v>
      </c>
    </row>
    <row r="5" spans="1:3">
      <c r="A5" t="s">
        <v>4452</v>
      </c>
      <c r="B5" t="s">
        <v>4453</v>
      </c>
      <c r="C5" s="534" t="s">
        <v>4449</v>
      </c>
    </row>
    <row r="6" spans="1:3" ht="15">
      <c r="A6" s="65" t="s">
        <v>4454</v>
      </c>
      <c r="B6" t="s">
        <v>3526</v>
      </c>
    </row>
    <row r="7" spans="1:3" ht="15">
      <c r="A7" s="559" t="s">
        <v>4455</v>
      </c>
      <c r="B7" t="s">
        <v>3528</v>
      </c>
    </row>
    <row r="8" spans="1:3" ht="15">
      <c r="A8" s="65" t="s">
        <v>4456</v>
      </c>
      <c r="B8" t="s">
        <v>3530</v>
      </c>
    </row>
    <row r="9" spans="1:3" ht="15">
      <c r="A9" s="65" t="s">
        <v>4457</v>
      </c>
      <c r="B9" t="s">
        <v>3531</v>
      </c>
    </row>
    <row r="10" spans="1:3" ht="15">
      <c r="A10" s="65" t="s">
        <v>4458</v>
      </c>
      <c r="B10" t="s">
        <v>3533</v>
      </c>
    </row>
    <row r="11" spans="1:3" ht="15">
      <c r="A11" s="65" t="s">
        <v>4459</v>
      </c>
      <c r="B11" t="s">
        <v>3535</v>
      </c>
    </row>
    <row r="12" spans="1:3" ht="15">
      <c r="A12" s="65" t="s">
        <v>4460</v>
      </c>
      <c r="B12" t="s">
        <v>4461</v>
      </c>
    </row>
    <row r="13" spans="1:3" ht="15">
      <c r="A13" s="65" t="s">
        <v>4462</v>
      </c>
      <c r="B13" t="s">
        <v>3538</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6"/>
  <sheetViews>
    <sheetView topLeftCell="A7" workbookViewId="0">
      <selection activeCell="B37" sqref="B37:C37"/>
    </sheetView>
  </sheetViews>
  <sheetFormatPr defaultRowHeight="14.15"/>
  <cols>
    <col min="1" max="1" width="16.35546875" customWidth="1"/>
    <col min="2" max="2" width="226.85546875" bestFit="1" customWidth="1"/>
    <col min="3" max="3" width="62.640625" customWidth="1"/>
  </cols>
  <sheetData>
    <row r="1" spans="1:3" s="1" customFormat="1" ht="16.5" customHeight="1">
      <c r="A1" s="560" t="s">
        <v>4463</v>
      </c>
      <c r="B1" s="871"/>
      <c r="C1" s="871"/>
    </row>
    <row r="2" spans="1:3" s="1" customFormat="1" ht="16.5" customHeight="1">
      <c r="A2" s="561" t="s">
        <v>4464</v>
      </c>
      <c r="B2" s="873" t="s">
        <v>4465</v>
      </c>
      <c r="C2" s="873"/>
    </row>
    <row r="3" spans="1:3" s="1" customFormat="1" ht="16.5" customHeight="1">
      <c r="A3" s="562" t="s">
        <v>1294</v>
      </c>
      <c r="B3" s="867" t="s">
        <v>4466</v>
      </c>
      <c r="C3" s="867"/>
    </row>
    <row r="4" spans="1:3" s="1" customFormat="1" ht="16.5" customHeight="1">
      <c r="A4" s="562" t="s">
        <v>1294</v>
      </c>
      <c r="B4" s="867" t="s">
        <v>4467</v>
      </c>
      <c r="C4" s="867"/>
    </row>
    <row r="5" spans="1:3" s="1" customFormat="1" ht="16.5" customHeight="1">
      <c r="A5" s="563" t="s">
        <v>1989</v>
      </c>
      <c r="B5" s="868" t="s">
        <v>4468</v>
      </c>
      <c r="C5" s="868"/>
    </row>
    <row r="6" spans="1:3" s="1" customFormat="1" ht="16.5" customHeight="1">
      <c r="A6" s="563" t="s">
        <v>1989</v>
      </c>
      <c r="B6" s="868" t="s">
        <v>4469</v>
      </c>
      <c r="C6" s="868"/>
    </row>
    <row r="7" spans="1:3" s="1" customFormat="1" ht="16.5" customHeight="1">
      <c r="A7" s="564" t="s">
        <v>2000</v>
      </c>
      <c r="B7" s="869" t="s">
        <v>4470</v>
      </c>
      <c r="C7" s="869"/>
    </row>
    <row r="8" spans="1:3" s="1" customFormat="1" ht="16.5" customHeight="1">
      <c r="A8" s="564" t="s">
        <v>2000</v>
      </c>
      <c r="B8" s="869" t="s">
        <v>4471</v>
      </c>
      <c r="C8" s="869"/>
    </row>
    <row r="9" spans="1:3" s="1" customFormat="1" ht="16.5" customHeight="1">
      <c r="A9" s="565" t="s">
        <v>2011</v>
      </c>
      <c r="B9" s="870" t="s">
        <v>4472</v>
      </c>
      <c r="C9" s="870"/>
    </row>
    <row r="10" spans="1:3" s="1" customFormat="1" ht="16.5" customHeight="1">
      <c r="A10" s="565" t="s">
        <v>2011</v>
      </c>
      <c r="B10" s="870" t="s">
        <v>4473</v>
      </c>
      <c r="C10" s="870"/>
    </row>
    <row r="11" spans="1:3" s="1" customFormat="1" ht="16.5" customHeight="1">
      <c r="A11" s="2"/>
      <c r="B11" s="871"/>
      <c r="C11" s="871"/>
    </row>
    <row r="12" spans="1:3" s="1" customFormat="1" ht="16.5" customHeight="1">
      <c r="A12" s="566" t="s">
        <v>4474</v>
      </c>
      <c r="B12" s="884"/>
      <c r="C12" s="884"/>
    </row>
    <row r="13" spans="1:3" s="1" customFormat="1" ht="16.5" customHeight="1">
      <c r="A13" s="561" t="s">
        <v>4464</v>
      </c>
      <c r="B13" s="873" t="s">
        <v>4475</v>
      </c>
      <c r="C13" s="873"/>
    </row>
    <row r="14" spans="1:3" s="1" customFormat="1" ht="16.5" customHeight="1">
      <c r="A14" s="562" t="s">
        <v>1294</v>
      </c>
      <c r="B14" s="867" t="s">
        <v>4476</v>
      </c>
      <c r="C14" s="867"/>
    </row>
    <row r="15" spans="1:3" s="1" customFormat="1" ht="16.5" customHeight="1">
      <c r="A15" s="562" t="s">
        <v>1294</v>
      </c>
      <c r="B15" s="867" t="s">
        <v>4477</v>
      </c>
      <c r="C15" s="867"/>
    </row>
    <row r="16" spans="1:3" s="1" customFormat="1" ht="16.5" customHeight="1">
      <c r="A16" s="563" t="s">
        <v>1989</v>
      </c>
      <c r="B16" s="868" t="s">
        <v>4478</v>
      </c>
      <c r="C16" s="868"/>
    </row>
    <row r="17" spans="1:3" s="1" customFormat="1" ht="16.5" customHeight="1">
      <c r="A17" s="563" t="s">
        <v>1989</v>
      </c>
      <c r="B17" s="868" t="s">
        <v>4479</v>
      </c>
      <c r="C17" s="868"/>
    </row>
    <row r="18" spans="1:3" s="1" customFormat="1" ht="16.5" customHeight="1">
      <c r="A18" s="564" t="s">
        <v>2000</v>
      </c>
      <c r="B18" s="869" t="s">
        <v>4480</v>
      </c>
      <c r="C18" s="869"/>
    </row>
    <row r="19" spans="1:3" s="1" customFormat="1" ht="16.5" customHeight="1">
      <c r="A19" s="564" t="s">
        <v>2000</v>
      </c>
      <c r="B19" s="869" t="s">
        <v>4481</v>
      </c>
      <c r="C19" s="869"/>
    </row>
    <row r="20" spans="1:3" s="1" customFormat="1" ht="16.5" customHeight="1">
      <c r="A20" s="565" t="s">
        <v>2011</v>
      </c>
      <c r="B20" s="870" t="s">
        <v>4482</v>
      </c>
      <c r="C20" s="870"/>
    </row>
    <row r="21" spans="1:3" s="1" customFormat="1" ht="16.5" customHeight="1">
      <c r="A21" s="565" t="s">
        <v>2011</v>
      </c>
      <c r="B21" s="882" t="s">
        <v>5949</v>
      </c>
      <c r="C21" s="870"/>
    </row>
    <row r="22" spans="1:3" s="1" customFormat="1" ht="16.5" customHeight="1">
      <c r="A22" s="3"/>
      <c r="B22" s="871"/>
      <c r="C22" s="871"/>
    </row>
    <row r="23" spans="1:3" s="1" customFormat="1" ht="16.5" customHeight="1">
      <c r="A23" s="567" t="s">
        <v>4483</v>
      </c>
      <c r="B23" s="883"/>
      <c r="C23" s="883"/>
    </row>
    <row r="24" spans="1:3" s="1" customFormat="1" ht="16.5" customHeight="1">
      <c r="A24" s="561" t="s">
        <v>4464</v>
      </c>
      <c r="B24" s="873" t="s">
        <v>4484</v>
      </c>
      <c r="C24" s="873"/>
    </row>
    <row r="25" spans="1:3" s="1" customFormat="1" ht="16.5" customHeight="1">
      <c r="A25" s="562" t="s">
        <v>1294</v>
      </c>
      <c r="B25" s="867" t="s">
        <v>4485</v>
      </c>
      <c r="C25" s="867"/>
    </row>
    <row r="26" spans="1:3" s="1" customFormat="1" ht="16.5" customHeight="1">
      <c r="A26" s="562" t="s">
        <v>1294</v>
      </c>
      <c r="B26" s="867" t="s">
        <v>5952</v>
      </c>
      <c r="C26" s="867"/>
    </row>
    <row r="27" spans="1:3" s="1" customFormat="1" ht="16.5" customHeight="1">
      <c r="A27" s="563" t="s">
        <v>1989</v>
      </c>
      <c r="B27" s="868" t="s">
        <v>4486</v>
      </c>
      <c r="C27" s="868"/>
    </row>
    <row r="28" spans="1:3" s="1" customFormat="1" ht="16.5" customHeight="1">
      <c r="A28" s="563" t="s">
        <v>1989</v>
      </c>
      <c r="B28" s="868" t="s">
        <v>4487</v>
      </c>
      <c r="C28" s="868"/>
    </row>
    <row r="29" spans="1:3" s="1" customFormat="1" ht="16.5" customHeight="1">
      <c r="A29" s="564" t="s">
        <v>2000</v>
      </c>
      <c r="B29" s="869" t="s">
        <v>4488</v>
      </c>
      <c r="C29" s="869"/>
    </row>
    <row r="30" spans="1:3" s="1" customFormat="1" ht="16.5" customHeight="1">
      <c r="A30" s="564" t="s">
        <v>2000</v>
      </c>
      <c r="B30" s="869" t="s">
        <v>4489</v>
      </c>
      <c r="C30" s="869"/>
    </row>
    <row r="31" spans="1:3" s="1" customFormat="1" ht="16.5" customHeight="1">
      <c r="A31" s="565" t="s">
        <v>2011</v>
      </c>
      <c r="B31" s="870" t="s">
        <v>5950</v>
      </c>
      <c r="C31" s="870"/>
    </row>
    <row r="32" spans="1:3" s="1" customFormat="1" ht="16.5" customHeight="1">
      <c r="A32" s="565" t="s">
        <v>2011</v>
      </c>
      <c r="B32" s="870" t="s">
        <v>5951</v>
      </c>
      <c r="C32" s="870"/>
    </row>
    <row r="33" spans="1:3" s="1" customFormat="1" ht="16.5" customHeight="1">
      <c r="A33" s="3"/>
      <c r="B33" s="871"/>
      <c r="C33" s="871"/>
    </row>
    <row r="34" spans="1:3" s="1" customFormat="1" ht="16.5" customHeight="1">
      <c r="A34" s="568" t="s">
        <v>4490</v>
      </c>
      <c r="B34" s="881"/>
      <c r="C34" s="881"/>
    </row>
    <row r="35" spans="1:3" s="1" customFormat="1" ht="16.5" customHeight="1">
      <c r="A35" s="561" t="s">
        <v>4464</v>
      </c>
      <c r="B35" s="873" t="s">
        <v>4491</v>
      </c>
      <c r="C35" s="873"/>
    </row>
    <row r="36" spans="1:3" s="1" customFormat="1" ht="16.5" customHeight="1">
      <c r="A36" s="562" t="s">
        <v>1294</v>
      </c>
      <c r="B36" s="867" t="s">
        <v>4492</v>
      </c>
      <c r="C36" s="867"/>
    </row>
    <row r="37" spans="1:3" s="1" customFormat="1" ht="16.5" customHeight="1">
      <c r="A37" s="562" t="s">
        <v>1294</v>
      </c>
      <c r="B37" s="867" t="s">
        <v>5956</v>
      </c>
      <c r="C37" s="867"/>
    </row>
    <row r="38" spans="1:3" s="1" customFormat="1" ht="16.5" customHeight="1">
      <c r="A38" s="563" t="s">
        <v>1989</v>
      </c>
      <c r="B38" s="868" t="s">
        <v>4493</v>
      </c>
      <c r="C38" s="868"/>
    </row>
    <row r="39" spans="1:3" s="1" customFormat="1" ht="16.5" customHeight="1">
      <c r="A39" s="563" t="s">
        <v>1989</v>
      </c>
      <c r="B39" s="868" t="s">
        <v>4494</v>
      </c>
      <c r="C39" s="868"/>
    </row>
    <row r="40" spans="1:3" s="1" customFormat="1" ht="16.5" customHeight="1">
      <c r="A40" s="564" t="s">
        <v>2000</v>
      </c>
      <c r="B40" s="869" t="s">
        <v>4495</v>
      </c>
      <c r="C40" s="869"/>
    </row>
    <row r="41" spans="1:3" s="1" customFormat="1" ht="16.5" customHeight="1">
      <c r="A41" s="564" t="s">
        <v>2000</v>
      </c>
      <c r="B41" s="869" t="s">
        <v>4496</v>
      </c>
      <c r="C41" s="869"/>
    </row>
    <row r="42" spans="1:3" s="1" customFormat="1" ht="16.5" customHeight="1">
      <c r="A42" s="565" t="s">
        <v>2011</v>
      </c>
      <c r="B42" s="870" t="s">
        <v>4497</v>
      </c>
      <c r="C42" s="870"/>
    </row>
    <row r="43" spans="1:3" s="1" customFormat="1" ht="16.5" customHeight="1">
      <c r="A43" s="565" t="s">
        <v>2011</v>
      </c>
      <c r="B43" s="870" t="s">
        <v>4498</v>
      </c>
      <c r="C43" s="870"/>
    </row>
    <row r="44" spans="1:3" s="1" customFormat="1" ht="16.5" customHeight="1">
      <c r="A44" s="2"/>
      <c r="B44" s="871"/>
      <c r="C44" s="871"/>
    </row>
    <row r="45" spans="1:3" s="1" customFormat="1" ht="16.5" customHeight="1">
      <c r="A45" s="569" t="s">
        <v>4499</v>
      </c>
      <c r="B45" s="879"/>
      <c r="C45" s="880"/>
    </row>
    <row r="46" spans="1:3" s="1" customFormat="1" ht="16.5" customHeight="1">
      <c r="A46" s="561" t="s">
        <v>4464</v>
      </c>
      <c r="B46" s="873" t="s">
        <v>4500</v>
      </c>
      <c r="C46" s="873"/>
    </row>
    <row r="47" spans="1:3" s="1" customFormat="1" ht="16.5" customHeight="1">
      <c r="A47" s="562" t="s">
        <v>1294</v>
      </c>
      <c r="B47" s="867" t="s">
        <v>4501</v>
      </c>
      <c r="C47" s="867"/>
    </row>
    <row r="48" spans="1:3" s="1" customFormat="1" ht="16.5" customHeight="1">
      <c r="A48" s="562" t="s">
        <v>1294</v>
      </c>
      <c r="B48" s="867" t="s">
        <v>4502</v>
      </c>
      <c r="C48" s="867"/>
    </row>
    <row r="49" spans="1:3" s="1" customFormat="1" ht="16.5" customHeight="1">
      <c r="A49" s="563" t="s">
        <v>1989</v>
      </c>
      <c r="B49" s="868" t="s">
        <v>4503</v>
      </c>
      <c r="C49" s="868"/>
    </row>
    <row r="50" spans="1:3" s="1" customFormat="1" ht="16.5" customHeight="1">
      <c r="A50" s="563" t="s">
        <v>1989</v>
      </c>
      <c r="B50" s="868" t="s">
        <v>4504</v>
      </c>
      <c r="C50" s="868"/>
    </row>
    <row r="51" spans="1:3" s="1" customFormat="1" ht="16.5" customHeight="1">
      <c r="A51" s="564" t="s">
        <v>2000</v>
      </c>
      <c r="B51" s="869" t="s">
        <v>4505</v>
      </c>
      <c r="C51" s="869"/>
    </row>
    <row r="52" spans="1:3" s="1" customFormat="1" ht="16.5" customHeight="1">
      <c r="A52" s="564" t="s">
        <v>2000</v>
      </c>
      <c r="B52" s="869" t="s">
        <v>4506</v>
      </c>
      <c r="C52" s="869"/>
    </row>
    <row r="53" spans="1:3" s="1" customFormat="1" ht="16.5" customHeight="1">
      <c r="A53" s="565" t="s">
        <v>2011</v>
      </c>
      <c r="B53" s="870" t="s">
        <v>4507</v>
      </c>
      <c r="C53" s="870"/>
    </row>
    <row r="54" spans="1:3" s="1" customFormat="1" ht="16.5" customHeight="1">
      <c r="A54" s="565" t="s">
        <v>2011</v>
      </c>
      <c r="B54" s="870" t="s">
        <v>4508</v>
      </c>
      <c r="C54" s="870"/>
    </row>
    <row r="55" spans="1:3" s="1" customFormat="1" ht="16.5" customHeight="1">
      <c r="A55" s="2"/>
      <c r="B55" s="877"/>
      <c r="C55" s="877"/>
    </row>
    <row r="56" spans="1:3" s="1" customFormat="1" ht="16.5" customHeight="1">
      <c r="A56" s="570" t="s">
        <v>4509</v>
      </c>
      <c r="B56" s="878"/>
      <c r="C56" s="878"/>
    </row>
    <row r="57" spans="1:3" s="1" customFormat="1" ht="16.5" customHeight="1">
      <c r="A57" s="561" t="s">
        <v>4464</v>
      </c>
      <c r="B57" s="873" t="s">
        <v>4510</v>
      </c>
      <c r="C57" s="873"/>
    </row>
    <row r="58" spans="1:3" s="1" customFormat="1" ht="16.5" customHeight="1">
      <c r="A58" s="562" t="s">
        <v>1294</v>
      </c>
      <c r="B58" s="867" t="s">
        <v>4511</v>
      </c>
      <c r="C58" s="867"/>
    </row>
    <row r="59" spans="1:3" s="1" customFormat="1" ht="16.5" customHeight="1">
      <c r="A59" s="562" t="s">
        <v>1294</v>
      </c>
      <c r="B59" s="867" t="s">
        <v>4512</v>
      </c>
      <c r="C59" s="867"/>
    </row>
    <row r="60" spans="1:3" s="1" customFormat="1" ht="16.5" customHeight="1">
      <c r="A60" s="563" t="s">
        <v>1989</v>
      </c>
      <c r="B60" s="868" t="s">
        <v>4513</v>
      </c>
      <c r="C60" s="868"/>
    </row>
    <row r="61" spans="1:3" s="1" customFormat="1" ht="16.5" customHeight="1">
      <c r="A61" s="563" t="s">
        <v>1989</v>
      </c>
      <c r="B61" s="868" t="s">
        <v>4514</v>
      </c>
      <c r="C61" s="868"/>
    </row>
    <row r="62" spans="1:3" s="1" customFormat="1" ht="16.5" customHeight="1">
      <c r="A62" s="564" t="s">
        <v>2000</v>
      </c>
      <c r="B62" s="869" t="s">
        <v>4515</v>
      </c>
      <c r="C62" s="869"/>
    </row>
    <row r="63" spans="1:3" s="1" customFormat="1" ht="16.5" customHeight="1">
      <c r="A63" s="564" t="s">
        <v>2000</v>
      </c>
      <c r="B63" s="869" t="s">
        <v>4516</v>
      </c>
      <c r="C63" s="869"/>
    </row>
    <row r="64" spans="1:3" s="1" customFormat="1" ht="16.5" customHeight="1">
      <c r="A64" s="565" t="s">
        <v>2011</v>
      </c>
      <c r="B64" s="870" t="s">
        <v>4517</v>
      </c>
      <c r="C64" s="870"/>
    </row>
    <row r="65" spans="1:3" s="1" customFormat="1" ht="16.5" customHeight="1">
      <c r="A65" s="565" t="s">
        <v>2011</v>
      </c>
      <c r="B65" s="870" t="s">
        <v>4518</v>
      </c>
      <c r="C65" s="870"/>
    </row>
    <row r="66" spans="1:3" s="1" customFormat="1" ht="16.5" customHeight="1">
      <c r="A66" s="3"/>
      <c r="B66" s="875"/>
      <c r="C66" s="875"/>
    </row>
    <row r="67" spans="1:3" s="1" customFormat="1" ht="16.5" customHeight="1">
      <c r="A67" s="571" t="s">
        <v>4519</v>
      </c>
      <c r="B67" s="876"/>
      <c r="C67" s="876"/>
    </row>
    <row r="68" spans="1:3" s="1" customFormat="1" ht="16.5" customHeight="1">
      <c r="A68" s="561" t="s">
        <v>4464</v>
      </c>
      <c r="B68" s="873" t="s">
        <v>4520</v>
      </c>
      <c r="C68" s="873"/>
    </row>
    <row r="69" spans="1:3" s="1" customFormat="1" ht="16.5" customHeight="1">
      <c r="A69" s="562" t="s">
        <v>1294</v>
      </c>
      <c r="B69" s="867" t="s">
        <v>4521</v>
      </c>
      <c r="C69" s="867"/>
    </row>
    <row r="70" spans="1:3" s="1" customFormat="1" ht="16.5" customHeight="1">
      <c r="A70" s="562" t="s">
        <v>1294</v>
      </c>
      <c r="B70" s="867" t="s">
        <v>4522</v>
      </c>
      <c r="C70" s="867"/>
    </row>
    <row r="71" spans="1:3" s="1" customFormat="1" ht="16.5" customHeight="1">
      <c r="A71" s="563" t="s">
        <v>1989</v>
      </c>
      <c r="B71" s="868" t="s">
        <v>4523</v>
      </c>
      <c r="C71" s="868"/>
    </row>
    <row r="72" spans="1:3" s="1" customFormat="1" ht="16.5" customHeight="1">
      <c r="A72" s="563" t="s">
        <v>1989</v>
      </c>
      <c r="B72" s="868" t="s">
        <v>4524</v>
      </c>
      <c r="C72" s="868"/>
    </row>
    <row r="73" spans="1:3" s="1" customFormat="1" ht="16.5" customHeight="1">
      <c r="A73" s="564" t="s">
        <v>2000</v>
      </c>
      <c r="B73" s="869" t="s">
        <v>4525</v>
      </c>
      <c r="C73" s="869"/>
    </row>
    <row r="74" spans="1:3" s="1" customFormat="1" ht="16.5" customHeight="1">
      <c r="A74" s="564" t="s">
        <v>2000</v>
      </c>
      <c r="B74" s="869" t="s">
        <v>4526</v>
      </c>
      <c r="C74" s="869"/>
    </row>
    <row r="75" spans="1:3" s="1" customFormat="1" ht="16.5" customHeight="1">
      <c r="A75" s="565" t="s">
        <v>2011</v>
      </c>
      <c r="B75" s="870" t="s">
        <v>4527</v>
      </c>
      <c r="C75" s="870"/>
    </row>
    <row r="76" spans="1:3" s="1" customFormat="1" ht="16.5" customHeight="1">
      <c r="A76" s="565" t="s">
        <v>2011</v>
      </c>
      <c r="B76" s="870" t="s">
        <v>4528</v>
      </c>
      <c r="C76" s="870"/>
    </row>
    <row r="77" spans="1:3" s="1" customFormat="1" ht="16.5" customHeight="1">
      <c r="A77" s="2"/>
      <c r="B77" s="871"/>
      <c r="C77" s="871"/>
    </row>
    <row r="78" spans="1:3" s="1" customFormat="1" ht="16.5" customHeight="1">
      <c r="A78" s="572" t="s">
        <v>4529</v>
      </c>
      <c r="B78" s="874"/>
      <c r="C78" s="874"/>
    </row>
    <row r="79" spans="1:3" s="1" customFormat="1" ht="16.5" customHeight="1">
      <c r="A79" s="561" t="s">
        <v>4464</v>
      </c>
      <c r="B79" s="873" t="s">
        <v>4530</v>
      </c>
      <c r="C79" s="873"/>
    </row>
    <row r="80" spans="1:3" s="1" customFormat="1" ht="16.5" customHeight="1">
      <c r="A80" s="562" t="s">
        <v>1294</v>
      </c>
      <c r="B80" s="867" t="s">
        <v>4531</v>
      </c>
      <c r="C80" s="867"/>
    </row>
    <row r="81" spans="1:3" s="1" customFormat="1" ht="16.5" customHeight="1">
      <c r="A81" s="562" t="s">
        <v>1294</v>
      </c>
      <c r="B81" s="867" t="s">
        <v>4532</v>
      </c>
      <c r="C81" s="867"/>
    </row>
    <row r="82" spans="1:3" s="1" customFormat="1" ht="16.5" customHeight="1">
      <c r="A82" s="563" t="s">
        <v>1989</v>
      </c>
      <c r="B82" s="868" t="s">
        <v>4533</v>
      </c>
      <c r="C82" s="868"/>
    </row>
    <row r="83" spans="1:3" s="1" customFormat="1" ht="16.5" customHeight="1">
      <c r="A83" s="563" t="s">
        <v>1989</v>
      </c>
      <c r="B83" s="868" t="s">
        <v>4534</v>
      </c>
      <c r="C83" s="868"/>
    </row>
    <row r="84" spans="1:3" s="1" customFormat="1" ht="16.5" customHeight="1">
      <c r="A84" s="564" t="s">
        <v>2000</v>
      </c>
      <c r="B84" s="869" t="s">
        <v>4535</v>
      </c>
      <c r="C84" s="869"/>
    </row>
    <row r="85" spans="1:3" s="1" customFormat="1" ht="16.5" customHeight="1">
      <c r="A85" s="564" t="s">
        <v>2000</v>
      </c>
      <c r="B85" s="869" t="s">
        <v>4536</v>
      </c>
      <c r="C85" s="869"/>
    </row>
    <row r="86" spans="1:3" s="1" customFormat="1" ht="16.5" customHeight="1">
      <c r="A86" s="565" t="s">
        <v>2011</v>
      </c>
      <c r="B86" s="870" t="s">
        <v>4537</v>
      </c>
      <c r="C86" s="870"/>
    </row>
    <row r="87" spans="1:3" s="1" customFormat="1" ht="16.5" customHeight="1">
      <c r="A87" s="565" t="s">
        <v>2011</v>
      </c>
      <c r="B87" s="870" t="s">
        <v>4538</v>
      </c>
      <c r="C87" s="870"/>
    </row>
    <row r="88" spans="1:3" s="1" customFormat="1" ht="16.5" customHeight="1">
      <c r="A88" s="2"/>
      <c r="B88" s="871"/>
      <c r="C88" s="871"/>
    </row>
    <row r="89" spans="1:3" s="1" customFormat="1" ht="16.5" customHeight="1">
      <c r="A89" s="573" t="s">
        <v>4539</v>
      </c>
      <c r="B89" s="872"/>
      <c r="C89" s="872"/>
    </row>
    <row r="90" spans="1:3" s="1" customFormat="1" ht="16.5" customHeight="1">
      <c r="A90" s="561" t="s">
        <v>4464</v>
      </c>
      <c r="B90" s="873" t="s">
        <v>4540</v>
      </c>
      <c r="C90" s="873"/>
    </row>
    <row r="91" spans="1:3" s="1" customFormat="1" ht="16.5" customHeight="1">
      <c r="A91" s="562" t="s">
        <v>1294</v>
      </c>
      <c r="B91" s="867" t="s">
        <v>4541</v>
      </c>
      <c r="C91" s="867"/>
    </row>
    <row r="92" spans="1:3" s="1" customFormat="1" ht="16.5" customHeight="1">
      <c r="A92" s="562" t="s">
        <v>1294</v>
      </c>
      <c r="B92" s="867" t="s">
        <v>4542</v>
      </c>
      <c r="C92" s="867"/>
    </row>
    <row r="93" spans="1:3" s="1" customFormat="1" ht="16.5" customHeight="1">
      <c r="A93" s="563" t="s">
        <v>1989</v>
      </c>
      <c r="B93" s="868" t="s">
        <v>4543</v>
      </c>
      <c r="C93" s="868"/>
    </row>
    <row r="94" spans="1:3" s="1" customFormat="1" ht="16.5" customHeight="1">
      <c r="A94" s="563" t="s">
        <v>1989</v>
      </c>
      <c r="B94" s="868" t="s">
        <v>4544</v>
      </c>
      <c r="C94" s="868"/>
    </row>
    <row r="95" spans="1:3" s="1" customFormat="1" ht="16.5" customHeight="1">
      <c r="A95" s="564" t="s">
        <v>2000</v>
      </c>
      <c r="B95" s="869" t="s">
        <v>4545</v>
      </c>
      <c r="C95" s="869"/>
    </row>
    <row r="96" spans="1:3" s="1" customFormat="1" ht="16.5" customHeight="1">
      <c r="A96" s="564" t="s">
        <v>2000</v>
      </c>
      <c r="B96" s="869" t="s">
        <v>4546</v>
      </c>
      <c r="C96" s="869"/>
    </row>
    <row r="97" spans="1:3" s="1" customFormat="1" ht="16.5" customHeight="1">
      <c r="A97" s="565" t="s">
        <v>2011</v>
      </c>
      <c r="B97" s="870" t="s">
        <v>4547</v>
      </c>
      <c r="C97" s="870"/>
    </row>
    <row r="98" spans="1:3" s="1" customFormat="1" ht="16.5" customHeight="1">
      <c r="A98" s="565" t="s">
        <v>2011</v>
      </c>
      <c r="B98" s="870" t="s">
        <v>4548</v>
      </c>
      <c r="C98" s="870"/>
    </row>
    <row r="99" spans="1:3" s="1" customFormat="1" ht="16.5" customHeight="1">
      <c r="A99" s="2"/>
      <c r="B99" s="871"/>
      <c r="C99" s="871"/>
    </row>
    <row r="100" spans="1:3">
      <c r="A100" s="106"/>
      <c r="B100" s="866"/>
      <c r="C100" s="866"/>
    </row>
    <row r="101" spans="1:3">
      <c r="A101" s="106"/>
      <c r="B101" s="866"/>
      <c r="C101" s="866"/>
    </row>
    <row r="102" spans="1:3">
      <c r="A102" s="106"/>
      <c r="B102" s="866"/>
      <c r="C102" s="866"/>
    </row>
    <row r="103" spans="1:3">
      <c r="A103" s="106"/>
      <c r="B103" s="866"/>
      <c r="C103" s="866"/>
    </row>
    <row r="104" spans="1:3">
      <c r="A104" s="106"/>
      <c r="B104" s="866"/>
      <c r="C104" s="866"/>
    </row>
    <row r="105" spans="1:3">
      <c r="A105" s="106"/>
      <c r="B105" s="866"/>
      <c r="C105" s="866"/>
    </row>
    <row r="106" spans="1:3">
      <c r="A106" s="106"/>
      <c r="B106" s="866"/>
      <c r="C106" s="866"/>
    </row>
    <row r="107" spans="1:3">
      <c r="A107" s="106"/>
      <c r="B107" s="866"/>
      <c r="C107" s="866"/>
    </row>
    <row r="108" spans="1:3">
      <c r="A108" s="106"/>
      <c r="B108" s="866"/>
      <c r="C108" s="866"/>
    </row>
    <row r="109" spans="1:3">
      <c r="A109" s="106"/>
      <c r="B109" s="866"/>
      <c r="C109" s="866"/>
    </row>
    <row r="110" spans="1:3">
      <c r="A110" s="106"/>
      <c r="B110" s="866"/>
      <c r="C110" s="866"/>
    </row>
    <row r="111" spans="1:3">
      <c r="A111" s="106"/>
      <c r="B111" s="866"/>
      <c r="C111" s="866"/>
    </row>
    <row r="112" spans="1:3">
      <c r="A112" s="106"/>
      <c r="B112" s="866"/>
      <c r="C112" s="866"/>
    </row>
    <row r="113" spans="1:3">
      <c r="A113" s="106"/>
      <c r="B113" s="866"/>
      <c r="C113" s="866"/>
    </row>
    <row r="114" spans="1:3">
      <c r="A114" s="106"/>
      <c r="B114" s="866"/>
      <c r="C114" s="866"/>
    </row>
    <row r="115" spans="1:3">
      <c r="A115" s="106"/>
      <c r="B115" s="866"/>
      <c r="C115" s="866"/>
    </row>
    <row r="116" spans="1:3">
      <c r="A116" s="106"/>
      <c r="B116" s="866"/>
      <c r="C116" s="866"/>
    </row>
    <row r="117" spans="1:3">
      <c r="A117" s="106"/>
      <c r="B117" s="866"/>
      <c r="C117" s="866"/>
    </row>
    <row r="118" spans="1:3">
      <c r="A118" s="106"/>
      <c r="B118" s="866"/>
      <c r="C118" s="866"/>
    </row>
    <row r="119" spans="1:3">
      <c r="A119" s="106"/>
      <c r="B119" s="866"/>
      <c r="C119" s="866"/>
    </row>
    <row r="120" spans="1:3">
      <c r="A120" s="106"/>
      <c r="B120" s="866"/>
      <c r="C120" s="866"/>
    </row>
    <row r="121" spans="1:3">
      <c r="A121" s="106"/>
      <c r="B121" s="866"/>
      <c r="C121" s="866"/>
    </row>
    <row r="122" spans="1:3">
      <c r="A122" s="106"/>
      <c r="B122" s="866"/>
      <c r="C122" s="866"/>
    </row>
    <row r="123" spans="1:3">
      <c r="A123" s="106"/>
      <c r="B123" s="866"/>
      <c r="C123" s="866"/>
    </row>
    <row r="124" spans="1:3">
      <c r="A124" s="106"/>
      <c r="B124" s="866"/>
      <c r="C124" s="866"/>
    </row>
    <row r="125" spans="1:3">
      <c r="A125" s="106"/>
      <c r="B125" s="866"/>
      <c r="C125" s="866"/>
    </row>
    <row r="126" spans="1:3">
      <c r="A126" s="106"/>
      <c r="B126" s="866"/>
      <c r="C126" s="866"/>
    </row>
    <row r="127" spans="1:3">
      <c r="A127" s="106"/>
      <c r="B127" s="866"/>
      <c r="C127" s="866"/>
    </row>
    <row r="128" spans="1:3">
      <c r="A128" s="106"/>
      <c r="B128" s="866"/>
      <c r="C128" s="866"/>
    </row>
    <row r="129" spans="1:3">
      <c r="A129" s="106"/>
      <c r="B129" s="866"/>
      <c r="C129" s="866"/>
    </row>
    <row r="130" spans="1:3">
      <c r="A130" s="106"/>
      <c r="B130" s="866"/>
      <c r="C130" s="866"/>
    </row>
    <row r="131" spans="1:3">
      <c r="A131" s="106"/>
      <c r="B131" s="866"/>
      <c r="C131" s="866"/>
    </row>
    <row r="132" spans="1:3">
      <c r="A132" s="106"/>
      <c r="B132" s="866"/>
      <c r="C132" s="866"/>
    </row>
    <row r="133" spans="1:3">
      <c r="A133" s="106"/>
      <c r="B133" s="866"/>
      <c r="C133" s="866"/>
    </row>
    <row r="134" spans="1:3">
      <c r="A134" s="106"/>
      <c r="B134" s="866"/>
      <c r="C134" s="866"/>
    </row>
    <row r="135" spans="1:3">
      <c r="A135" s="106"/>
      <c r="B135" s="866"/>
      <c r="C135" s="866"/>
    </row>
    <row r="136" spans="1:3">
      <c r="A136" s="106"/>
      <c r="B136" s="866"/>
      <c r="C136" s="866"/>
    </row>
    <row r="137" spans="1:3">
      <c r="A137" s="106"/>
      <c r="B137" s="866"/>
      <c r="C137" s="866"/>
    </row>
    <row r="138" spans="1:3">
      <c r="A138" s="106"/>
      <c r="B138" s="866"/>
      <c r="C138" s="866"/>
    </row>
    <row r="139" spans="1:3">
      <c r="A139" s="106"/>
      <c r="B139" s="866"/>
      <c r="C139" s="866"/>
    </row>
    <row r="140" spans="1:3">
      <c r="A140" s="106"/>
      <c r="B140" s="866"/>
      <c r="C140" s="866"/>
    </row>
    <row r="141" spans="1:3">
      <c r="A141" s="106"/>
      <c r="B141" s="866"/>
      <c r="C141" s="866"/>
    </row>
    <row r="142" spans="1:3">
      <c r="A142" s="106"/>
      <c r="B142" s="866"/>
      <c r="C142" s="866"/>
    </row>
    <row r="143" spans="1:3">
      <c r="A143" s="106"/>
      <c r="B143" s="866"/>
      <c r="C143" s="866"/>
    </row>
    <row r="144" spans="1:3">
      <c r="A144" s="106"/>
      <c r="B144" s="866"/>
      <c r="C144" s="866"/>
    </row>
    <row r="145" spans="1:3">
      <c r="A145" s="106"/>
      <c r="B145" s="866"/>
      <c r="C145" s="866"/>
    </row>
    <row r="146" spans="1:3">
      <c r="A146" s="106"/>
      <c r="B146" s="866"/>
      <c r="C146" s="866"/>
    </row>
    <row r="147" spans="1:3">
      <c r="A147" s="106"/>
      <c r="B147" s="866"/>
      <c r="C147" s="866"/>
    </row>
    <row r="148" spans="1:3">
      <c r="A148" s="106"/>
      <c r="B148" s="866"/>
      <c r="C148" s="866"/>
    </row>
    <row r="149" spans="1:3">
      <c r="A149" s="106"/>
      <c r="B149" s="866"/>
      <c r="C149" s="866"/>
    </row>
    <row r="150" spans="1:3">
      <c r="A150" s="106"/>
      <c r="B150" s="866"/>
      <c r="C150" s="866"/>
    </row>
    <row r="151" spans="1:3">
      <c r="A151" s="106"/>
      <c r="B151" s="866"/>
      <c r="C151" s="866"/>
    </row>
    <row r="152" spans="1:3">
      <c r="A152" s="106"/>
      <c r="B152" s="866"/>
      <c r="C152" s="866"/>
    </row>
    <row r="153" spans="1:3">
      <c r="A153" s="106"/>
      <c r="B153" s="866"/>
      <c r="C153" s="866"/>
    </row>
    <row r="154" spans="1:3">
      <c r="A154" s="106"/>
      <c r="B154" s="866"/>
      <c r="C154" s="866"/>
    </row>
    <row r="155" spans="1:3">
      <c r="A155" s="106"/>
      <c r="B155" s="866"/>
      <c r="C155" s="866"/>
    </row>
    <row r="156" spans="1:3">
      <c r="A156" s="106"/>
      <c r="B156" s="866"/>
      <c r="C156" s="866"/>
    </row>
    <row r="157" spans="1:3">
      <c r="A157" s="106"/>
      <c r="B157" s="866"/>
      <c r="C157" s="866"/>
    </row>
    <row r="158" spans="1:3">
      <c r="A158" s="106"/>
      <c r="B158" s="866"/>
      <c r="C158" s="866"/>
    </row>
    <row r="159" spans="1:3">
      <c r="A159" s="106"/>
      <c r="B159" s="866"/>
      <c r="C159" s="866"/>
    </row>
    <row r="160" spans="1:3">
      <c r="A160" s="106"/>
      <c r="B160" s="866"/>
      <c r="C160" s="866"/>
    </row>
    <row r="161" spans="1:3">
      <c r="A161" s="106"/>
      <c r="B161" s="866"/>
      <c r="C161" s="866"/>
    </row>
    <row r="162" spans="1:3">
      <c r="A162" s="106"/>
      <c r="B162" s="866"/>
      <c r="C162" s="866"/>
    </row>
    <row r="163" spans="1:3">
      <c r="A163" s="106"/>
      <c r="B163" s="866"/>
      <c r="C163" s="866"/>
    </row>
    <row r="164" spans="1:3">
      <c r="A164" s="106"/>
      <c r="B164" s="866"/>
      <c r="C164" s="866"/>
    </row>
    <row r="165" spans="1:3">
      <c r="A165" s="106"/>
      <c r="B165" s="866"/>
      <c r="C165" s="866"/>
    </row>
    <row r="166" spans="1:3">
      <c r="A166" s="106"/>
      <c r="B166" s="866"/>
      <c r="C166" s="866"/>
    </row>
    <row r="167" spans="1:3">
      <c r="A167" s="106"/>
      <c r="B167" s="866"/>
      <c r="C167" s="866"/>
    </row>
    <row r="168" spans="1:3">
      <c r="A168" s="106"/>
      <c r="B168" s="866"/>
      <c r="C168" s="866"/>
    </row>
    <row r="169" spans="1:3">
      <c r="A169" s="106"/>
      <c r="B169" s="866"/>
      <c r="C169" s="866"/>
    </row>
    <row r="170" spans="1:3">
      <c r="A170" s="106"/>
      <c r="B170" s="866"/>
      <c r="C170" s="866"/>
    </row>
    <row r="171" spans="1:3">
      <c r="A171" s="106"/>
      <c r="B171" s="866"/>
      <c r="C171" s="866"/>
    </row>
    <row r="172" spans="1:3">
      <c r="A172" s="106"/>
      <c r="B172" s="866"/>
      <c r="C172" s="866"/>
    </row>
    <row r="173" spans="1:3">
      <c r="A173" s="106"/>
      <c r="B173" s="866"/>
      <c r="C173" s="866"/>
    </row>
    <row r="174" spans="1:3">
      <c r="A174" s="106"/>
      <c r="B174" s="866"/>
      <c r="C174" s="866"/>
    </row>
    <row r="175" spans="1:3">
      <c r="A175" s="106"/>
      <c r="B175" s="866"/>
      <c r="C175" s="866"/>
    </row>
    <row r="176" spans="1:3">
      <c r="A176" s="106"/>
      <c r="B176" s="866"/>
      <c r="C176" s="866"/>
    </row>
    <row r="177" spans="1:3">
      <c r="A177" s="106"/>
      <c r="B177" s="866"/>
      <c r="C177" s="866"/>
    </row>
    <row r="178" spans="1:3">
      <c r="A178" s="106"/>
      <c r="B178" s="866"/>
      <c r="C178" s="866"/>
    </row>
    <row r="179" spans="1:3">
      <c r="A179" s="106"/>
      <c r="B179" s="866"/>
      <c r="C179" s="866"/>
    </row>
    <row r="180" spans="1:3" ht="16.5" customHeight="1">
      <c r="A180" s="106"/>
      <c r="B180" s="866"/>
      <c r="C180" s="866"/>
    </row>
    <row r="181" spans="1:3" ht="16.5" customHeight="1">
      <c r="A181" s="106"/>
      <c r="B181" s="866"/>
      <c r="C181" s="866"/>
    </row>
    <row r="182" spans="1:3" ht="16.5" customHeight="1">
      <c r="A182" s="106"/>
      <c r="B182" s="866"/>
      <c r="C182" s="866"/>
    </row>
    <row r="183" spans="1:3" ht="16.5" customHeight="1">
      <c r="A183" s="106"/>
      <c r="B183" s="866"/>
      <c r="C183" s="866"/>
    </row>
    <row r="184" spans="1:3" ht="16.5" customHeight="1">
      <c r="A184" s="106"/>
      <c r="B184" s="866"/>
      <c r="C184" s="866"/>
    </row>
    <row r="185" spans="1:3" ht="16.5" customHeight="1">
      <c r="A185" s="106"/>
      <c r="B185" s="866"/>
      <c r="C185" s="866"/>
    </row>
    <row r="186" spans="1:3" ht="16.5" customHeight="1">
      <c r="A186" s="106"/>
      <c r="B186" s="866"/>
      <c r="C186" s="866"/>
    </row>
    <row r="187" spans="1:3" ht="16.5" customHeight="1">
      <c r="A187" s="106"/>
      <c r="B187" s="866"/>
      <c r="C187" s="866"/>
    </row>
    <row r="188" spans="1:3" ht="16.5" customHeight="1">
      <c r="A188" s="106"/>
      <c r="B188" s="866"/>
      <c r="C188" s="866"/>
    </row>
    <row r="189" spans="1:3" ht="16.5" customHeight="1">
      <c r="A189" s="106"/>
      <c r="B189" s="866"/>
      <c r="C189" s="866"/>
    </row>
    <row r="190" spans="1:3" ht="16.5" customHeight="1">
      <c r="A190" s="106"/>
      <c r="B190" s="866"/>
      <c r="C190" s="866"/>
    </row>
    <row r="191" spans="1:3" ht="16.5" customHeight="1">
      <c r="A191" s="106"/>
      <c r="B191" s="866"/>
      <c r="C191" s="866"/>
    </row>
    <row r="192" spans="1:3" ht="16.5" customHeight="1">
      <c r="A192" s="106"/>
      <c r="B192" s="866"/>
      <c r="C192" s="866"/>
    </row>
    <row r="193" spans="1:3" ht="16.5" customHeight="1">
      <c r="A193" s="106"/>
      <c r="B193" s="866"/>
      <c r="C193" s="866"/>
    </row>
    <row r="194" spans="1:3" ht="16.5" customHeight="1">
      <c r="A194" s="106"/>
      <c r="B194" s="866"/>
      <c r="C194" s="866"/>
    </row>
    <row r="195" spans="1:3" ht="16.5" customHeight="1">
      <c r="A195" s="106"/>
      <c r="B195" s="866"/>
      <c r="C195" s="866"/>
    </row>
    <row r="196" spans="1:3" ht="16.5" customHeight="1">
      <c r="A196" s="106"/>
      <c r="B196" s="866"/>
      <c r="C196" s="866"/>
    </row>
    <row r="197" spans="1:3" ht="16.5" customHeight="1">
      <c r="A197" s="106"/>
      <c r="B197" s="866"/>
      <c r="C197" s="866"/>
    </row>
    <row r="198" spans="1:3" ht="16.5" customHeight="1">
      <c r="A198" s="106"/>
      <c r="B198" s="866"/>
      <c r="C198" s="866"/>
    </row>
    <row r="199" spans="1:3" ht="16.5" customHeight="1">
      <c r="A199" s="106"/>
      <c r="B199" s="866"/>
      <c r="C199" s="866"/>
    </row>
    <row r="200" spans="1:3" ht="16.5" customHeight="1">
      <c r="A200" s="106"/>
      <c r="B200" s="866"/>
      <c r="C200" s="866"/>
    </row>
    <row r="201" spans="1:3" ht="16.5" customHeight="1">
      <c r="A201" s="106"/>
      <c r="B201" s="866"/>
      <c r="C201" s="866"/>
    </row>
    <row r="202" spans="1:3" ht="16.5" customHeight="1">
      <c r="A202" s="106"/>
      <c r="B202" s="866"/>
      <c r="C202" s="866"/>
    </row>
    <row r="203" spans="1:3" ht="16.5" customHeight="1">
      <c r="A203" s="106"/>
      <c r="B203" s="866"/>
      <c r="C203" s="866"/>
    </row>
    <row r="204" spans="1:3" ht="16.5" customHeight="1">
      <c r="A204" s="106"/>
      <c r="B204" s="866"/>
      <c r="C204" s="866"/>
    </row>
    <row r="205" spans="1:3" ht="16.5" customHeight="1">
      <c r="A205" s="106"/>
      <c r="B205" s="866"/>
      <c r="C205" s="866"/>
    </row>
    <row r="206" spans="1:3" ht="16.5" customHeight="1">
      <c r="A206" s="106"/>
      <c r="B206" s="866"/>
      <c r="C206" s="866"/>
    </row>
  </sheetData>
  <mergeCells count="206">
    <mergeCell ref="B1:C1"/>
    <mergeCell ref="B2:C2"/>
    <mergeCell ref="B3:C3"/>
    <mergeCell ref="B4:C4"/>
    <mergeCell ref="B5:C5"/>
    <mergeCell ref="B6:C6"/>
    <mergeCell ref="B7:C7"/>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2:C62"/>
    <mergeCell ref="B63:C63"/>
    <mergeCell ref="B64:C64"/>
    <mergeCell ref="B65:C65"/>
    <mergeCell ref="B66:C66"/>
    <mergeCell ref="B67:C67"/>
    <mergeCell ref="B68:C68"/>
    <mergeCell ref="B69:C69"/>
    <mergeCell ref="B70:C70"/>
    <mergeCell ref="B71:C71"/>
    <mergeCell ref="B72:C72"/>
    <mergeCell ref="B73:C73"/>
    <mergeCell ref="B74:C74"/>
    <mergeCell ref="B75:C75"/>
    <mergeCell ref="B76:C76"/>
    <mergeCell ref="B77:C77"/>
    <mergeCell ref="B78:C78"/>
    <mergeCell ref="B79:C79"/>
    <mergeCell ref="B80:C80"/>
    <mergeCell ref="B81:C81"/>
    <mergeCell ref="B82:C82"/>
    <mergeCell ref="B83:C83"/>
    <mergeCell ref="B84:C84"/>
    <mergeCell ref="B85:C85"/>
    <mergeCell ref="B86:C86"/>
    <mergeCell ref="B87:C87"/>
    <mergeCell ref="B88:C88"/>
    <mergeCell ref="B89:C89"/>
    <mergeCell ref="B90:C90"/>
    <mergeCell ref="B91:C91"/>
    <mergeCell ref="B92:C92"/>
    <mergeCell ref="B93:C93"/>
    <mergeCell ref="B94:C94"/>
    <mergeCell ref="B95:C95"/>
    <mergeCell ref="B96:C96"/>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10:C110"/>
    <mergeCell ref="B111:C111"/>
    <mergeCell ref="B112:C112"/>
    <mergeCell ref="B113:C113"/>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28:C128"/>
    <mergeCell ref="B129:C129"/>
    <mergeCell ref="B130:C130"/>
    <mergeCell ref="B131:C131"/>
    <mergeCell ref="B132:C132"/>
    <mergeCell ref="B133:C133"/>
    <mergeCell ref="B134:C134"/>
    <mergeCell ref="B135:C135"/>
    <mergeCell ref="B136:C136"/>
    <mergeCell ref="B137:C137"/>
    <mergeCell ref="B138:C138"/>
    <mergeCell ref="B139:C139"/>
    <mergeCell ref="B140:C140"/>
    <mergeCell ref="B141:C141"/>
    <mergeCell ref="B142:C142"/>
    <mergeCell ref="B143:C143"/>
    <mergeCell ref="B144:C144"/>
    <mergeCell ref="B145:C145"/>
    <mergeCell ref="B146:C146"/>
    <mergeCell ref="B147:C147"/>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60:C160"/>
    <mergeCell ref="B161:C161"/>
    <mergeCell ref="B162:C162"/>
    <mergeCell ref="B163:C163"/>
    <mergeCell ref="B164:C164"/>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178:C178"/>
    <mergeCell ref="B179:C179"/>
    <mergeCell ref="B180:C180"/>
    <mergeCell ref="B181:C181"/>
    <mergeCell ref="B182:C182"/>
    <mergeCell ref="B183:C183"/>
    <mergeCell ref="B184:C184"/>
    <mergeCell ref="B185:C185"/>
    <mergeCell ref="B186:C186"/>
    <mergeCell ref="B187:C187"/>
    <mergeCell ref="B188:C188"/>
    <mergeCell ref="B189:C189"/>
    <mergeCell ref="B199:C199"/>
    <mergeCell ref="B200:C200"/>
    <mergeCell ref="B201:C201"/>
    <mergeCell ref="B202:C202"/>
    <mergeCell ref="B203:C203"/>
    <mergeCell ref="B204:C204"/>
    <mergeCell ref="B205:C205"/>
    <mergeCell ref="B206:C206"/>
    <mergeCell ref="B190:C190"/>
    <mergeCell ref="B191:C191"/>
    <mergeCell ref="B192:C192"/>
    <mergeCell ref="B193:C193"/>
    <mergeCell ref="B194:C194"/>
    <mergeCell ref="B195:C195"/>
    <mergeCell ref="B196:C196"/>
    <mergeCell ref="B197:C197"/>
    <mergeCell ref="B198:C198"/>
  </mergeCells>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topLeftCell="A67" workbookViewId="0">
      <selection activeCell="B80" sqref="B80"/>
    </sheetView>
  </sheetViews>
  <sheetFormatPr defaultRowHeight="14.25" customHeight="1"/>
  <cols>
    <col min="1" max="1" width="9.640625" bestFit="1" customWidth="1"/>
    <col min="2" max="2" width="223.5" customWidth="1"/>
  </cols>
  <sheetData>
    <row r="1" spans="1:2" ht="28.5" customHeight="1">
      <c r="A1" s="574" t="s">
        <v>542</v>
      </c>
      <c r="B1" s="575" t="s">
        <v>4549</v>
      </c>
    </row>
    <row r="2" spans="1:2" ht="28.5" customHeight="1">
      <c r="A2" s="488">
        <v>1</v>
      </c>
      <c r="B2" s="576" t="s">
        <v>4550</v>
      </c>
    </row>
    <row r="3" spans="1:2" ht="28.5" customHeight="1">
      <c r="A3" s="488">
        <v>2</v>
      </c>
      <c r="B3" s="576" t="s">
        <v>4551</v>
      </c>
    </row>
    <row r="4" spans="1:2" ht="28.5" customHeight="1">
      <c r="A4" s="488">
        <v>3</v>
      </c>
      <c r="B4" s="576" t="s">
        <v>4552</v>
      </c>
    </row>
    <row r="5" spans="1:2" ht="28.5" customHeight="1">
      <c r="A5" s="488">
        <v>4</v>
      </c>
      <c r="B5" s="576" t="s">
        <v>4553</v>
      </c>
    </row>
    <row r="6" spans="1:2" ht="28.5" customHeight="1">
      <c r="A6" s="488">
        <v>5</v>
      </c>
      <c r="B6" s="576" t="s">
        <v>4554</v>
      </c>
    </row>
    <row r="7" spans="1:2" ht="28.5" customHeight="1">
      <c r="A7" s="488">
        <v>6</v>
      </c>
      <c r="B7" s="576" t="s">
        <v>4555</v>
      </c>
    </row>
    <row r="8" spans="1:2" ht="28.5" customHeight="1">
      <c r="A8" s="488">
        <v>7</v>
      </c>
      <c r="B8" s="576" t="s">
        <v>4556</v>
      </c>
    </row>
    <row r="9" spans="1:2" ht="28.5" customHeight="1">
      <c r="A9" s="488">
        <v>8</v>
      </c>
      <c r="B9" s="576" t="s">
        <v>4557</v>
      </c>
    </row>
    <row r="10" spans="1:2" ht="28.5" customHeight="1">
      <c r="A10" s="488">
        <v>9</v>
      </c>
      <c r="B10" s="576" t="s">
        <v>4558</v>
      </c>
    </row>
    <row r="11" spans="1:2" ht="28.5" customHeight="1">
      <c r="A11" s="488">
        <v>10</v>
      </c>
      <c r="B11" s="576" t="s">
        <v>4559</v>
      </c>
    </row>
    <row r="12" spans="1:2" ht="28.5" customHeight="1">
      <c r="A12" s="488">
        <v>11</v>
      </c>
      <c r="B12" s="576" t="s">
        <v>4560</v>
      </c>
    </row>
    <row r="13" spans="1:2" ht="28.5" customHeight="1">
      <c r="A13" s="488">
        <v>12</v>
      </c>
      <c r="B13" s="576" t="s">
        <v>4561</v>
      </c>
    </row>
    <row r="14" spans="1:2" ht="28.5" customHeight="1">
      <c r="A14" s="488" t="s">
        <v>4562</v>
      </c>
      <c r="B14" s="577"/>
    </row>
    <row r="15" spans="1:2" ht="28.5" customHeight="1">
      <c r="A15" s="488" t="s">
        <v>4562</v>
      </c>
      <c r="B15" s="578" t="s">
        <v>495</v>
      </c>
    </row>
    <row r="16" spans="1:2" ht="28.5" customHeight="1">
      <c r="A16" s="488">
        <v>1</v>
      </c>
      <c r="B16" s="579" t="s">
        <v>4563</v>
      </c>
    </row>
    <row r="17" spans="1:2" ht="28.5" customHeight="1">
      <c r="A17" s="488">
        <v>2</v>
      </c>
      <c r="B17" s="579" t="s">
        <v>4564</v>
      </c>
    </row>
    <row r="18" spans="1:2" ht="28.5" customHeight="1">
      <c r="A18" s="488">
        <v>3</v>
      </c>
      <c r="B18" s="579" t="s">
        <v>4565</v>
      </c>
    </row>
    <row r="19" spans="1:2" ht="28.5" customHeight="1">
      <c r="A19" s="488">
        <v>4</v>
      </c>
      <c r="B19" s="579" t="s">
        <v>4566</v>
      </c>
    </row>
    <row r="20" spans="1:2" ht="28.5" customHeight="1">
      <c r="A20" s="488">
        <v>5</v>
      </c>
      <c r="B20" s="579" t="s">
        <v>4567</v>
      </c>
    </row>
    <row r="21" spans="1:2" ht="28.5" customHeight="1">
      <c r="A21" s="488">
        <v>6</v>
      </c>
      <c r="B21" s="579" t="s">
        <v>4568</v>
      </c>
    </row>
    <row r="22" spans="1:2" ht="28.5" customHeight="1">
      <c r="A22" s="488">
        <v>7</v>
      </c>
      <c r="B22" s="579" t="s">
        <v>4569</v>
      </c>
    </row>
    <row r="23" spans="1:2" ht="28.5" customHeight="1">
      <c r="A23" s="488">
        <v>8</v>
      </c>
      <c r="B23" s="579" t="s">
        <v>4570</v>
      </c>
    </row>
    <row r="24" spans="1:2" ht="28.5" customHeight="1">
      <c r="A24" s="488">
        <v>9</v>
      </c>
      <c r="B24" s="579" t="s">
        <v>4571</v>
      </c>
    </row>
    <row r="25" spans="1:2" ht="28.5" customHeight="1">
      <c r="A25" s="488">
        <v>10</v>
      </c>
      <c r="B25" s="579" t="s">
        <v>4572</v>
      </c>
    </row>
    <row r="26" spans="1:2" ht="28.5" customHeight="1">
      <c r="A26" s="488">
        <v>11</v>
      </c>
      <c r="B26" s="579" t="s">
        <v>4573</v>
      </c>
    </row>
    <row r="27" spans="1:2" ht="28.5" customHeight="1">
      <c r="A27" s="488">
        <v>12</v>
      </c>
      <c r="B27" s="579" t="s">
        <v>4574</v>
      </c>
    </row>
    <row r="28" spans="1:2" ht="28.5" customHeight="1">
      <c r="A28" s="488" t="s">
        <v>4562</v>
      </c>
      <c r="B28" s="580"/>
    </row>
    <row r="29" spans="1:2" ht="28.5" customHeight="1">
      <c r="A29" s="488" t="s">
        <v>4562</v>
      </c>
      <c r="B29" s="581" t="s">
        <v>4575</v>
      </c>
    </row>
    <row r="30" spans="1:2" ht="28.5" customHeight="1">
      <c r="A30" s="488">
        <v>1</v>
      </c>
      <c r="B30" s="582" t="s">
        <v>4550</v>
      </c>
    </row>
    <row r="31" spans="1:2" ht="28.5" customHeight="1">
      <c r="A31" s="488">
        <v>2</v>
      </c>
      <c r="B31" s="582" t="s">
        <v>4576</v>
      </c>
    </row>
    <row r="32" spans="1:2" ht="28.5" customHeight="1">
      <c r="A32" s="488">
        <v>3</v>
      </c>
      <c r="B32" s="582" t="s">
        <v>4577</v>
      </c>
    </row>
    <row r="33" spans="1:2" ht="28.5" customHeight="1">
      <c r="A33" s="488">
        <v>4</v>
      </c>
      <c r="B33" s="582" t="s">
        <v>4578</v>
      </c>
    </row>
    <row r="34" spans="1:2" ht="28.5" customHeight="1">
      <c r="A34" s="488">
        <v>5</v>
      </c>
      <c r="B34" s="582" t="s">
        <v>4579</v>
      </c>
    </row>
    <row r="35" spans="1:2" ht="28.5" customHeight="1">
      <c r="A35" s="488">
        <v>6</v>
      </c>
      <c r="B35" s="582" t="s">
        <v>4580</v>
      </c>
    </row>
    <row r="36" spans="1:2" ht="28.5" customHeight="1">
      <c r="A36" s="488">
        <v>7</v>
      </c>
      <c r="B36" s="582" t="s">
        <v>4581</v>
      </c>
    </row>
    <row r="37" spans="1:2" ht="28.5" customHeight="1">
      <c r="A37" s="488">
        <v>8</v>
      </c>
      <c r="B37" s="582" t="s">
        <v>4582</v>
      </c>
    </row>
    <row r="38" spans="1:2" ht="28.5" customHeight="1">
      <c r="A38" s="488">
        <v>9</v>
      </c>
      <c r="B38" s="582" t="s">
        <v>4583</v>
      </c>
    </row>
    <row r="39" spans="1:2" ht="28.5" customHeight="1">
      <c r="A39" s="488">
        <v>10</v>
      </c>
      <c r="B39" s="582" t="s">
        <v>4584</v>
      </c>
    </row>
    <row r="40" spans="1:2" ht="28.5" customHeight="1">
      <c r="A40" s="488">
        <v>11</v>
      </c>
      <c r="B40" s="582" t="s">
        <v>4585</v>
      </c>
    </row>
    <row r="41" spans="1:2" ht="28.5" customHeight="1">
      <c r="A41" s="488">
        <v>12</v>
      </c>
      <c r="B41" s="582" t="s">
        <v>4586</v>
      </c>
    </row>
    <row r="42" spans="1:2" ht="28.5" customHeight="1">
      <c r="A42" s="488" t="s">
        <v>4562</v>
      </c>
      <c r="B42" s="580"/>
    </row>
    <row r="43" spans="1:2" ht="28.5" customHeight="1">
      <c r="A43" s="488" t="s">
        <v>4562</v>
      </c>
      <c r="B43" s="583" t="s">
        <v>632</v>
      </c>
    </row>
    <row r="44" spans="1:2" ht="28.5" customHeight="1">
      <c r="A44" s="488">
        <v>1</v>
      </c>
      <c r="B44" s="584" t="s">
        <v>4563</v>
      </c>
    </row>
    <row r="45" spans="1:2" ht="28.5" customHeight="1">
      <c r="A45" s="488">
        <v>2</v>
      </c>
      <c r="B45" s="584" t="s">
        <v>4587</v>
      </c>
    </row>
    <row r="46" spans="1:2" ht="28.5" customHeight="1">
      <c r="A46" s="488">
        <v>3</v>
      </c>
      <c r="B46" s="584" t="s">
        <v>4588</v>
      </c>
    </row>
    <row r="47" spans="1:2" ht="28.5" customHeight="1">
      <c r="A47" s="488">
        <v>4</v>
      </c>
      <c r="B47" s="584" t="s">
        <v>4589</v>
      </c>
    </row>
    <row r="48" spans="1:2" ht="28.5" customHeight="1">
      <c r="A48" s="488">
        <v>5</v>
      </c>
      <c r="B48" s="584" t="s">
        <v>4590</v>
      </c>
    </row>
    <row r="49" spans="1:2" ht="28.5" customHeight="1">
      <c r="A49" s="488">
        <v>6</v>
      </c>
      <c r="B49" s="584" t="s">
        <v>4591</v>
      </c>
    </row>
    <row r="50" spans="1:2" ht="28.5" customHeight="1">
      <c r="A50" s="488">
        <v>7</v>
      </c>
      <c r="B50" s="584" t="s">
        <v>4592</v>
      </c>
    </row>
    <row r="51" spans="1:2" ht="28.5" customHeight="1">
      <c r="A51" s="488">
        <v>8</v>
      </c>
      <c r="B51" s="584" t="s">
        <v>4593</v>
      </c>
    </row>
    <row r="52" spans="1:2" ht="28.5" customHeight="1">
      <c r="A52" s="488">
        <v>9</v>
      </c>
      <c r="B52" s="584" t="s">
        <v>4594</v>
      </c>
    </row>
    <row r="53" spans="1:2" ht="28.5" customHeight="1">
      <c r="A53" s="488">
        <v>10</v>
      </c>
      <c r="B53" s="584" t="s">
        <v>4595</v>
      </c>
    </row>
    <row r="54" spans="1:2" ht="28.5" customHeight="1">
      <c r="A54" s="488">
        <v>11</v>
      </c>
      <c r="B54" s="584" t="s">
        <v>4596</v>
      </c>
    </row>
    <row r="55" spans="1:2" ht="28.5" customHeight="1">
      <c r="A55" s="488">
        <v>12</v>
      </c>
      <c r="B55" s="584" t="s">
        <v>4597</v>
      </c>
    </row>
    <row r="56" spans="1:2" ht="28.5" customHeight="1">
      <c r="A56" s="488" t="s">
        <v>4562</v>
      </c>
      <c r="B56" s="580"/>
    </row>
    <row r="57" spans="1:2" ht="28.5" customHeight="1">
      <c r="A57" s="488" t="s">
        <v>4562</v>
      </c>
      <c r="B57" s="585" t="s">
        <v>339</v>
      </c>
    </row>
    <row r="58" spans="1:2" ht="28.5" customHeight="1">
      <c r="A58" s="488">
        <v>1</v>
      </c>
      <c r="B58" s="586" t="s">
        <v>4550</v>
      </c>
    </row>
    <row r="59" spans="1:2" ht="28.5" customHeight="1">
      <c r="A59" s="488">
        <v>2</v>
      </c>
      <c r="B59" s="586" t="s">
        <v>4598</v>
      </c>
    </row>
    <row r="60" spans="1:2" ht="28.5" customHeight="1">
      <c r="A60" s="488">
        <v>3</v>
      </c>
      <c r="B60" s="587" t="s">
        <v>4599</v>
      </c>
    </row>
    <row r="61" spans="1:2" ht="28.5" customHeight="1">
      <c r="A61" s="488">
        <v>4</v>
      </c>
      <c r="B61" s="586" t="s">
        <v>4600</v>
      </c>
    </row>
    <row r="62" spans="1:2" ht="28.5" customHeight="1">
      <c r="A62" s="488">
        <v>5</v>
      </c>
      <c r="B62" s="586" t="s">
        <v>4601</v>
      </c>
    </row>
    <row r="63" spans="1:2" ht="28.5" customHeight="1">
      <c r="A63" s="488">
        <v>6</v>
      </c>
      <c r="B63" s="586" t="s">
        <v>4602</v>
      </c>
    </row>
    <row r="64" spans="1:2" ht="28.5" customHeight="1">
      <c r="A64" s="488">
        <v>7</v>
      </c>
      <c r="B64" s="586" t="s">
        <v>4603</v>
      </c>
    </row>
    <row r="65" spans="1:2" ht="28.5" customHeight="1">
      <c r="A65" s="488">
        <v>8</v>
      </c>
      <c r="B65" s="586" t="s">
        <v>4604</v>
      </c>
    </row>
    <row r="66" spans="1:2" ht="28.5" customHeight="1">
      <c r="A66" s="488">
        <v>9</v>
      </c>
      <c r="B66" s="586" t="s">
        <v>4605</v>
      </c>
    </row>
    <row r="67" spans="1:2" ht="28.5" customHeight="1">
      <c r="A67" s="488">
        <v>10</v>
      </c>
      <c r="B67" s="586" t="s">
        <v>4606</v>
      </c>
    </row>
    <row r="68" spans="1:2" ht="28.5" customHeight="1">
      <c r="A68" s="488">
        <v>11</v>
      </c>
      <c r="B68" s="586" t="s">
        <v>4607</v>
      </c>
    </row>
    <row r="69" spans="1:2" ht="28.5" customHeight="1">
      <c r="A69" s="488">
        <v>12</v>
      </c>
      <c r="B69" s="586" t="s">
        <v>4608</v>
      </c>
    </row>
    <row r="70" spans="1:2" ht="28.5" customHeight="1">
      <c r="A70" s="488" t="s">
        <v>4562</v>
      </c>
      <c r="B70" s="580"/>
    </row>
    <row r="71" spans="1:2" ht="28.5" customHeight="1">
      <c r="A71" s="488" t="s">
        <v>4562</v>
      </c>
      <c r="B71" s="588" t="s">
        <v>4609</v>
      </c>
    </row>
    <row r="72" spans="1:2" ht="28.5" customHeight="1">
      <c r="A72" s="488">
        <v>1</v>
      </c>
      <c r="B72" s="589" t="s">
        <v>4563</v>
      </c>
    </row>
    <row r="73" spans="1:2" ht="28.5" customHeight="1">
      <c r="A73" s="488">
        <v>2</v>
      </c>
      <c r="B73" s="589" t="s">
        <v>4610</v>
      </c>
    </row>
    <row r="74" spans="1:2" ht="28.5" customHeight="1">
      <c r="A74" s="488">
        <v>3</v>
      </c>
      <c r="B74" s="589" t="s">
        <v>4611</v>
      </c>
    </row>
    <row r="75" spans="1:2" ht="28.5" customHeight="1">
      <c r="A75" s="488">
        <v>4</v>
      </c>
      <c r="B75" s="589" t="s">
        <v>4612</v>
      </c>
    </row>
    <row r="76" spans="1:2" ht="28.5" customHeight="1">
      <c r="A76" s="488">
        <v>5</v>
      </c>
      <c r="B76" s="589" t="s">
        <v>4613</v>
      </c>
    </row>
    <row r="77" spans="1:2" ht="28.5" customHeight="1">
      <c r="A77" s="488">
        <v>6</v>
      </c>
      <c r="B77" s="589" t="s">
        <v>4614</v>
      </c>
    </row>
    <row r="78" spans="1:2" ht="28.5" customHeight="1">
      <c r="A78" s="488">
        <v>7</v>
      </c>
      <c r="B78" s="589" t="s">
        <v>4615</v>
      </c>
    </row>
    <row r="79" spans="1:2" ht="28.5" customHeight="1">
      <c r="A79" s="488">
        <v>8</v>
      </c>
      <c r="B79" s="589" t="s">
        <v>4616</v>
      </c>
    </row>
    <row r="80" spans="1:2" ht="28.5" customHeight="1">
      <c r="A80" s="488">
        <v>9</v>
      </c>
      <c r="B80" s="589" t="s">
        <v>4617</v>
      </c>
    </row>
    <row r="81" spans="1:2" ht="28.5" customHeight="1">
      <c r="A81" s="488">
        <v>10</v>
      </c>
      <c r="B81" s="589" t="s">
        <v>4618</v>
      </c>
    </row>
    <row r="82" spans="1:2" ht="28.5" customHeight="1">
      <c r="A82" s="488">
        <v>11</v>
      </c>
      <c r="B82" s="589" t="s">
        <v>4619</v>
      </c>
    </row>
    <row r="83" spans="1:2" ht="28.5" customHeight="1">
      <c r="A83" s="488">
        <v>12</v>
      </c>
      <c r="B83" s="589" t="s">
        <v>4620</v>
      </c>
    </row>
    <row r="84" spans="1:2" ht="14.15"/>
    <row r="85" spans="1:2" ht="14.15"/>
    <row r="86" spans="1:2" ht="14.15"/>
    <row r="87" spans="1:2" ht="14.15"/>
    <row r="88" spans="1:2" ht="14.15"/>
    <row r="89" spans="1:2" ht="14.15"/>
    <row r="90" spans="1:2" ht="14.15"/>
    <row r="91" spans="1:2" ht="14.15"/>
    <row r="92" spans="1:2" ht="14.15"/>
    <row r="93" spans="1:2" ht="14.15"/>
    <row r="94" spans="1:2" ht="14.15"/>
    <row r="95" spans="1:2" ht="14.15"/>
    <row r="96" spans="1:2" ht="14.15"/>
    <row r="97" ht="14.15"/>
    <row r="98" ht="14.15"/>
    <row r="99" ht="14.15"/>
    <row r="100" ht="14.15"/>
    <row r="101" ht="14.15"/>
    <row r="102" ht="14.15"/>
    <row r="103" ht="14.15"/>
    <row r="104" ht="14.15"/>
    <row r="105" ht="14.15"/>
    <row r="106" ht="14.15"/>
    <row r="107" ht="14.15"/>
    <row r="108" ht="14.15"/>
    <row r="109" ht="14.15"/>
    <row r="110" ht="14.15"/>
    <row r="111" ht="14.15"/>
    <row r="112" ht="14.15"/>
    <row r="113" ht="14.15"/>
    <row r="114" ht="14.15"/>
    <row r="115" ht="14.15"/>
    <row r="116" ht="14.15"/>
    <row r="117" ht="14.15"/>
    <row r="118" ht="14.15"/>
    <row r="119" ht="14.15"/>
    <row r="120" ht="14.15"/>
    <row r="121" ht="14.15"/>
    <row r="122" ht="14.15"/>
    <row r="123" ht="14.15"/>
    <row r="124" ht="14.15"/>
    <row r="125" ht="14.15"/>
    <row r="126" ht="14.15"/>
    <row r="127" ht="14.15"/>
    <row r="128" ht="14.15"/>
    <row r="129" ht="14.15"/>
    <row r="130" ht="14.15"/>
    <row r="131" ht="14.15"/>
    <row r="132" ht="14.15"/>
    <row r="133" ht="14.15"/>
    <row r="134" ht="14.15"/>
    <row r="135" ht="14.15"/>
    <row r="136" ht="14.15"/>
    <row r="137" ht="14.15"/>
    <row r="138" ht="14.15"/>
    <row r="139" ht="14.15"/>
    <row r="140" ht="14.15"/>
    <row r="141" ht="14.15"/>
    <row r="142" ht="14.15"/>
    <row r="143" ht="14.15"/>
    <row r="144" ht="14.15"/>
    <row r="145" ht="14.15"/>
    <row r="146" ht="14.15"/>
    <row r="147" ht="14.15"/>
    <row r="148" ht="14.15"/>
    <row r="149" ht="14.15"/>
    <row r="150" ht="14.15"/>
    <row r="151" ht="14.15"/>
    <row r="152" ht="14.15"/>
    <row r="153" ht="14.15"/>
    <row r="154" ht="14.15"/>
    <row r="155" ht="14.15"/>
    <row r="156" ht="14.15"/>
    <row r="157" ht="14.15"/>
    <row r="158" ht="14.15"/>
    <row r="159" ht="14.15"/>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59"/>
  <sheetViews>
    <sheetView topLeftCell="C1" workbookViewId="0">
      <selection activeCell="C17" sqref="C17"/>
    </sheetView>
  </sheetViews>
  <sheetFormatPr defaultRowHeight="24" customHeight="1"/>
  <cols>
    <col min="1" max="1" width="9.5" customWidth="1"/>
    <col min="2" max="2" width="255" style="590" bestFit="1" customWidth="1"/>
    <col min="3" max="4" width="255" style="491" bestFit="1" customWidth="1"/>
    <col min="5" max="5" width="255" bestFit="1" customWidth="1"/>
    <col min="6" max="7" width="110" customWidth="1"/>
    <col min="8" max="8" width="72.35546875" customWidth="1"/>
    <col min="9" max="9" width="44.85546875" customWidth="1"/>
    <col min="10" max="10" width="46.140625" customWidth="1"/>
    <col min="11" max="11" width="44" customWidth="1"/>
  </cols>
  <sheetData>
    <row r="1" spans="1:17" ht="24" customHeight="1">
      <c r="A1" s="591" t="s">
        <v>4621</v>
      </c>
      <c r="B1" s="592" t="s">
        <v>959</v>
      </c>
      <c r="C1" s="593" t="s">
        <v>1029</v>
      </c>
      <c r="D1" s="594" t="s">
        <v>1060</v>
      </c>
      <c r="E1" s="595" t="s">
        <v>1093</v>
      </c>
      <c r="F1" s="596" t="s">
        <v>1123</v>
      </c>
      <c r="G1" s="597" t="s">
        <v>1156</v>
      </c>
      <c r="H1" s="598"/>
      <c r="I1" s="599"/>
      <c r="J1" s="599"/>
      <c r="K1" s="599"/>
      <c r="L1" s="599"/>
      <c r="M1" s="599"/>
      <c r="N1" s="599"/>
      <c r="O1" s="599"/>
      <c r="P1" s="106"/>
      <c r="Q1" s="106"/>
    </row>
    <row r="2" spans="1:17" ht="24" customHeight="1">
      <c r="A2" s="591">
        <v>1</v>
      </c>
      <c r="B2" s="600" t="s">
        <v>4622</v>
      </c>
      <c r="C2" s="600" t="s">
        <v>4623</v>
      </c>
      <c r="D2" s="601" t="s">
        <v>4624</v>
      </c>
      <c r="E2" s="600" t="s">
        <v>4625</v>
      </c>
      <c r="F2" s="601" t="s">
        <v>4626</v>
      </c>
      <c r="G2" s="601" t="s">
        <v>4627</v>
      </c>
      <c r="H2" s="106"/>
      <c r="I2" s="599"/>
      <c r="J2" s="599"/>
      <c r="K2" s="599"/>
      <c r="L2" s="599"/>
      <c r="M2" s="599"/>
      <c r="N2" s="599"/>
      <c r="O2" s="599"/>
      <c r="P2" s="106"/>
      <c r="Q2" s="106"/>
    </row>
    <row r="3" spans="1:17" ht="24" customHeight="1">
      <c r="A3" s="591">
        <v>2</v>
      </c>
      <c r="B3" s="600" t="s">
        <v>4628</v>
      </c>
      <c r="C3" s="600" t="s">
        <v>4628</v>
      </c>
      <c r="D3" s="601" t="s">
        <v>4628</v>
      </c>
      <c r="E3" s="600" t="s">
        <v>4628</v>
      </c>
      <c r="F3" s="600" t="s">
        <v>4628</v>
      </c>
      <c r="G3" s="600" t="s">
        <v>4628</v>
      </c>
      <c r="H3" s="106"/>
      <c r="I3" s="599"/>
      <c r="J3" s="599"/>
      <c r="K3" s="599"/>
      <c r="L3" s="599"/>
      <c r="M3" s="599"/>
      <c r="N3" s="599"/>
      <c r="O3" s="599"/>
      <c r="P3" s="106"/>
      <c r="Q3" s="106"/>
    </row>
    <row r="4" spans="1:17" ht="24" customHeight="1">
      <c r="A4" s="591">
        <v>3</v>
      </c>
      <c r="B4" s="600" t="s">
        <v>4629</v>
      </c>
      <c r="C4" s="601" t="s">
        <v>4629</v>
      </c>
      <c r="D4" s="601" t="s">
        <v>4629</v>
      </c>
      <c r="E4" s="602" t="s">
        <v>4629</v>
      </c>
      <c r="F4" s="602" t="s">
        <v>4629</v>
      </c>
      <c r="G4" s="602" t="s">
        <v>4629</v>
      </c>
      <c r="H4" s="106"/>
      <c r="I4" s="599"/>
      <c r="J4" s="599"/>
      <c r="K4" s="599"/>
      <c r="L4" s="599"/>
      <c r="M4" s="599"/>
      <c r="N4" s="599"/>
      <c r="O4" s="599"/>
      <c r="P4" s="106"/>
      <c r="Q4" s="106"/>
    </row>
    <row r="5" spans="1:17" ht="24" customHeight="1">
      <c r="A5" s="591">
        <v>4</v>
      </c>
      <c r="B5" s="603" t="s">
        <v>4630</v>
      </c>
      <c r="C5" s="603" t="s">
        <v>4631</v>
      </c>
      <c r="D5" s="603" t="s">
        <v>4632</v>
      </c>
      <c r="E5" s="602" t="s">
        <v>4633</v>
      </c>
      <c r="F5" s="602" t="s">
        <v>4634</v>
      </c>
      <c r="G5" s="602" t="s">
        <v>4635</v>
      </c>
      <c r="H5" s="106"/>
      <c r="I5" s="599"/>
      <c r="J5" s="599"/>
      <c r="K5" s="599"/>
      <c r="L5" s="599"/>
      <c r="M5" s="599"/>
      <c r="N5" s="599"/>
      <c r="O5" s="599"/>
      <c r="P5" s="106"/>
      <c r="Q5" s="106"/>
    </row>
    <row r="6" spans="1:17" ht="24" customHeight="1">
      <c r="A6" s="604"/>
      <c r="B6" s="605" t="s">
        <v>4636</v>
      </c>
      <c r="C6" s="605" t="s">
        <v>4637</v>
      </c>
      <c r="D6" s="605" t="s">
        <v>4636</v>
      </c>
      <c r="E6" s="606" t="s">
        <v>4636</v>
      </c>
      <c r="F6" s="606" t="s">
        <v>4638</v>
      </c>
      <c r="G6" s="606" t="s">
        <v>4639</v>
      </c>
      <c r="H6" s="106"/>
      <c r="I6" s="599"/>
      <c r="J6" s="599"/>
      <c r="K6" s="599"/>
      <c r="L6" s="599"/>
      <c r="M6" s="599"/>
      <c r="N6" s="599"/>
      <c r="O6" s="599"/>
      <c r="P6" s="106"/>
      <c r="Q6" s="106"/>
    </row>
    <row r="7" spans="1:17" ht="24" customHeight="1">
      <c r="A7" s="604"/>
      <c r="B7" s="605" t="s">
        <v>4640</v>
      </c>
      <c r="C7" s="605" t="s">
        <v>4638</v>
      </c>
      <c r="D7" s="605" t="s">
        <v>4639</v>
      </c>
      <c r="E7" s="605" t="s">
        <v>4640</v>
      </c>
      <c r="F7" s="605" t="s">
        <v>4640</v>
      </c>
      <c r="G7" s="605" t="s">
        <v>4637</v>
      </c>
      <c r="H7" s="106"/>
      <c r="I7" s="599"/>
      <c r="J7" s="599"/>
      <c r="K7" s="599"/>
      <c r="L7" s="599"/>
      <c r="M7" s="599"/>
      <c r="N7" s="599"/>
      <c r="O7" s="599"/>
      <c r="P7" s="106"/>
      <c r="Q7" s="106"/>
    </row>
    <row r="8" spans="1:17" ht="24" customHeight="1">
      <c r="A8" s="607"/>
      <c r="B8" s="605" t="s">
        <v>4637</v>
      </c>
      <c r="C8" s="605" t="s">
        <v>655</v>
      </c>
      <c r="D8" s="605" t="s">
        <v>655</v>
      </c>
      <c r="E8" s="605" t="s">
        <v>655</v>
      </c>
      <c r="F8" s="605" t="s">
        <v>655</v>
      </c>
      <c r="G8" s="605" t="s">
        <v>655</v>
      </c>
      <c r="H8" s="608"/>
      <c r="I8" s="599"/>
      <c r="J8" s="599"/>
      <c r="K8" s="599"/>
      <c r="L8" s="599"/>
      <c r="M8" s="599"/>
      <c r="N8" s="599"/>
      <c r="O8" s="599"/>
      <c r="P8" s="106"/>
      <c r="Q8" s="106"/>
    </row>
    <row r="9" spans="1:17" ht="24" customHeight="1">
      <c r="A9" s="604"/>
      <c r="B9" s="605" t="s">
        <v>4639</v>
      </c>
      <c r="C9" s="605" t="s">
        <v>655</v>
      </c>
      <c r="D9" s="605" t="s">
        <v>655</v>
      </c>
      <c r="E9" s="605" t="s">
        <v>655</v>
      </c>
      <c r="F9" s="605" t="s">
        <v>655</v>
      </c>
      <c r="G9" s="605" t="s">
        <v>655</v>
      </c>
      <c r="H9" s="608"/>
      <c r="I9" s="599"/>
      <c r="J9" s="599"/>
      <c r="K9" s="599"/>
      <c r="L9" s="599"/>
      <c r="M9" s="599"/>
      <c r="N9" s="599"/>
      <c r="O9" s="599"/>
      <c r="P9" s="106"/>
      <c r="Q9" s="106"/>
    </row>
    <row r="10" spans="1:17" ht="24" customHeight="1">
      <c r="A10" s="604"/>
      <c r="B10" s="605" t="s">
        <v>4638</v>
      </c>
      <c r="C10" s="605" t="s">
        <v>655</v>
      </c>
      <c r="D10" s="605" t="s">
        <v>655</v>
      </c>
      <c r="E10" s="605" t="s">
        <v>655</v>
      </c>
      <c r="F10" s="605" t="s">
        <v>655</v>
      </c>
      <c r="G10" s="605" t="s">
        <v>655</v>
      </c>
      <c r="H10" s="608"/>
      <c r="I10" s="599"/>
      <c r="J10" s="599"/>
      <c r="K10" s="599"/>
      <c r="L10" s="599"/>
      <c r="M10" s="599"/>
      <c r="N10" s="599"/>
      <c r="O10" s="599"/>
      <c r="P10" s="106"/>
      <c r="Q10" s="106"/>
    </row>
    <row r="11" spans="1:17" ht="24" customHeight="1">
      <c r="A11" s="591">
        <v>5</v>
      </c>
      <c r="B11" s="609" t="s">
        <v>4641</v>
      </c>
      <c r="C11" s="610" t="s">
        <v>4642</v>
      </c>
      <c r="D11" s="610" t="s">
        <v>4642</v>
      </c>
      <c r="E11" s="609" t="s">
        <v>4642</v>
      </c>
      <c r="F11" s="609" t="s">
        <v>4642</v>
      </c>
      <c r="G11" s="609" t="s">
        <v>4642</v>
      </c>
      <c r="H11" s="608"/>
      <c r="I11" s="599"/>
      <c r="J11" s="599"/>
      <c r="K11" s="599"/>
      <c r="L11" s="599"/>
      <c r="M11" s="599"/>
      <c r="N11" s="599"/>
      <c r="O11" s="599"/>
      <c r="P11" s="106"/>
      <c r="Q11" s="106"/>
    </row>
    <row r="12" spans="1:17" ht="24" customHeight="1">
      <c r="A12" s="591">
        <v>6</v>
      </c>
      <c r="B12" s="611" t="s">
        <v>4643</v>
      </c>
      <c r="C12" s="612" t="s">
        <v>4644</v>
      </c>
      <c r="D12" s="613" t="s">
        <v>4645</v>
      </c>
      <c r="E12" s="614" t="s">
        <v>4646</v>
      </c>
      <c r="F12" s="615" t="s">
        <v>4647</v>
      </c>
      <c r="G12" s="616" t="s">
        <v>4648</v>
      </c>
      <c r="H12" s="608"/>
      <c r="I12" s="599"/>
      <c r="J12" s="599"/>
      <c r="K12" s="599"/>
      <c r="L12" s="599"/>
      <c r="M12" s="599"/>
      <c r="N12" s="599"/>
      <c r="O12" s="599"/>
      <c r="P12" s="106"/>
      <c r="Q12" s="106"/>
    </row>
    <row r="13" spans="1:17" ht="24" customHeight="1">
      <c r="A13" s="604"/>
      <c r="B13" s="604"/>
      <c r="C13" s="604"/>
      <c r="D13" s="604"/>
      <c r="E13" s="604"/>
      <c r="F13" s="604"/>
      <c r="G13" s="604"/>
      <c r="H13" s="608"/>
      <c r="I13" s="599"/>
      <c r="J13" s="599"/>
      <c r="K13" s="599"/>
      <c r="L13" s="599"/>
      <c r="M13" s="599"/>
      <c r="N13" s="599"/>
      <c r="O13" s="599"/>
      <c r="P13" s="106"/>
      <c r="Q13" s="106"/>
    </row>
    <row r="14" spans="1:17" ht="24" customHeight="1">
      <c r="A14" s="591">
        <v>6</v>
      </c>
      <c r="B14" s="617" t="s">
        <v>4649</v>
      </c>
      <c r="C14" s="618" t="s">
        <v>4650</v>
      </c>
      <c r="D14" s="619" t="s">
        <v>4651</v>
      </c>
      <c r="E14" s="620" t="s">
        <v>4652</v>
      </c>
      <c r="F14" s="621" t="s">
        <v>4653</v>
      </c>
      <c r="G14" s="622" t="s">
        <v>4654</v>
      </c>
      <c r="H14" s="106"/>
      <c r="I14" s="599"/>
      <c r="J14" s="599"/>
      <c r="K14" s="599"/>
      <c r="L14" s="599"/>
      <c r="M14" s="599"/>
      <c r="N14" s="599"/>
      <c r="O14" s="599"/>
      <c r="P14" s="106"/>
      <c r="Q14" s="106"/>
    </row>
    <row r="15" spans="1:17" ht="24" customHeight="1">
      <c r="A15" s="591">
        <v>7</v>
      </c>
      <c r="B15" s="623" t="s">
        <v>4655</v>
      </c>
      <c r="C15" s="623" t="s">
        <v>4656</v>
      </c>
      <c r="D15" s="623" t="s">
        <v>4657</v>
      </c>
      <c r="E15" s="624" t="s">
        <v>4658</v>
      </c>
      <c r="F15" s="624" t="s">
        <v>4659</v>
      </c>
      <c r="G15" s="624" t="s">
        <v>4660</v>
      </c>
      <c r="H15" s="106"/>
      <c r="I15" s="599"/>
      <c r="J15" s="599"/>
      <c r="K15" s="599"/>
      <c r="L15" s="599"/>
      <c r="M15" s="599"/>
      <c r="N15" s="599"/>
      <c r="O15" s="599"/>
      <c r="P15" s="106"/>
      <c r="Q15" s="106"/>
    </row>
    <row r="16" spans="1:17" ht="24" customHeight="1">
      <c r="A16" s="591">
        <v>8</v>
      </c>
      <c r="B16" s="624" t="s">
        <v>4661</v>
      </c>
      <c r="C16" s="624" t="s">
        <v>4662</v>
      </c>
      <c r="D16" s="624" t="s">
        <v>4663</v>
      </c>
      <c r="E16" s="625" t="s">
        <v>4664</v>
      </c>
      <c r="F16" s="625" t="s">
        <v>4665</v>
      </c>
      <c r="G16" s="625" t="s">
        <v>4666</v>
      </c>
      <c r="H16" s="106"/>
      <c r="I16" s="599"/>
      <c r="J16" s="599"/>
      <c r="K16" s="599"/>
      <c r="L16" s="599"/>
      <c r="M16" s="599"/>
      <c r="N16" s="599"/>
      <c r="O16" s="599"/>
      <c r="P16" s="106"/>
      <c r="Q16" s="106"/>
    </row>
    <row r="17" spans="1:17" ht="24" customHeight="1">
      <c r="A17" s="591">
        <v>9</v>
      </c>
      <c r="B17" s="624" t="s">
        <v>4667</v>
      </c>
      <c r="C17" s="624" t="s">
        <v>4668</v>
      </c>
      <c r="D17" s="624" t="s">
        <v>4669</v>
      </c>
      <c r="E17" s="625" t="s">
        <v>4670</v>
      </c>
      <c r="F17" s="625" t="s">
        <v>4671</v>
      </c>
      <c r="G17" s="625" t="s">
        <v>4672</v>
      </c>
      <c r="H17" s="106"/>
      <c r="I17" s="599"/>
      <c r="J17" s="599"/>
      <c r="K17" s="599"/>
      <c r="L17" s="599"/>
      <c r="M17" s="599"/>
      <c r="N17" s="599"/>
      <c r="O17" s="599"/>
      <c r="P17" s="106"/>
      <c r="Q17" s="106"/>
    </row>
    <row r="18" spans="1:17" ht="24" customHeight="1">
      <c r="A18" s="591">
        <v>10</v>
      </c>
      <c r="B18" s="624" t="s">
        <v>4673</v>
      </c>
      <c r="C18" s="624" t="s">
        <v>4674</v>
      </c>
      <c r="D18" s="624" t="s">
        <v>4675</v>
      </c>
      <c r="E18" s="625" t="s">
        <v>4676</v>
      </c>
      <c r="F18" s="625" t="s">
        <v>4677</v>
      </c>
      <c r="G18" s="625" t="s">
        <v>4678</v>
      </c>
      <c r="H18" s="106"/>
      <c r="I18" s="599"/>
      <c r="J18" s="599"/>
      <c r="K18" s="599"/>
      <c r="L18" s="599"/>
      <c r="M18" s="599"/>
      <c r="N18" s="599"/>
      <c r="O18" s="599"/>
      <c r="P18" s="106"/>
      <c r="Q18" s="106"/>
    </row>
    <row r="19" spans="1:17" ht="24" customHeight="1">
      <c r="A19" s="591">
        <v>11</v>
      </c>
      <c r="B19" s="625" t="s">
        <v>4679</v>
      </c>
      <c r="C19" s="624" t="s">
        <v>4680</v>
      </c>
      <c r="D19" s="624" t="s">
        <v>4681</v>
      </c>
      <c r="E19" s="625" t="s">
        <v>4682</v>
      </c>
      <c r="F19" s="625" t="s">
        <v>4683</v>
      </c>
      <c r="G19" s="625" t="s">
        <v>4684</v>
      </c>
      <c r="H19" s="106"/>
      <c r="I19" s="599"/>
      <c r="J19" s="599"/>
      <c r="K19" s="599"/>
      <c r="L19" s="599"/>
      <c r="M19" s="599"/>
      <c r="N19" s="599"/>
      <c r="O19" s="599"/>
      <c r="P19" s="106"/>
      <c r="Q19" s="106"/>
    </row>
    <row r="20" spans="1:17" ht="24" customHeight="1">
      <c r="A20" s="591">
        <v>12</v>
      </c>
      <c r="B20" s="625" t="s">
        <v>4685</v>
      </c>
      <c r="C20" s="624" t="s">
        <v>5919</v>
      </c>
      <c r="D20" s="624" t="s">
        <v>4686</v>
      </c>
      <c r="E20" s="625" t="s">
        <v>4687</v>
      </c>
      <c r="F20" s="625" t="s">
        <v>4688</v>
      </c>
      <c r="G20" s="625" t="s">
        <v>4689</v>
      </c>
      <c r="H20" s="106"/>
      <c r="I20" s="599"/>
      <c r="J20" s="599"/>
      <c r="K20" s="599"/>
      <c r="L20" s="599"/>
      <c r="M20" s="599"/>
      <c r="N20" s="599"/>
      <c r="O20" s="599"/>
      <c r="P20" s="106"/>
      <c r="Q20" s="106"/>
    </row>
    <row r="21" spans="1:17" ht="24" customHeight="1">
      <c r="A21" s="591">
        <v>6</v>
      </c>
      <c r="B21" s="617" t="s">
        <v>4690</v>
      </c>
      <c r="C21" s="626" t="s">
        <v>4691</v>
      </c>
      <c r="D21" s="627" t="s">
        <v>4692</v>
      </c>
      <c r="E21" s="628" t="s">
        <v>4693</v>
      </c>
      <c r="F21" s="629" t="s">
        <v>4694</v>
      </c>
      <c r="G21" s="630" t="s">
        <v>4695</v>
      </c>
      <c r="H21" s="106"/>
      <c r="I21" s="599"/>
      <c r="J21" s="599"/>
      <c r="K21" s="599"/>
      <c r="L21" s="599"/>
      <c r="M21" s="599"/>
      <c r="N21" s="599"/>
      <c r="O21" s="599"/>
      <c r="P21" s="106"/>
      <c r="Q21" s="106"/>
    </row>
    <row r="22" spans="1:17" ht="24" customHeight="1">
      <c r="A22" s="591">
        <v>7</v>
      </c>
      <c r="B22" s="625" t="s">
        <v>4696</v>
      </c>
      <c r="C22" s="625" t="s">
        <v>4697</v>
      </c>
      <c r="D22" s="625" t="s">
        <v>4698</v>
      </c>
      <c r="E22" s="625" t="s">
        <v>4699</v>
      </c>
      <c r="F22" s="625" t="s">
        <v>4700</v>
      </c>
      <c r="G22" s="625" t="s">
        <v>4701</v>
      </c>
      <c r="H22" s="106"/>
      <c r="I22" s="599"/>
      <c r="J22" s="599"/>
      <c r="K22" s="599"/>
      <c r="L22" s="599"/>
      <c r="M22" s="599"/>
      <c r="N22" s="599"/>
      <c r="O22" s="599"/>
      <c r="P22" s="106"/>
      <c r="Q22" s="106"/>
    </row>
    <row r="23" spans="1:17" ht="24" customHeight="1">
      <c r="A23" s="591">
        <v>8</v>
      </c>
      <c r="B23" s="623" t="s">
        <v>4702</v>
      </c>
      <c r="C23" s="623" t="s">
        <v>4703</v>
      </c>
      <c r="D23" s="623" t="s">
        <v>4704</v>
      </c>
      <c r="E23" s="625" t="s">
        <v>4705</v>
      </c>
      <c r="F23" s="625" t="s">
        <v>4706</v>
      </c>
      <c r="G23" s="625" t="s">
        <v>4707</v>
      </c>
      <c r="H23" s="106"/>
      <c r="I23" s="599"/>
      <c r="J23" s="599"/>
      <c r="K23" s="599"/>
      <c r="L23" s="599"/>
      <c r="M23" s="599"/>
      <c r="N23" s="599"/>
      <c r="O23" s="599"/>
      <c r="P23" s="106"/>
      <c r="Q23" s="106"/>
    </row>
    <row r="24" spans="1:17" ht="24" customHeight="1">
      <c r="A24" s="591">
        <v>9</v>
      </c>
      <c r="B24" s="624" t="s">
        <v>4708</v>
      </c>
      <c r="C24" s="624" t="s">
        <v>4709</v>
      </c>
      <c r="D24" s="624" t="s">
        <v>4710</v>
      </c>
      <c r="E24" s="625" t="s">
        <v>4711</v>
      </c>
      <c r="F24" s="625" t="s">
        <v>4712</v>
      </c>
      <c r="G24" s="625" t="s">
        <v>4713</v>
      </c>
      <c r="H24" s="106"/>
      <c r="I24" s="599"/>
      <c r="J24" s="599"/>
      <c r="K24" s="599"/>
      <c r="L24" s="599"/>
      <c r="M24" s="599"/>
      <c r="N24" s="599"/>
      <c r="O24" s="599"/>
      <c r="P24" s="106"/>
      <c r="Q24" s="106"/>
    </row>
    <row r="25" spans="1:17" ht="24" customHeight="1">
      <c r="A25" s="591">
        <v>10</v>
      </c>
      <c r="B25" s="624" t="s">
        <v>4714</v>
      </c>
      <c r="C25" s="624" t="s">
        <v>4715</v>
      </c>
      <c r="D25" s="624" t="s">
        <v>4716</v>
      </c>
      <c r="E25" s="625" t="s">
        <v>4717</v>
      </c>
      <c r="F25" s="625" t="s">
        <v>4718</v>
      </c>
      <c r="G25" s="625" t="s">
        <v>4719</v>
      </c>
      <c r="H25" s="106"/>
      <c r="I25" s="599"/>
      <c r="J25" s="599"/>
      <c r="K25" s="599"/>
      <c r="L25" s="599"/>
      <c r="M25" s="599"/>
      <c r="N25" s="599"/>
      <c r="O25" s="599"/>
      <c r="P25" s="106"/>
      <c r="Q25" s="106"/>
    </row>
    <row r="26" spans="1:17" ht="24" customHeight="1">
      <c r="A26" s="591">
        <v>11</v>
      </c>
      <c r="B26" s="624" t="s">
        <v>4720</v>
      </c>
      <c r="C26" s="624" t="s">
        <v>4721</v>
      </c>
      <c r="D26" s="624" t="s">
        <v>4722</v>
      </c>
      <c r="E26" s="625" t="s">
        <v>4723</v>
      </c>
      <c r="F26" s="625" t="s">
        <v>4724</v>
      </c>
      <c r="G26" s="625" t="s">
        <v>4725</v>
      </c>
      <c r="H26" s="106"/>
      <c r="I26" s="599"/>
      <c r="J26" s="599"/>
      <c r="K26" s="599"/>
      <c r="L26" s="599"/>
      <c r="M26" s="599"/>
      <c r="N26" s="599"/>
      <c r="O26" s="599"/>
      <c r="P26" s="106"/>
      <c r="Q26" s="106"/>
    </row>
    <row r="27" spans="1:17" ht="24" customHeight="1">
      <c r="A27" s="591">
        <v>12</v>
      </c>
      <c r="B27" s="625" t="s">
        <v>4726</v>
      </c>
      <c r="C27" s="624" t="s">
        <v>4727</v>
      </c>
      <c r="D27" s="624" t="s">
        <v>4728</v>
      </c>
      <c r="E27" s="625" t="s">
        <v>4729</v>
      </c>
      <c r="F27" s="625" t="s">
        <v>4730</v>
      </c>
      <c r="G27" s="625" t="s">
        <v>4731</v>
      </c>
      <c r="H27" s="106"/>
      <c r="I27" s="599"/>
      <c r="J27" s="599"/>
      <c r="K27" s="599"/>
      <c r="L27" s="599"/>
      <c r="M27" s="599"/>
      <c r="N27" s="599"/>
      <c r="O27" s="599"/>
      <c r="P27" s="106"/>
      <c r="Q27" s="106"/>
    </row>
    <row r="28" spans="1:17" ht="24" customHeight="1">
      <c r="A28" s="591">
        <v>6</v>
      </c>
      <c r="B28" s="617" t="s">
        <v>4732</v>
      </c>
      <c r="C28" s="626" t="s">
        <v>4733</v>
      </c>
      <c r="D28" s="627" t="s">
        <v>4734</v>
      </c>
      <c r="E28" s="628" t="s">
        <v>4735</v>
      </c>
      <c r="F28" s="629" t="s">
        <v>4736</v>
      </c>
      <c r="G28" s="630" t="s">
        <v>4737</v>
      </c>
      <c r="H28" s="106"/>
      <c r="I28" s="599"/>
      <c r="J28" s="599"/>
      <c r="K28" s="599"/>
      <c r="L28" s="599"/>
      <c r="M28" s="599"/>
      <c r="N28" s="599"/>
      <c r="O28" s="599"/>
      <c r="P28" s="106"/>
      <c r="Q28" s="106"/>
    </row>
    <row r="29" spans="1:17" ht="24" customHeight="1">
      <c r="A29" s="591">
        <v>7</v>
      </c>
      <c r="B29" s="625" t="s">
        <v>4738</v>
      </c>
      <c r="C29" s="624" t="s">
        <v>4739</v>
      </c>
      <c r="D29" s="624" t="s">
        <v>4740</v>
      </c>
      <c r="E29" s="625" t="s">
        <v>4741</v>
      </c>
      <c r="F29" s="625" t="s">
        <v>4742</v>
      </c>
      <c r="G29" s="625" t="s">
        <v>4743</v>
      </c>
      <c r="H29" s="106"/>
      <c r="I29" s="599"/>
      <c r="J29" s="599"/>
      <c r="K29" s="599"/>
      <c r="L29" s="599"/>
      <c r="M29" s="599"/>
      <c r="N29" s="599"/>
      <c r="O29" s="599"/>
      <c r="P29" s="106"/>
      <c r="Q29" s="106"/>
    </row>
    <row r="30" spans="1:17" ht="24" customHeight="1">
      <c r="A30" s="591">
        <v>8</v>
      </c>
      <c r="B30" s="625" t="s">
        <v>4744</v>
      </c>
      <c r="C30" s="625" t="s">
        <v>4745</v>
      </c>
      <c r="D30" s="625" t="s">
        <v>4746</v>
      </c>
      <c r="E30" s="625" t="s">
        <v>4747</v>
      </c>
      <c r="F30" s="625" t="s">
        <v>4748</v>
      </c>
      <c r="G30" s="625" t="s">
        <v>4749</v>
      </c>
      <c r="H30" s="106"/>
      <c r="I30" s="599"/>
      <c r="J30" s="599"/>
      <c r="K30" s="599"/>
      <c r="L30" s="599"/>
      <c r="M30" s="599"/>
      <c r="N30" s="599"/>
      <c r="O30" s="599"/>
      <c r="P30" s="106"/>
      <c r="Q30" s="106"/>
    </row>
    <row r="31" spans="1:17" ht="24" customHeight="1">
      <c r="A31" s="591">
        <v>9</v>
      </c>
      <c r="B31" s="623" t="s">
        <v>4750</v>
      </c>
      <c r="C31" s="623" t="s">
        <v>4751</v>
      </c>
      <c r="D31" s="623" t="s">
        <v>4752</v>
      </c>
      <c r="E31" s="625" t="s">
        <v>4753</v>
      </c>
      <c r="F31" s="625" t="s">
        <v>4754</v>
      </c>
      <c r="G31" s="625" t="s">
        <v>4755</v>
      </c>
      <c r="H31" s="106"/>
      <c r="I31" s="599"/>
      <c r="J31" s="599"/>
      <c r="K31" s="599"/>
      <c r="L31" s="599"/>
      <c r="M31" s="599"/>
      <c r="N31" s="599"/>
      <c r="O31" s="599"/>
      <c r="P31" s="106"/>
      <c r="Q31" s="106"/>
    </row>
    <row r="32" spans="1:17" ht="24" customHeight="1">
      <c r="A32" s="591">
        <v>10</v>
      </c>
      <c r="B32" s="624" t="s">
        <v>4756</v>
      </c>
      <c r="C32" s="624" t="s">
        <v>4757</v>
      </c>
      <c r="D32" s="624" t="s">
        <v>4758</v>
      </c>
      <c r="E32" s="625" t="s">
        <v>4759</v>
      </c>
      <c r="F32" s="625" t="s">
        <v>4760</v>
      </c>
      <c r="G32" s="625" t="s">
        <v>4761</v>
      </c>
      <c r="H32" s="106"/>
      <c r="I32" s="599"/>
      <c r="J32" s="599"/>
      <c r="K32" s="599"/>
      <c r="L32" s="599"/>
      <c r="M32" s="599"/>
      <c r="N32" s="599"/>
      <c r="O32" s="599"/>
      <c r="P32" s="106"/>
      <c r="Q32" s="106"/>
    </row>
    <row r="33" spans="1:17" ht="24" customHeight="1">
      <c r="A33" s="591">
        <v>11</v>
      </c>
      <c r="B33" s="624" t="s">
        <v>4762</v>
      </c>
      <c r="C33" s="624" t="s">
        <v>4763</v>
      </c>
      <c r="D33" s="624" t="s">
        <v>4764</v>
      </c>
      <c r="E33" s="625" t="s">
        <v>4765</v>
      </c>
      <c r="F33" s="625" t="s">
        <v>4766</v>
      </c>
      <c r="G33" s="625" t="s">
        <v>4767</v>
      </c>
      <c r="H33" s="106"/>
      <c r="I33" s="599"/>
      <c r="J33" s="599"/>
      <c r="K33" s="599"/>
      <c r="L33" s="599"/>
      <c r="M33" s="599"/>
      <c r="N33" s="599"/>
      <c r="O33" s="599"/>
      <c r="P33" s="106"/>
      <c r="Q33" s="106"/>
    </row>
    <row r="34" spans="1:17" ht="24" customHeight="1">
      <c r="A34" s="591">
        <v>12</v>
      </c>
      <c r="B34" s="624" t="s">
        <v>4768</v>
      </c>
      <c r="C34" s="624" t="s">
        <v>4769</v>
      </c>
      <c r="D34" s="624" t="s">
        <v>4770</v>
      </c>
      <c r="E34" s="625" t="s">
        <v>4771</v>
      </c>
      <c r="F34" s="625" t="s">
        <v>4772</v>
      </c>
      <c r="G34" s="625" t="s">
        <v>4773</v>
      </c>
      <c r="H34" s="106"/>
      <c r="I34" s="599"/>
      <c r="J34" s="599"/>
      <c r="K34" s="599"/>
      <c r="L34" s="599"/>
      <c r="M34" s="599"/>
      <c r="N34" s="599"/>
      <c r="O34" s="599"/>
      <c r="P34" s="106"/>
      <c r="Q34" s="106"/>
    </row>
    <row r="35" spans="1:17" ht="24" customHeight="1">
      <c r="A35" s="631"/>
      <c r="C35" s="590"/>
      <c r="D35" s="590"/>
      <c r="E35" s="632"/>
      <c r="F35" s="106"/>
      <c r="G35" s="106"/>
      <c r="H35" s="106"/>
      <c r="I35" s="599"/>
      <c r="J35" s="599"/>
      <c r="K35" s="599"/>
      <c r="L35" s="599"/>
      <c r="M35" s="599"/>
      <c r="N35" s="599"/>
      <c r="O35" s="599"/>
      <c r="P35" s="106"/>
      <c r="Q35" s="106"/>
    </row>
    <row r="36" spans="1:17" ht="24" customHeight="1">
      <c r="A36" s="631"/>
      <c r="C36" s="590"/>
      <c r="D36" s="590"/>
      <c r="E36" s="632"/>
      <c r="F36" s="106"/>
      <c r="G36" s="106"/>
      <c r="H36" s="106"/>
      <c r="I36" s="599"/>
      <c r="J36" s="599"/>
      <c r="K36" s="599"/>
      <c r="L36" s="599"/>
      <c r="M36" s="599"/>
      <c r="N36" s="599"/>
      <c r="O36" s="599"/>
      <c r="P36" s="633"/>
      <c r="Q36" s="106"/>
    </row>
    <row r="37" spans="1:17" ht="24" customHeight="1">
      <c r="A37" s="631"/>
      <c r="C37" s="590"/>
      <c r="D37" s="590"/>
      <c r="E37" s="632"/>
      <c r="F37" s="106"/>
      <c r="G37" s="106"/>
      <c r="H37" s="106"/>
      <c r="I37" s="599"/>
      <c r="J37" s="599"/>
      <c r="K37" s="599"/>
      <c r="L37" s="599"/>
      <c r="M37" s="599"/>
      <c r="N37" s="599"/>
      <c r="O37" s="599"/>
      <c r="P37" s="599"/>
      <c r="Q37" s="106"/>
    </row>
    <row r="38" spans="1:17" ht="24" customHeight="1">
      <c r="A38" s="631"/>
      <c r="C38" s="590"/>
      <c r="D38" s="590"/>
      <c r="E38" s="632"/>
      <c r="F38" s="106"/>
      <c r="G38" s="106"/>
      <c r="H38" s="106"/>
      <c r="I38" s="599"/>
      <c r="J38" s="599"/>
      <c r="K38" s="599"/>
      <c r="L38" s="599"/>
      <c r="M38" s="599"/>
      <c r="N38" s="599"/>
      <c r="O38" s="599"/>
      <c r="P38" s="599"/>
      <c r="Q38" s="106"/>
    </row>
    <row r="39" spans="1:17" ht="24" customHeight="1">
      <c r="A39" s="634"/>
      <c r="C39" s="590"/>
      <c r="D39" s="590"/>
      <c r="E39" s="632"/>
      <c r="F39" s="106"/>
      <c r="G39" s="106"/>
      <c r="H39" s="106"/>
      <c r="I39" s="599"/>
      <c r="J39" s="599"/>
      <c r="K39" s="599"/>
      <c r="L39" s="599"/>
      <c r="M39" s="599"/>
      <c r="N39" s="599"/>
      <c r="O39" s="599"/>
      <c r="P39" s="599"/>
      <c r="Q39" s="106"/>
    </row>
    <row r="40" spans="1:17" ht="24" customHeight="1">
      <c r="A40" s="634"/>
      <c r="C40" s="590"/>
      <c r="D40" s="590"/>
      <c r="E40" s="632"/>
      <c r="F40" s="106"/>
      <c r="G40" s="106"/>
      <c r="H40" s="106"/>
      <c r="I40" s="599"/>
      <c r="J40" s="599"/>
      <c r="K40" s="599"/>
      <c r="L40" s="599"/>
      <c r="M40" s="599"/>
      <c r="N40" s="599"/>
      <c r="O40" s="599"/>
      <c r="P40" s="106"/>
      <c r="Q40" s="106"/>
    </row>
    <row r="41" spans="1:17" ht="24" customHeight="1">
      <c r="A41" s="634"/>
      <c r="C41" s="590"/>
      <c r="D41" s="590"/>
      <c r="E41" s="632"/>
      <c r="F41" s="106"/>
      <c r="G41" s="106"/>
      <c r="H41" s="106"/>
      <c r="I41" s="599"/>
      <c r="J41" s="599"/>
      <c r="K41" s="599"/>
      <c r="L41" s="599"/>
      <c r="M41" s="599"/>
      <c r="N41" s="599"/>
      <c r="O41" s="599"/>
      <c r="P41" s="106"/>
      <c r="Q41" s="106"/>
    </row>
    <row r="42" spans="1:17" ht="24" customHeight="1">
      <c r="A42" s="634"/>
      <c r="C42" s="590"/>
      <c r="D42" s="590"/>
      <c r="E42" s="632"/>
      <c r="F42" s="106"/>
      <c r="G42" s="106"/>
      <c r="H42" s="106"/>
      <c r="I42" s="599"/>
      <c r="J42" s="599"/>
      <c r="K42" s="599"/>
      <c r="L42" s="599"/>
      <c r="M42" s="599"/>
      <c r="N42" s="599"/>
      <c r="O42" s="599"/>
      <c r="P42" s="106"/>
      <c r="Q42" s="106"/>
    </row>
    <row r="43" spans="1:17" ht="24" customHeight="1">
      <c r="A43" s="634"/>
      <c r="C43" s="590"/>
      <c r="D43" s="590"/>
      <c r="E43" s="632"/>
      <c r="F43" s="106"/>
      <c r="G43" s="106"/>
      <c r="H43" s="106"/>
      <c r="I43" s="599"/>
      <c r="J43" s="599"/>
      <c r="K43" s="599"/>
      <c r="L43" s="599"/>
      <c r="M43" s="599"/>
      <c r="N43" s="599"/>
      <c r="O43" s="599"/>
      <c r="P43" s="106"/>
      <c r="Q43" s="106"/>
    </row>
    <row r="44" spans="1:17" ht="24" customHeight="1">
      <c r="A44" s="631"/>
      <c r="C44" s="590"/>
      <c r="D44" s="590"/>
      <c r="E44" s="632"/>
      <c r="F44" s="106"/>
      <c r="G44" s="106"/>
      <c r="H44" s="106"/>
      <c r="I44" s="599"/>
      <c r="J44" s="599"/>
      <c r="K44" s="599"/>
      <c r="L44" s="599"/>
      <c r="M44" s="599"/>
      <c r="N44" s="599"/>
      <c r="O44" s="599"/>
      <c r="P44" s="633"/>
      <c r="Q44" s="106"/>
    </row>
    <row r="45" spans="1:17" ht="24" customHeight="1">
      <c r="A45" s="631"/>
      <c r="C45" s="590"/>
      <c r="D45" s="590"/>
      <c r="E45" s="632"/>
      <c r="F45" s="106"/>
      <c r="G45" s="106"/>
      <c r="H45" s="106"/>
      <c r="I45" s="599"/>
      <c r="J45" s="599"/>
      <c r="K45" s="599"/>
      <c r="L45" s="599"/>
      <c r="M45" s="599"/>
      <c r="N45" s="599"/>
      <c r="O45" s="599"/>
      <c r="P45" s="599"/>
      <c r="Q45" s="106"/>
    </row>
    <row r="46" spans="1:17" ht="24" customHeight="1">
      <c r="A46" s="631"/>
      <c r="C46" s="590"/>
      <c r="D46" s="590"/>
      <c r="E46" s="632"/>
      <c r="F46" s="106"/>
      <c r="G46" s="106"/>
      <c r="H46" s="106"/>
      <c r="I46" s="599"/>
      <c r="J46" s="599"/>
      <c r="K46" s="599"/>
      <c r="L46" s="599"/>
      <c r="M46" s="599"/>
      <c r="N46" s="599"/>
      <c r="O46" s="599"/>
      <c r="P46" s="599"/>
      <c r="Q46" s="106"/>
    </row>
    <row r="47" spans="1:17" ht="24" customHeight="1">
      <c r="A47" s="631"/>
      <c r="C47" s="590"/>
      <c r="D47" s="590"/>
      <c r="E47" s="632"/>
      <c r="F47" s="106"/>
      <c r="G47" s="106"/>
      <c r="H47" s="106"/>
      <c r="I47" s="599"/>
      <c r="J47" s="599"/>
      <c r="K47" s="599"/>
      <c r="L47" s="599"/>
      <c r="M47" s="599"/>
      <c r="N47" s="599"/>
      <c r="O47" s="599"/>
      <c r="P47" s="599"/>
      <c r="Q47" s="106"/>
    </row>
    <row r="48" spans="1:17" ht="24" customHeight="1">
      <c r="A48" s="631"/>
      <c r="C48" s="590"/>
      <c r="D48" s="590"/>
      <c r="E48" s="106"/>
      <c r="F48" s="106"/>
      <c r="G48" s="106"/>
      <c r="H48" s="106"/>
      <c r="I48" s="599"/>
      <c r="J48" s="599"/>
      <c r="K48" s="599"/>
      <c r="L48" s="599"/>
      <c r="M48" s="599"/>
      <c r="N48" s="599"/>
      <c r="O48" s="599"/>
      <c r="P48" s="599"/>
      <c r="Q48" s="106"/>
    </row>
    <row r="49" spans="1:17" ht="24" customHeight="1">
      <c r="A49" s="631"/>
      <c r="C49" s="590"/>
      <c r="D49" s="590"/>
      <c r="E49" s="608"/>
      <c r="F49" s="106"/>
      <c r="G49" s="632"/>
      <c r="H49" s="106"/>
      <c r="I49" s="599"/>
      <c r="J49" s="599"/>
      <c r="K49" s="599"/>
      <c r="L49" s="599"/>
      <c r="M49" s="599"/>
      <c r="N49" s="599"/>
      <c r="O49" s="599"/>
      <c r="P49" s="599"/>
      <c r="Q49" s="106"/>
    </row>
    <row r="50" spans="1:17" ht="24" customHeight="1">
      <c r="A50" s="631"/>
      <c r="C50" s="590"/>
      <c r="D50" s="590"/>
      <c r="E50" s="608"/>
      <c r="F50" s="106"/>
      <c r="G50" s="598"/>
      <c r="H50" s="106"/>
      <c r="I50" s="599"/>
      <c r="J50" s="599"/>
      <c r="K50" s="599"/>
      <c r="L50" s="599"/>
      <c r="M50" s="599"/>
      <c r="N50" s="599"/>
      <c r="O50" s="599"/>
      <c r="P50" s="599"/>
      <c r="Q50" s="106"/>
    </row>
    <row r="51" spans="1:17" ht="24" customHeight="1">
      <c r="A51" s="631"/>
      <c r="C51" s="590"/>
      <c r="D51" s="590"/>
      <c r="E51" s="608"/>
      <c r="F51" s="106"/>
      <c r="G51" s="598"/>
      <c r="H51" s="106"/>
      <c r="I51" s="599"/>
      <c r="J51" s="599"/>
      <c r="K51" s="599"/>
      <c r="L51" s="599"/>
      <c r="M51" s="599"/>
      <c r="N51" s="599"/>
      <c r="O51" s="599"/>
      <c r="P51" s="106"/>
      <c r="Q51" s="106"/>
    </row>
    <row r="52" spans="1:17" ht="24" customHeight="1">
      <c r="A52" s="631"/>
      <c r="C52" s="590"/>
      <c r="D52" s="590"/>
      <c r="E52" s="608"/>
      <c r="F52" s="106"/>
      <c r="G52" s="599"/>
      <c r="H52" s="106"/>
      <c r="I52" s="599"/>
      <c r="J52" s="599"/>
      <c r="K52" s="599"/>
      <c r="L52" s="599"/>
      <c r="M52" s="599"/>
      <c r="N52" s="599"/>
      <c r="O52" s="599"/>
      <c r="P52" s="106"/>
      <c r="Q52" s="106"/>
    </row>
    <row r="53" spans="1:17" ht="24" customHeight="1">
      <c r="A53" s="631"/>
      <c r="C53" s="590"/>
      <c r="D53" s="590"/>
      <c r="E53" s="608"/>
      <c r="F53" s="106"/>
      <c r="G53" s="599"/>
      <c r="H53" s="106"/>
      <c r="I53" s="599"/>
      <c r="J53" s="599"/>
      <c r="K53" s="599"/>
      <c r="L53" s="599"/>
      <c r="M53" s="599"/>
      <c r="N53" s="599"/>
      <c r="O53" s="599"/>
      <c r="P53" s="106"/>
      <c r="Q53" s="106"/>
    </row>
    <row r="54" spans="1:17" ht="24" customHeight="1">
      <c r="A54" s="631"/>
      <c r="C54" s="590"/>
      <c r="D54" s="590"/>
      <c r="E54" s="608"/>
      <c r="F54" s="106"/>
      <c r="G54" s="599"/>
      <c r="H54" s="106"/>
      <c r="I54" s="599"/>
      <c r="J54" s="599"/>
      <c r="K54" s="599"/>
      <c r="L54" s="599"/>
      <c r="M54" s="599"/>
      <c r="N54" s="599"/>
      <c r="O54" s="599"/>
      <c r="P54" s="106"/>
      <c r="Q54" s="106"/>
    </row>
    <row r="55" spans="1:17" ht="24" customHeight="1">
      <c r="A55" s="631"/>
      <c r="C55" s="590"/>
      <c r="D55" s="590"/>
      <c r="E55" s="608"/>
      <c r="F55" s="106"/>
      <c r="G55" s="599"/>
      <c r="H55" s="106"/>
      <c r="I55" s="599"/>
      <c r="J55" s="599"/>
      <c r="K55" s="599"/>
      <c r="L55" s="599"/>
      <c r="M55" s="599"/>
      <c r="N55" s="599"/>
      <c r="O55" s="599"/>
      <c r="P55" s="106"/>
      <c r="Q55" s="106"/>
    </row>
    <row r="56" spans="1:17" ht="24" customHeight="1">
      <c r="A56" s="631"/>
      <c r="C56" s="590"/>
      <c r="D56" s="590"/>
      <c r="E56" s="608"/>
      <c r="F56" s="599"/>
      <c r="G56" s="599"/>
      <c r="H56" s="106"/>
      <c r="I56" s="599"/>
      <c r="J56" s="599"/>
      <c r="K56" s="599"/>
      <c r="L56" s="599"/>
      <c r="M56" s="599"/>
      <c r="N56" s="599"/>
      <c r="O56" s="599"/>
      <c r="P56" s="106"/>
      <c r="Q56" s="106"/>
    </row>
    <row r="57" spans="1:17" ht="24" customHeight="1">
      <c r="A57" s="631"/>
      <c r="C57" s="590"/>
      <c r="D57" s="590"/>
      <c r="E57" s="608"/>
      <c r="F57" s="106"/>
      <c r="G57" s="106"/>
      <c r="H57" s="106"/>
      <c r="I57" s="599"/>
      <c r="J57" s="599"/>
      <c r="K57" s="599"/>
      <c r="L57" s="599"/>
      <c r="M57" s="599"/>
      <c r="N57" s="599"/>
      <c r="O57" s="599"/>
      <c r="P57" s="106"/>
      <c r="Q57" s="106"/>
    </row>
    <row r="58" spans="1:17" ht="24" customHeight="1">
      <c r="A58" s="631"/>
      <c r="C58" s="590"/>
      <c r="D58" s="590"/>
      <c r="E58" s="608"/>
      <c r="F58" s="106"/>
      <c r="G58" s="106"/>
      <c r="H58" s="106"/>
      <c r="I58" s="599"/>
      <c r="J58" s="599"/>
      <c r="K58" s="599"/>
      <c r="L58" s="599"/>
      <c r="M58" s="599"/>
      <c r="N58" s="599"/>
      <c r="O58" s="599"/>
      <c r="P58" s="106"/>
      <c r="Q58" s="106"/>
    </row>
    <row r="59" spans="1:17" ht="24" customHeight="1">
      <c r="A59" s="631"/>
      <c r="C59" s="590"/>
      <c r="D59" s="590"/>
      <c r="E59" s="608"/>
      <c r="F59" s="106"/>
      <c r="G59" s="598"/>
      <c r="H59" s="106"/>
      <c r="I59" s="599"/>
      <c r="J59" s="599"/>
      <c r="K59" s="599"/>
      <c r="L59" s="599"/>
      <c r="M59" s="599"/>
      <c r="N59" s="599"/>
      <c r="O59" s="599"/>
      <c r="P59" s="106"/>
      <c r="Q59" s="106"/>
    </row>
    <row r="60" spans="1:17" ht="24" customHeight="1">
      <c r="A60" s="631"/>
      <c r="C60" s="590"/>
      <c r="D60" s="590"/>
      <c r="E60" s="608"/>
      <c r="F60" s="106"/>
      <c r="G60" s="106"/>
      <c r="H60" s="106"/>
      <c r="I60" s="599"/>
      <c r="J60" s="599"/>
      <c r="K60" s="599"/>
      <c r="L60" s="599"/>
      <c r="M60" s="599"/>
      <c r="N60" s="599"/>
      <c r="O60" s="599"/>
      <c r="P60" s="106"/>
      <c r="Q60" s="106"/>
    </row>
    <row r="61" spans="1:17" ht="24" customHeight="1">
      <c r="A61" s="631"/>
      <c r="C61" s="590"/>
      <c r="D61" s="590"/>
      <c r="E61" s="608"/>
      <c r="F61" s="106"/>
      <c r="G61" s="106"/>
      <c r="H61" s="106"/>
      <c r="I61" s="599"/>
      <c r="J61" s="599"/>
      <c r="K61" s="599"/>
      <c r="L61" s="599"/>
      <c r="M61" s="599"/>
      <c r="N61" s="599"/>
      <c r="O61" s="599"/>
      <c r="P61" s="106"/>
      <c r="Q61" s="106"/>
    </row>
    <row r="62" spans="1:17" ht="24" customHeight="1">
      <c r="A62" s="631"/>
      <c r="C62" s="590"/>
      <c r="D62" s="590"/>
      <c r="E62" s="608"/>
      <c r="F62" s="106"/>
      <c r="G62" s="106"/>
      <c r="H62" s="106"/>
      <c r="I62" s="599"/>
      <c r="J62" s="599"/>
      <c r="K62" s="599"/>
      <c r="L62" s="599"/>
      <c r="M62" s="599"/>
      <c r="N62" s="599"/>
      <c r="O62" s="599"/>
      <c r="P62" s="106"/>
      <c r="Q62" s="106"/>
    </row>
    <row r="63" spans="1:17" ht="24" customHeight="1">
      <c r="A63" s="631"/>
      <c r="C63" s="590"/>
      <c r="D63" s="590"/>
      <c r="E63" s="608"/>
      <c r="F63" s="106"/>
      <c r="G63" s="106"/>
      <c r="H63" s="106"/>
      <c r="I63" s="599"/>
      <c r="J63" s="599"/>
      <c r="K63" s="599"/>
      <c r="L63" s="599"/>
      <c r="M63" s="599"/>
      <c r="N63" s="599"/>
      <c r="O63" s="599"/>
      <c r="P63" s="106"/>
      <c r="Q63" s="106"/>
    </row>
    <row r="64" spans="1:17" ht="24" customHeight="1">
      <c r="A64" s="631"/>
      <c r="C64" s="590"/>
      <c r="D64" s="590"/>
      <c r="E64" s="608"/>
      <c r="F64" s="106"/>
      <c r="G64" s="106"/>
      <c r="H64" s="106"/>
      <c r="I64" s="599"/>
      <c r="J64" s="599"/>
      <c r="K64" s="599"/>
      <c r="L64" s="599"/>
      <c r="M64" s="599"/>
      <c r="N64" s="599"/>
      <c r="O64" s="599"/>
      <c r="P64" s="106"/>
      <c r="Q64" s="106"/>
    </row>
    <row r="65" spans="1:17" ht="24" customHeight="1">
      <c r="A65" s="631"/>
      <c r="C65" s="590"/>
      <c r="D65" s="590"/>
      <c r="E65" s="608"/>
      <c r="F65" s="106"/>
      <c r="G65" s="106"/>
      <c r="H65" s="106"/>
      <c r="I65" s="599"/>
      <c r="J65" s="599"/>
      <c r="K65" s="599"/>
      <c r="L65" s="599"/>
      <c r="M65" s="599"/>
      <c r="N65" s="599"/>
      <c r="O65" s="599"/>
      <c r="P65" s="106"/>
      <c r="Q65" s="106"/>
    </row>
    <row r="66" spans="1:17" ht="24" customHeight="1">
      <c r="A66" s="631"/>
      <c r="C66" s="590"/>
      <c r="D66" s="590"/>
      <c r="E66" s="608"/>
      <c r="F66" s="106"/>
      <c r="G66" s="106"/>
      <c r="H66" s="106"/>
      <c r="I66" s="599"/>
      <c r="J66" s="599"/>
      <c r="K66" s="599"/>
      <c r="L66" s="599"/>
      <c r="M66" s="599"/>
      <c r="N66" s="599"/>
      <c r="O66" s="599"/>
      <c r="P66" s="106"/>
      <c r="Q66" s="106"/>
    </row>
    <row r="67" spans="1:17" ht="24" customHeight="1">
      <c r="A67" s="631"/>
      <c r="C67" s="590"/>
      <c r="D67" s="590"/>
      <c r="E67" s="608"/>
      <c r="F67" s="106"/>
      <c r="G67" s="106"/>
      <c r="H67" s="106"/>
      <c r="I67" s="599"/>
      <c r="J67" s="599"/>
      <c r="K67" s="599"/>
      <c r="L67" s="599"/>
      <c r="M67" s="599"/>
      <c r="N67" s="599"/>
      <c r="O67" s="599"/>
      <c r="P67" s="106"/>
      <c r="Q67" s="106"/>
    </row>
    <row r="68" spans="1:17" ht="24" customHeight="1">
      <c r="A68" s="590"/>
      <c r="B68" s="635"/>
      <c r="C68" s="635"/>
      <c r="D68" s="635"/>
      <c r="E68" s="608"/>
      <c r="F68" s="106"/>
      <c r="G68" s="106"/>
      <c r="H68" s="106"/>
      <c r="I68" s="599"/>
      <c r="J68" s="599"/>
      <c r="K68" s="599"/>
      <c r="L68" s="599"/>
      <c r="M68" s="599"/>
      <c r="N68" s="599"/>
      <c r="O68" s="599"/>
      <c r="P68" s="106"/>
      <c r="Q68" s="106"/>
    </row>
    <row r="69" spans="1:17" ht="24" customHeight="1">
      <c r="A69" s="590"/>
      <c r="B69" s="635"/>
      <c r="C69" s="635"/>
      <c r="D69" s="635"/>
      <c r="E69" s="608"/>
      <c r="F69" s="106"/>
      <c r="G69" s="106"/>
      <c r="H69" s="106"/>
      <c r="I69" s="599"/>
      <c r="J69" s="599"/>
      <c r="K69" s="599"/>
      <c r="L69" s="599"/>
      <c r="M69" s="599"/>
      <c r="N69" s="599"/>
      <c r="O69" s="599"/>
      <c r="P69" s="106"/>
      <c r="Q69" s="106"/>
    </row>
    <row r="70" spans="1:17" ht="24" customHeight="1">
      <c r="A70" s="590"/>
      <c r="C70" s="590"/>
      <c r="D70" s="590"/>
      <c r="E70" s="106"/>
      <c r="F70" s="106"/>
      <c r="G70" s="106"/>
      <c r="H70" s="106"/>
      <c r="I70" s="599"/>
      <c r="J70" s="599"/>
      <c r="K70" s="599"/>
      <c r="L70" s="599"/>
      <c r="M70" s="599"/>
      <c r="N70" s="599"/>
      <c r="O70" s="599"/>
      <c r="P70" s="106"/>
      <c r="Q70" s="106"/>
    </row>
    <row r="71" spans="1:17" ht="24" customHeight="1">
      <c r="A71" s="106"/>
      <c r="B71" s="608"/>
      <c r="C71" s="608"/>
      <c r="D71" s="608"/>
      <c r="E71" s="608"/>
      <c r="F71" s="106"/>
      <c r="G71" s="106"/>
      <c r="H71" s="106"/>
      <c r="I71" s="599"/>
      <c r="J71" s="599"/>
      <c r="K71" s="599"/>
      <c r="L71" s="599"/>
      <c r="M71" s="599"/>
      <c r="N71" s="599"/>
      <c r="O71" s="599"/>
      <c r="P71" s="106"/>
      <c r="Q71" s="106"/>
    </row>
    <row r="72" spans="1:17" ht="24" customHeight="1">
      <c r="A72" s="106"/>
      <c r="B72" s="608"/>
      <c r="C72" s="608"/>
      <c r="D72" s="608"/>
      <c r="E72" s="608"/>
      <c r="F72" s="106"/>
      <c r="G72" s="106"/>
      <c r="H72" s="106"/>
      <c r="I72" s="599"/>
      <c r="J72" s="599"/>
      <c r="K72" s="599"/>
      <c r="L72" s="599"/>
      <c r="M72" s="599"/>
      <c r="N72" s="599"/>
      <c r="O72" s="599"/>
      <c r="P72" s="106"/>
      <c r="Q72" s="106"/>
    </row>
    <row r="73" spans="1:17" ht="24" customHeight="1">
      <c r="A73" s="106"/>
      <c r="B73" s="608"/>
      <c r="C73" s="608"/>
      <c r="D73" s="608"/>
      <c r="E73" s="608"/>
      <c r="F73" s="106"/>
      <c r="G73" s="106"/>
      <c r="H73" s="106"/>
      <c r="I73" s="599"/>
      <c r="J73" s="599"/>
      <c r="K73" s="599"/>
      <c r="L73" s="599"/>
      <c r="M73" s="599"/>
      <c r="N73" s="599"/>
      <c r="O73" s="599"/>
      <c r="P73" s="106"/>
      <c r="Q73" s="106"/>
    </row>
    <row r="74" spans="1:17" ht="24" customHeight="1">
      <c r="A74" s="106"/>
      <c r="B74" s="608"/>
      <c r="C74" s="608"/>
      <c r="D74" s="608"/>
      <c r="E74" s="608"/>
      <c r="F74" s="106"/>
      <c r="G74" s="106"/>
      <c r="H74" s="106"/>
      <c r="I74" s="599"/>
      <c r="J74" s="599"/>
      <c r="K74" s="599"/>
      <c r="L74" s="599"/>
      <c r="M74" s="599"/>
      <c r="N74" s="599"/>
      <c r="O74" s="599"/>
      <c r="P74" s="106"/>
      <c r="Q74" s="106"/>
    </row>
    <row r="75" spans="1:17" ht="24" customHeight="1">
      <c r="A75" s="106"/>
      <c r="B75" s="608"/>
      <c r="C75" s="608"/>
      <c r="D75" s="608"/>
      <c r="E75" s="608"/>
      <c r="F75" s="106"/>
      <c r="G75" s="632"/>
      <c r="H75" s="106"/>
      <c r="I75" s="599"/>
      <c r="J75" s="599"/>
      <c r="K75" s="599"/>
      <c r="L75" s="599"/>
      <c r="M75" s="599"/>
      <c r="N75" s="599"/>
      <c r="O75" s="599"/>
      <c r="P75" s="106"/>
      <c r="Q75" s="106"/>
    </row>
    <row r="76" spans="1:17" ht="24" customHeight="1">
      <c r="A76" s="106"/>
      <c r="B76" s="608"/>
      <c r="C76" s="608"/>
      <c r="D76" s="608"/>
      <c r="E76" s="608"/>
      <c r="F76" s="106"/>
      <c r="G76" s="632"/>
      <c r="H76" s="106"/>
      <c r="I76" s="599"/>
      <c r="J76" s="599"/>
      <c r="K76" s="599"/>
      <c r="L76" s="599"/>
      <c r="M76" s="599"/>
      <c r="N76" s="599"/>
      <c r="O76" s="599"/>
      <c r="P76" s="106"/>
      <c r="Q76" s="106"/>
    </row>
    <row r="77" spans="1:17" ht="24" customHeight="1">
      <c r="A77" s="106"/>
      <c r="B77" s="106"/>
      <c r="C77" s="106"/>
      <c r="D77" s="106"/>
      <c r="E77" s="106"/>
      <c r="F77" s="106"/>
      <c r="G77" s="632"/>
      <c r="H77" s="106"/>
      <c r="I77" s="599"/>
      <c r="J77" s="599"/>
      <c r="K77" s="599"/>
      <c r="L77" s="599"/>
      <c r="M77" s="599"/>
      <c r="N77" s="599"/>
      <c r="O77" s="599"/>
      <c r="P77" s="106"/>
      <c r="Q77" s="106"/>
    </row>
    <row r="78" spans="1:17" ht="24" customHeight="1">
      <c r="A78" s="106"/>
      <c r="B78" s="608"/>
      <c r="C78" s="608"/>
      <c r="D78" s="608"/>
      <c r="E78" s="608"/>
      <c r="F78" s="106"/>
      <c r="G78" s="632"/>
      <c r="H78" s="106"/>
      <c r="I78" s="599"/>
      <c r="J78" s="599"/>
      <c r="K78" s="599"/>
      <c r="L78" s="599"/>
      <c r="M78" s="599"/>
      <c r="N78" s="599"/>
      <c r="O78" s="599"/>
      <c r="P78" s="106"/>
      <c r="Q78" s="106"/>
    </row>
    <row r="79" spans="1:17" ht="24" customHeight="1">
      <c r="A79" s="106"/>
      <c r="B79" s="608"/>
      <c r="C79" s="608"/>
      <c r="D79" s="608"/>
      <c r="E79" s="608"/>
      <c r="F79" s="106"/>
      <c r="G79" s="632"/>
      <c r="H79" s="106"/>
      <c r="I79" s="599"/>
      <c r="J79" s="599"/>
      <c r="K79" s="599"/>
      <c r="L79" s="599"/>
      <c r="M79" s="599"/>
      <c r="N79" s="599"/>
      <c r="O79" s="599"/>
      <c r="P79" s="106"/>
      <c r="Q79" s="106"/>
    </row>
    <row r="80" spans="1:17" ht="24" customHeight="1">
      <c r="A80" s="106"/>
      <c r="B80" s="608"/>
      <c r="C80" s="608"/>
      <c r="D80" s="608"/>
      <c r="E80" s="608"/>
      <c r="F80" s="106"/>
      <c r="G80" s="632"/>
      <c r="H80" s="106"/>
      <c r="I80" s="599"/>
      <c r="J80" s="599"/>
      <c r="K80" s="599"/>
      <c r="L80" s="599"/>
      <c r="M80" s="599"/>
      <c r="N80" s="599"/>
      <c r="O80" s="599"/>
      <c r="P80" s="106"/>
      <c r="Q80" s="106"/>
    </row>
    <row r="81" spans="1:17" ht="24" customHeight="1">
      <c r="A81" s="106"/>
      <c r="B81" s="608"/>
      <c r="C81" s="608"/>
      <c r="D81" s="608"/>
      <c r="E81" s="608"/>
      <c r="F81" s="106"/>
      <c r="G81" s="599"/>
      <c r="H81" s="599"/>
      <c r="I81" s="599"/>
      <c r="J81" s="599"/>
      <c r="K81" s="599"/>
      <c r="L81" s="599"/>
      <c r="M81" s="599"/>
      <c r="N81" s="599"/>
      <c r="O81" s="599"/>
      <c r="P81" s="106"/>
      <c r="Q81" s="106"/>
    </row>
    <row r="82" spans="1:17" ht="24" customHeight="1">
      <c r="A82" s="106"/>
      <c r="B82" s="608"/>
      <c r="C82" s="608"/>
      <c r="D82" s="608"/>
      <c r="E82" s="608"/>
      <c r="F82" s="106"/>
      <c r="G82" s="599"/>
      <c r="H82" s="599"/>
      <c r="I82" s="599"/>
      <c r="J82" s="599"/>
      <c r="K82" s="599"/>
      <c r="L82" s="599"/>
      <c r="M82" s="599"/>
      <c r="N82" s="599"/>
      <c r="O82" s="599"/>
      <c r="P82" s="106"/>
      <c r="Q82" s="106"/>
    </row>
    <row r="83" spans="1:17" ht="24" customHeight="1">
      <c r="A83" s="106"/>
      <c r="B83" s="608"/>
      <c r="C83" s="608"/>
      <c r="D83" s="608"/>
      <c r="E83" s="608"/>
      <c r="F83" s="106"/>
      <c r="G83" s="106"/>
      <c r="H83" s="632"/>
      <c r="I83" s="599"/>
      <c r="J83" s="599"/>
      <c r="K83" s="599"/>
      <c r="L83" s="599"/>
      <c r="M83" s="599"/>
      <c r="N83" s="599"/>
      <c r="O83" s="599"/>
      <c r="P83" s="106"/>
      <c r="Q83" s="106"/>
    </row>
    <row r="84" spans="1:17" ht="24" customHeight="1">
      <c r="A84" s="106"/>
      <c r="B84" s="106"/>
      <c r="C84" s="106"/>
      <c r="D84" s="106"/>
      <c r="E84" s="106"/>
      <c r="F84" s="106"/>
      <c r="G84" s="106"/>
      <c r="H84" s="632"/>
      <c r="I84" s="599"/>
      <c r="J84" s="599"/>
      <c r="K84" s="599"/>
      <c r="L84" s="599"/>
      <c r="M84" s="599"/>
      <c r="N84" s="599"/>
      <c r="O84" s="599"/>
      <c r="P84" s="106"/>
      <c r="Q84" s="106"/>
    </row>
    <row r="85" spans="1:17" ht="24" customHeight="1">
      <c r="A85" s="106"/>
      <c r="B85" s="608"/>
      <c r="C85" s="608"/>
      <c r="D85" s="608"/>
      <c r="E85" s="608"/>
      <c r="F85" s="106"/>
      <c r="G85" s="106"/>
      <c r="H85" s="632"/>
      <c r="I85" s="599"/>
      <c r="J85" s="599"/>
      <c r="K85" s="599"/>
      <c r="L85" s="599"/>
      <c r="M85" s="599"/>
      <c r="N85" s="599"/>
      <c r="O85" s="599"/>
      <c r="P85" s="106"/>
      <c r="Q85" s="106"/>
    </row>
    <row r="86" spans="1:17" ht="24" customHeight="1">
      <c r="A86" s="106"/>
      <c r="B86" s="608"/>
      <c r="C86" s="608"/>
      <c r="D86" s="608"/>
      <c r="E86" s="608"/>
      <c r="F86" s="106"/>
      <c r="G86" s="106"/>
      <c r="H86" s="636"/>
      <c r="I86" s="599"/>
      <c r="J86" s="599"/>
      <c r="K86" s="599"/>
      <c r="L86" s="599"/>
      <c r="M86" s="599"/>
      <c r="N86" s="599"/>
      <c r="O86" s="599"/>
      <c r="P86" s="106"/>
      <c r="Q86" s="106"/>
    </row>
    <row r="87" spans="1:17" ht="24" customHeight="1">
      <c r="A87" s="106"/>
      <c r="B87" s="608"/>
      <c r="C87" s="608"/>
      <c r="D87" s="608"/>
      <c r="E87" s="608"/>
      <c r="F87" s="106"/>
      <c r="G87" s="106"/>
      <c r="H87" s="106"/>
      <c r="I87" s="599"/>
      <c r="J87" s="599"/>
      <c r="K87" s="599"/>
      <c r="L87" s="599"/>
      <c r="M87" s="599"/>
      <c r="N87" s="599"/>
      <c r="O87" s="599"/>
      <c r="P87" s="106"/>
      <c r="Q87" s="106"/>
    </row>
    <row r="88" spans="1:17" ht="24" customHeight="1">
      <c r="A88" s="106"/>
      <c r="B88" s="608"/>
      <c r="C88" s="608"/>
      <c r="D88" s="608"/>
      <c r="E88" s="608"/>
      <c r="F88" s="106"/>
      <c r="G88" s="106"/>
      <c r="H88" s="106"/>
      <c r="I88" s="599"/>
      <c r="J88" s="599"/>
      <c r="K88" s="599"/>
      <c r="L88" s="599"/>
      <c r="M88" s="599"/>
      <c r="N88" s="599"/>
      <c r="O88" s="599"/>
      <c r="P88" s="106"/>
      <c r="Q88" s="106"/>
    </row>
    <row r="89" spans="1:17" ht="24" customHeight="1">
      <c r="A89" s="106"/>
      <c r="B89" s="608"/>
      <c r="C89" s="608"/>
      <c r="D89" s="608"/>
      <c r="E89" s="608"/>
      <c r="F89" s="106"/>
      <c r="G89" s="106"/>
      <c r="H89" s="106"/>
      <c r="I89" s="599"/>
      <c r="J89" s="599"/>
      <c r="K89" s="599"/>
      <c r="L89" s="599"/>
      <c r="M89" s="599"/>
      <c r="N89" s="599"/>
      <c r="O89" s="599"/>
      <c r="P89" s="106"/>
      <c r="Q89" s="106"/>
    </row>
    <row r="90" spans="1:17" ht="24" customHeight="1">
      <c r="A90" s="106"/>
      <c r="B90" s="608"/>
      <c r="C90" s="608"/>
      <c r="D90" s="608"/>
      <c r="E90" s="608"/>
      <c r="F90" s="106"/>
      <c r="G90" s="106"/>
      <c r="H90" s="599"/>
      <c r="I90" s="599"/>
      <c r="J90" s="599"/>
      <c r="K90" s="599"/>
      <c r="L90" s="599"/>
      <c r="M90" s="599"/>
      <c r="N90" s="599"/>
      <c r="O90" s="599"/>
      <c r="P90" s="106"/>
      <c r="Q90" s="106"/>
    </row>
    <row r="91" spans="1:17" ht="24" customHeight="1">
      <c r="A91" s="106"/>
      <c r="B91" s="106"/>
      <c r="C91" s="106"/>
      <c r="D91" s="106"/>
      <c r="E91" s="106"/>
      <c r="F91" s="106"/>
      <c r="G91" s="599"/>
      <c r="H91" s="599"/>
      <c r="I91" s="599"/>
      <c r="J91" s="599"/>
      <c r="K91" s="599"/>
      <c r="L91" s="599"/>
      <c r="M91" s="599"/>
      <c r="N91" s="599"/>
      <c r="O91" s="599"/>
      <c r="P91" s="106"/>
      <c r="Q91" s="106"/>
    </row>
    <row r="92" spans="1:17" ht="24" customHeight="1">
      <c r="A92" s="106"/>
      <c r="B92" s="608"/>
      <c r="C92" s="608"/>
      <c r="D92" s="608"/>
      <c r="E92" s="608"/>
      <c r="F92" s="106"/>
      <c r="G92" s="599"/>
      <c r="H92" s="599"/>
      <c r="I92" s="599"/>
      <c r="J92" s="599"/>
      <c r="K92" s="599"/>
      <c r="L92" s="599"/>
      <c r="M92" s="599"/>
      <c r="N92" s="599"/>
      <c r="O92" s="599"/>
      <c r="P92" s="106"/>
      <c r="Q92" s="106"/>
    </row>
    <row r="93" spans="1:17" ht="24" customHeight="1">
      <c r="A93" s="106"/>
      <c r="B93" s="608"/>
      <c r="C93" s="608"/>
      <c r="D93" s="608"/>
      <c r="E93" s="608"/>
      <c r="F93" s="106"/>
      <c r="G93" s="599"/>
      <c r="H93" s="599"/>
      <c r="I93" s="599"/>
      <c r="J93" s="599"/>
      <c r="K93" s="599"/>
      <c r="L93" s="599"/>
      <c r="M93" s="599"/>
      <c r="N93" s="599"/>
      <c r="O93" s="599"/>
      <c r="P93" s="106"/>
      <c r="Q93" s="106"/>
    </row>
    <row r="94" spans="1:17" ht="24" customHeight="1">
      <c r="A94" s="106"/>
      <c r="B94" s="608"/>
      <c r="C94" s="608"/>
      <c r="D94" s="608"/>
      <c r="E94" s="608"/>
      <c r="F94" s="106"/>
      <c r="G94" s="599"/>
      <c r="H94" s="599"/>
      <c r="I94" s="599"/>
      <c r="J94" s="599"/>
      <c r="K94" s="599"/>
      <c r="L94" s="599"/>
      <c r="M94" s="599"/>
      <c r="N94" s="599"/>
      <c r="O94" s="599"/>
      <c r="P94" s="106"/>
      <c r="Q94" s="106"/>
    </row>
    <row r="95" spans="1:17" ht="24" customHeight="1">
      <c r="A95" s="106"/>
      <c r="B95" s="608"/>
      <c r="C95" s="608"/>
      <c r="D95" s="608"/>
      <c r="E95" s="608"/>
      <c r="F95" s="106"/>
      <c r="G95" s="599"/>
      <c r="H95" s="599"/>
      <c r="I95" s="599"/>
      <c r="J95" s="599"/>
      <c r="K95" s="599"/>
      <c r="L95" s="599"/>
      <c r="M95" s="599"/>
      <c r="N95" s="599"/>
      <c r="O95" s="599"/>
      <c r="P95" s="106"/>
      <c r="Q95" s="106"/>
    </row>
    <row r="96" spans="1:17" ht="24" customHeight="1">
      <c r="A96" s="106"/>
      <c r="B96" s="608"/>
      <c r="C96" s="608"/>
      <c r="D96" s="608"/>
      <c r="E96" s="608"/>
      <c r="F96" s="106"/>
      <c r="G96" s="599"/>
      <c r="H96" s="599"/>
      <c r="I96" s="599"/>
      <c r="J96" s="599"/>
      <c r="K96" s="599"/>
      <c r="L96" s="599"/>
      <c r="M96" s="599"/>
      <c r="N96" s="599"/>
      <c r="O96" s="599"/>
      <c r="P96" s="106"/>
      <c r="Q96" s="106"/>
    </row>
    <row r="97" spans="1:17" ht="24" customHeight="1">
      <c r="A97" s="106"/>
      <c r="B97" s="608"/>
      <c r="C97" s="608"/>
      <c r="D97" s="608"/>
      <c r="E97" s="608"/>
      <c r="F97" s="106"/>
      <c r="G97" s="599"/>
      <c r="H97" s="599"/>
      <c r="I97" s="599"/>
      <c r="J97" s="599"/>
      <c r="K97" s="599"/>
      <c r="L97" s="599"/>
      <c r="M97" s="599"/>
      <c r="N97" s="599"/>
      <c r="O97" s="599"/>
      <c r="P97" s="106"/>
      <c r="Q97" s="106"/>
    </row>
    <row r="98" spans="1:17" ht="24" customHeight="1">
      <c r="A98" s="106"/>
      <c r="B98" s="106"/>
      <c r="C98" s="106"/>
      <c r="D98" s="106"/>
      <c r="E98" s="106"/>
      <c r="F98" s="106"/>
      <c r="G98" s="599"/>
      <c r="H98" s="599"/>
      <c r="I98" s="599"/>
      <c r="J98" s="599"/>
      <c r="K98" s="599"/>
      <c r="L98" s="599"/>
      <c r="M98" s="599"/>
      <c r="N98" s="599"/>
      <c r="O98" s="599"/>
      <c r="P98" s="106"/>
      <c r="Q98" s="106"/>
    </row>
    <row r="99" spans="1:17" ht="24" customHeight="1">
      <c r="A99" s="106"/>
      <c r="B99" s="608"/>
      <c r="C99" s="608"/>
      <c r="D99" s="608"/>
      <c r="E99" s="608"/>
      <c r="F99" s="106"/>
      <c r="G99" s="599"/>
      <c r="H99" s="599"/>
      <c r="I99" s="599"/>
      <c r="J99" s="599"/>
      <c r="K99" s="599"/>
      <c r="L99" s="599"/>
      <c r="M99" s="599"/>
      <c r="N99" s="599"/>
      <c r="O99" s="599"/>
      <c r="P99" s="106"/>
      <c r="Q99" s="106"/>
    </row>
    <row r="100" spans="1:17" ht="24" customHeight="1">
      <c r="A100" s="106"/>
      <c r="B100" s="608"/>
      <c r="C100" s="608"/>
      <c r="D100" s="608"/>
      <c r="E100" s="608"/>
      <c r="F100" s="106"/>
      <c r="G100" s="599"/>
      <c r="H100" s="599"/>
      <c r="I100" s="599"/>
      <c r="J100" s="599"/>
      <c r="K100" s="599"/>
      <c r="L100" s="599"/>
      <c r="M100" s="599"/>
      <c r="N100" s="599"/>
      <c r="O100" s="599"/>
      <c r="P100" s="106"/>
      <c r="Q100" s="106"/>
    </row>
    <row r="101" spans="1:17" ht="24" customHeight="1">
      <c r="A101" s="106"/>
      <c r="B101" s="608"/>
      <c r="C101" s="608"/>
      <c r="D101" s="608"/>
      <c r="E101" s="608"/>
      <c r="F101" s="106"/>
      <c r="G101" s="599"/>
      <c r="H101" s="599"/>
      <c r="I101" s="599"/>
      <c r="J101" s="599"/>
      <c r="K101" s="599"/>
      <c r="L101" s="599"/>
      <c r="M101" s="599"/>
      <c r="N101" s="599"/>
      <c r="O101" s="599"/>
      <c r="P101" s="106"/>
      <c r="Q101" s="106"/>
    </row>
    <row r="102" spans="1:17" ht="24" customHeight="1">
      <c r="A102" s="106"/>
      <c r="B102" s="608"/>
      <c r="C102" s="608"/>
      <c r="D102" s="608"/>
      <c r="E102" s="608"/>
      <c r="F102" s="106"/>
      <c r="G102" s="599"/>
      <c r="H102" s="599"/>
      <c r="I102" s="599"/>
      <c r="J102" s="599"/>
      <c r="K102" s="599"/>
      <c r="L102" s="599"/>
      <c r="M102" s="599"/>
      <c r="N102" s="599"/>
      <c r="O102" s="599"/>
      <c r="P102" s="106"/>
      <c r="Q102" s="106"/>
    </row>
    <row r="103" spans="1:17" ht="24" customHeight="1">
      <c r="A103" s="106"/>
      <c r="B103" s="608"/>
      <c r="C103" s="608"/>
      <c r="D103" s="608"/>
      <c r="E103" s="608"/>
      <c r="F103" s="106"/>
      <c r="G103" s="599"/>
      <c r="H103" s="599"/>
      <c r="I103" s="599"/>
      <c r="J103" s="599"/>
      <c r="K103" s="599"/>
      <c r="L103" s="599"/>
      <c r="M103" s="599"/>
      <c r="N103" s="599"/>
      <c r="O103" s="599"/>
      <c r="P103" s="106"/>
      <c r="Q103" s="106"/>
    </row>
    <row r="104" spans="1:17" ht="24" customHeight="1">
      <c r="A104" s="106"/>
      <c r="B104" s="608"/>
      <c r="C104" s="608"/>
      <c r="D104" s="608"/>
      <c r="E104" s="608"/>
      <c r="F104" s="106"/>
      <c r="G104" s="599"/>
      <c r="H104" s="599"/>
      <c r="I104" s="599"/>
      <c r="J104" s="599"/>
      <c r="K104" s="599"/>
      <c r="L104" s="599"/>
      <c r="M104" s="599"/>
      <c r="N104" s="599"/>
      <c r="O104" s="599"/>
      <c r="P104" s="106"/>
      <c r="Q104" s="106"/>
    </row>
    <row r="105" spans="1:17" ht="24" customHeight="1">
      <c r="A105" s="106"/>
      <c r="B105" s="106"/>
      <c r="C105" s="106"/>
      <c r="D105" s="106"/>
      <c r="E105" s="106"/>
      <c r="F105" s="106"/>
      <c r="G105" s="599"/>
      <c r="H105" s="599"/>
      <c r="I105" s="599"/>
      <c r="J105" s="599"/>
      <c r="K105" s="599"/>
      <c r="L105" s="599"/>
      <c r="M105" s="599"/>
      <c r="N105" s="599"/>
      <c r="O105" s="599"/>
      <c r="P105" s="106"/>
      <c r="Q105" s="106"/>
    </row>
    <row r="106" spans="1:17" ht="24" customHeight="1">
      <c r="A106" s="106"/>
      <c r="B106" s="608"/>
      <c r="C106" s="608"/>
      <c r="D106" s="608"/>
      <c r="E106" s="608"/>
      <c r="F106" s="106"/>
      <c r="G106" s="599"/>
      <c r="H106" s="599"/>
      <c r="I106" s="599"/>
      <c r="J106" s="599"/>
      <c r="K106" s="599"/>
      <c r="L106" s="599"/>
      <c r="M106" s="599"/>
      <c r="N106" s="599"/>
      <c r="O106" s="599"/>
      <c r="P106" s="106"/>
      <c r="Q106" s="106"/>
    </row>
    <row r="107" spans="1:17" ht="24" customHeight="1">
      <c r="A107" s="106"/>
      <c r="B107" s="608"/>
      <c r="C107" s="608"/>
      <c r="D107" s="608"/>
      <c r="E107" s="608"/>
      <c r="F107" s="106"/>
      <c r="G107" s="599"/>
      <c r="H107" s="599"/>
      <c r="I107" s="599"/>
      <c r="J107" s="599"/>
      <c r="K107" s="599"/>
      <c r="L107" s="599"/>
      <c r="M107" s="599"/>
      <c r="N107" s="599"/>
      <c r="O107" s="599"/>
      <c r="P107" s="106"/>
      <c r="Q107" s="106"/>
    </row>
    <row r="108" spans="1:17" ht="24" customHeight="1">
      <c r="A108" s="106"/>
      <c r="B108" s="608"/>
      <c r="C108" s="608"/>
      <c r="D108" s="608"/>
      <c r="E108" s="608"/>
      <c r="F108" s="106"/>
      <c r="G108" s="599"/>
      <c r="H108" s="599"/>
      <c r="I108" s="599"/>
      <c r="J108" s="599"/>
      <c r="K108" s="599"/>
      <c r="L108" s="599"/>
      <c r="M108" s="599"/>
      <c r="N108" s="599"/>
      <c r="O108" s="599"/>
      <c r="P108" s="106"/>
      <c r="Q108" s="106"/>
    </row>
    <row r="109" spans="1:17" ht="24" customHeight="1">
      <c r="A109" s="106"/>
      <c r="B109" s="608"/>
      <c r="C109" s="608"/>
      <c r="D109" s="608"/>
      <c r="E109" s="608"/>
      <c r="F109" s="106"/>
      <c r="G109" s="599"/>
      <c r="H109" s="599"/>
      <c r="I109" s="599"/>
      <c r="J109" s="599"/>
      <c r="K109" s="599"/>
      <c r="L109" s="599"/>
      <c r="M109" s="599"/>
      <c r="N109" s="599"/>
      <c r="O109" s="599"/>
      <c r="P109" s="106"/>
      <c r="Q109" s="106"/>
    </row>
    <row r="110" spans="1:17" ht="24" customHeight="1">
      <c r="A110" s="106"/>
      <c r="B110" s="608"/>
      <c r="C110" s="608"/>
      <c r="D110" s="608"/>
      <c r="E110" s="608"/>
      <c r="F110" s="106"/>
      <c r="G110" s="599"/>
      <c r="H110" s="599"/>
      <c r="I110" s="599"/>
      <c r="J110" s="599"/>
      <c r="K110" s="599"/>
      <c r="L110" s="599"/>
      <c r="M110" s="599"/>
      <c r="N110" s="599"/>
      <c r="O110" s="599"/>
      <c r="P110" s="106"/>
      <c r="Q110" s="106"/>
    </row>
    <row r="111" spans="1:17" ht="24" customHeight="1">
      <c r="A111" s="106"/>
      <c r="B111" s="608"/>
      <c r="C111" s="608"/>
      <c r="D111" s="608"/>
      <c r="E111" s="608"/>
      <c r="F111" s="106"/>
      <c r="G111" s="599"/>
      <c r="H111" s="599"/>
      <c r="I111" s="599"/>
      <c r="J111" s="599"/>
      <c r="K111" s="599"/>
      <c r="L111" s="599"/>
      <c r="M111" s="599"/>
      <c r="N111" s="599"/>
      <c r="O111" s="599"/>
      <c r="P111" s="106"/>
      <c r="Q111" s="106"/>
    </row>
    <row r="112" spans="1:17" ht="24" customHeight="1">
      <c r="A112" s="106"/>
      <c r="B112" s="106"/>
      <c r="C112" s="106"/>
      <c r="D112" s="106"/>
      <c r="E112" s="106"/>
      <c r="F112" s="106"/>
      <c r="G112" s="599"/>
      <c r="H112" s="599"/>
      <c r="I112" s="599"/>
      <c r="J112" s="599"/>
      <c r="K112" s="599"/>
      <c r="L112" s="599"/>
      <c r="M112" s="599"/>
      <c r="N112" s="599"/>
      <c r="O112" s="599"/>
      <c r="P112" s="106"/>
      <c r="Q112" s="106"/>
    </row>
    <row r="113" spans="1:17" ht="24" customHeight="1">
      <c r="A113" s="106"/>
      <c r="B113" s="608"/>
      <c r="C113" s="608"/>
      <c r="D113" s="608"/>
      <c r="E113" s="608"/>
      <c r="F113" s="106"/>
      <c r="G113" s="599"/>
      <c r="H113" s="599"/>
      <c r="I113" s="599"/>
      <c r="J113" s="599"/>
      <c r="K113" s="599"/>
      <c r="L113" s="599"/>
      <c r="M113" s="599"/>
      <c r="N113" s="599"/>
      <c r="O113" s="599"/>
      <c r="P113" s="106"/>
      <c r="Q113" s="106"/>
    </row>
    <row r="114" spans="1:17" ht="24" customHeight="1">
      <c r="A114" s="106"/>
      <c r="B114" s="608"/>
      <c r="C114" s="608"/>
      <c r="D114" s="608"/>
      <c r="E114" s="608"/>
      <c r="F114" s="106"/>
      <c r="G114" s="599"/>
      <c r="H114" s="599"/>
      <c r="I114" s="599"/>
      <c r="J114" s="599"/>
      <c r="K114" s="599"/>
      <c r="L114" s="599"/>
      <c r="M114" s="599"/>
      <c r="N114" s="599"/>
      <c r="O114" s="599"/>
      <c r="P114" s="106"/>
      <c r="Q114" s="106"/>
    </row>
    <row r="115" spans="1:17" ht="24" customHeight="1">
      <c r="A115" s="106"/>
      <c r="B115" s="608"/>
      <c r="C115" s="608"/>
      <c r="D115" s="608"/>
      <c r="E115" s="608"/>
      <c r="F115" s="106"/>
      <c r="G115" s="599"/>
      <c r="H115" s="599"/>
      <c r="I115" s="599"/>
      <c r="J115" s="599"/>
      <c r="K115" s="599"/>
      <c r="L115" s="599"/>
      <c r="M115" s="599"/>
      <c r="N115" s="599"/>
      <c r="O115" s="599"/>
      <c r="P115" s="106"/>
      <c r="Q115" s="106"/>
    </row>
    <row r="116" spans="1:17" ht="24" customHeight="1">
      <c r="A116" s="106"/>
      <c r="B116" s="608"/>
      <c r="C116" s="608"/>
      <c r="D116" s="608"/>
      <c r="E116" s="608"/>
      <c r="F116" s="106"/>
      <c r="G116" s="599"/>
      <c r="H116" s="599"/>
      <c r="I116" s="599"/>
      <c r="J116" s="599"/>
      <c r="K116" s="599"/>
      <c r="L116" s="599"/>
      <c r="M116" s="599"/>
      <c r="N116" s="599"/>
      <c r="O116" s="599"/>
      <c r="P116" s="106"/>
      <c r="Q116" s="106"/>
    </row>
    <row r="117" spans="1:17" ht="24" customHeight="1">
      <c r="A117" s="106"/>
      <c r="B117" s="608"/>
      <c r="C117" s="608"/>
      <c r="D117" s="608"/>
      <c r="E117" s="608"/>
      <c r="F117" s="106"/>
      <c r="G117" s="599"/>
      <c r="H117" s="599"/>
      <c r="I117" s="599"/>
      <c r="J117" s="599"/>
      <c r="K117" s="599"/>
      <c r="L117" s="599"/>
      <c r="M117" s="599"/>
      <c r="N117" s="599"/>
      <c r="O117" s="599"/>
      <c r="P117" s="106"/>
      <c r="Q117" s="106"/>
    </row>
    <row r="118" spans="1:17" ht="24" customHeight="1">
      <c r="A118" s="106"/>
      <c r="B118" s="608"/>
      <c r="C118" s="608"/>
      <c r="D118" s="608"/>
      <c r="E118" s="608"/>
      <c r="F118" s="106"/>
      <c r="G118" s="599"/>
      <c r="H118" s="599"/>
      <c r="I118" s="599"/>
      <c r="J118" s="599"/>
      <c r="K118" s="599"/>
      <c r="L118" s="599"/>
      <c r="M118" s="599"/>
      <c r="N118" s="599"/>
      <c r="O118" s="599"/>
      <c r="P118" s="106"/>
      <c r="Q118" s="106"/>
    </row>
    <row r="119" spans="1:17" ht="24" customHeight="1">
      <c r="A119" s="106"/>
      <c r="B119" s="106"/>
      <c r="C119" s="106"/>
      <c r="D119" s="106"/>
      <c r="E119" s="106"/>
      <c r="F119" s="106"/>
      <c r="G119" s="599"/>
      <c r="H119" s="599"/>
      <c r="I119" s="599"/>
      <c r="J119" s="599"/>
      <c r="K119" s="599"/>
      <c r="L119" s="599"/>
      <c r="M119" s="599"/>
      <c r="N119" s="599"/>
      <c r="O119" s="599"/>
      <c r="P119" s="106"/>
      <c r="Q119" s="106"/>
    </row>
    <row r="120" spans="1:17" ht="24" customHeight="1">
      <c r="A120" s="106"/>
      <c r="B120" s="608"/>
      <c r="C120" s="608"/>
      <c r="D120" s="608"/>
      <c r="E120" s="608"/>
      <c r="F120" s="106"/>
      <c r="G120" s="599"/>
      <c r="H120" s="599"/>
      <c r="I120" s="599"/>
      <c r="J120" s="599"/>
      <c r="K120" s="599"/>
      <c r="L120" s="599"/>
      <c r="M120" s="599"/>
      <c r="N120" s="599"/>
      <c r="O120" s="599"/>
      <c r="P120" s="106"/>
      <c r="Q120" s="106"/>
    </row>
    <row r="121" spans="1:17" ht="24" customHeight="1">
      <c r="A121" s="106"/>
      <c r="B121" s="608"/>
      <c r="C121" s="608"/>
      <c r="D121" s="608"/>
      <c r="E121" s="608"/>
      <c r="F121" s="106"/>
      <c r="G121" s="599"/>
      <c r="H121" s="599"/>
      <c r="I121" s="599"/>
      <c r="J121" s="599"/>
      <c r="K121" s="599"/>
      <c r="L121" s="599"/>
      <c r="M121" s="599"/>
      <c r="N121" s="599"/>
      <c r="O121" s="599"/>
      <c r="P121" s="106"/>
      <c r="Q121" s="106"/>
    </row>
    <row r="122" spans="1:17" ht="24" customHeight="1">
      <c r="A122" s="106"/>
      <c r="B122" s="608"/>
      <c r="C122" s="608"/>
      <c r="D122" s="608"/>
      <c r="E122" s="608"/>
      <c r="F122" s="106"/>
      <c r="G122" s="599"/>
      <c r="H122" s="599"/>
      <c r="I122" s="599"/>
      <c r="J122" s="599"/>
      <c r="K122" s="599"/>
      <c r="L122" s="599"/>
      <c r="M122" s="599"/>
      <c r="N122" s="599"/>
      <c r="O122" s="599"/>
      <c r="P122" s="106"/>
      <c r="Q122" s="106"/>
    </row>
    <row r="123" spans="1:17" ht="24" customHeight="1">
      <c r="A123" s="106"/>
      <c r="B123" s="608"/>
      <c r="C123" s="608"/>
      <c r="D123" s="608"/>
      <c r="E123" s="608"/>
      <c r="F123" s="106"/>
      <c r="G123" s="599"/>
      <c r="H123" s="599"/>
      <c r="I123" s="599"/>
      <c r="J123" s="599"/>
      <c r="K123" s="599"/>
      <c r="L123" s="599"/>
      <c r="M123" s="599"/>
      <c r="N123" s="599"/>
      <c r="O123" s="599"/>
      <c r="P123" s="106"/>
      <c r="Q123" s="106"/>
    </row>
    <row r="124" spans="1:17" ht="24" customHeight="1">
      <c r="A124" s="106"/>
      <c r="B124" s="608"/>
      <c r="C124" s="608"/>
      <c r="D124" s="608"/>
      <c r="E124" s="608"/>
      <c r="F124" s="106"/>
      <c r="G124" s="599"/>
      <c r="H124" s="599"/>
      <c r="I124" s="599"/>
      <c r="J124" s="599"/>
      <c r="K124" s="599"/>
      <c r="L124" s="599"/>
      <c r="M124" s="599"/>
      <c r="N124" s="599"/>
      <c r="O124" s="599"/>
      <c r="P124" s="106"/>
      <c r="Q124" s="106"/>
    </row>
    <row r="125" spans="1:17" ht="24" customHeight="1">
      <c r="A125" s="106"/>
      <c r="B125" s="608"/>
      <c r="C125" s="608"/>
      <c r="D125" s="608"/>
      <c r="E125" s="608"/>
      <c r="F125" s="106"/>
      <c r="G125" s="599"/>
      <c r="H125" s="599"/>
      <c r="I125" s="599"/>
      <c r="J125" s="599"/>
      <c r="K125" s="599"/>
      <c r="L125" s="599"/>
      <c r="M125" s="599"/>
      <c r="N125" s="599"/>
      <c r="O125" s="599"/>
      <c r="P125" s="106"/>
      <c r="Q125" s="106"/>
    </row>
    <row r="126" spans="1:17" ht="24" customHeight="1">
      <c r="A126" s="106"/>
      <c r="B126" s="106"/>
      <c r="C126" s="106"/>
      <c r="D126" s="106"/>
      <c r="E126" s="106"/>
      <c r="F126" s="106"/>
      <c r="G126" s="599"/>
      <c r="H126" s="599"/>
      <c r="I126" s="599"/>
      <c r="J126" s="599"/>
      <c r="K126" s="599"/>
      <c r="L126" s="599"/>
      <c r="M126" s="599"/>
      <c r="N126" s="599"/>
      <c r="O126" s="599"/>
      <c r="P126" s="106"/>
      <c r="Q126" s="106"/>
    </row>
    <row r="127" spans="1:17" ht="24" customHeight="1">
      <c r="A127" s="106"/>
      <c r="B127" s="608"/>
      <c r="C127" s="608"/>
      <c r="D127" s="608"/>
      <c r="E127" s="608"/>
      <c r="F127" s="106"/>
      <c r="G127" s="599"/>
      <c r="H127" s="599"/>
      <c r="I127" s="599"/>
      <c r="J127" s="599"/>
      <c r="K127" s="599"/>
      <c r="L127" s="599"/>
      <c r="M127" s="599"/>
      <c r="N127" s="599"/>
      <c r="O127" s="599"/>
      <c r="P127" s="106"/>
      <c r="Q127" s="106"/>
    </row>
    <row r="128" spans="1:17" ht="24" customHeight="1">
      <c r="A128" s="106"/>
      <c r="B128" s="608"/>
      <c r="C128" s="608"/>
      <c r="D128" s="608"/>
      <c r="E128" s="608"/>
      <c r="F128" s="106"/>
      <c r="G128" s="599"/>
      <c r="H128" s="599"/>
      <c r="I128" s="599"/>
      <c r="J128" s="599"/>
      <c r="K128" s="599"/>
      <c r="L128" s="599"/>
      <c r="M128" s="599"/>
      <c r="N128" s="599"/>
      <c r="O128" s="599"/>
      <c r="P128" s="106"/>
      <c r="Q128" s="106"/>
    </row>
    <row r="129" spans="1:17" ht="24" customHeight="1">
      <c r="A129" s="106"/>
      <c r="B129" s="608"/>
      <c r="C129" s="608"/>
      <c r="D129" s="608"/>
      <c r="E129" s="608"/>
      <c r="F129" s="106"/>
      <c r="G129" s="599"/>
      <c r="H129" s="599"/>
      <c r="I129" s="599"/>
      <c r="J129" s="599"/>
      <c r="K129" s="599"/>
      <c r="L129" s="599"/>
      <c r="M129" s="599"/>
      <c r="N129" s="599"/>
      <c r="O129" s="599"/>
      <c r="P129" s="106"/>
      <c r="Q129" s="106"/>
    </row>
    <row r="130" spans="1:17" ht="24" customHeight="1">
      <c r="A130" s="106"/>
      <c r="B130" s="608"/>
      <c r="C130" s="608"/>
      <c r="D130" s="608"/>
      <c r="E130" s="608"/>
      <c r="F130" s="106"/>
      <c r="G130" s="599"/>
      <c r="H130" s="599"/>
      <c r="I130" s="599"/>
      <c r="J130" s="599"/>
      <c r="K130" s="599"/>
      <c r="L130" s="599"/>
      <c r="M130" s="599"/>
      <c r="N130" s="599"/>
      <c r="O130" s="599"/>
      <c r="P130" s="106"/>
      <c r="Q130" s="106"/>
    </row>
    <row r="131" spans="1:17" ht="24" customHeight="1">
      <c r="A131" s="106"/>
      <c r="B131" s="608"/>
      <c r="C131" s="608"/>
      <c r="D131" s="608"/>
      <c r="E131" s="608"/>
      <c r="F131" s="106"/>
      <c r="G131" s="599"/>
      <c r="H131" s="599"/>
      <c r="I131" s="599"/>
      <c r="J131" s="599"/>
      <c r="K131" s="599"/>
      <c r="L131" s="599"/>
      <c r="M131" s="599"/>
      <c r="N131" s="599"/>
      <c r="O131" s="599"/>
      <c r="P131" s="106"/>
      <c r="Q131" s="106"/>
    </row>
    <row r="132" spans="1:17" ht="30.75" customHeight="1">
      <c r="A132" s="106"/>
      <c r="B132" s="608"/>
      <c r="C132" s="608"/>
      <c r="D132" s="608"/>
      <c r="E132" s="608"/>
      <c r="F132" s="106"/>
      <c r="G132" s="599"/>
      <c r="H132" s="599"/>
      <c r="I132" s="599"/>
      <c r="J132" s="599"/>
      <c r="K132" s="599"/>
      <c r="L132" s="599"/>
      <c r="M132" s="599"/>
      <c r="N132" s="599"/>
      <c r="O132" s="599"/>
      <c r="P132" s="106"/>
      <c r="Q132" s="106"/>
    </row>
    <row r="133" spans="1:17" ht="30.75" customHeight="1">
      <c r="A133" s="106"/>
      <c r="B133" s="106"/>
      <c r="C133" s="106"/>
      <c r="D133" s="106"/>
      <c r="E133" s="106"/>
      <c r="F133" s="106"/>
      <c r="G133" s="599"/>
      <c r="H133" s="599"/>
      <c r="I133" s="599"/>
      <c r="J133" s="599"/>
      <c r="K133" s="599"/>
      <c r="L133" s="599"/>
      <c r="M133" s="599"/>
      <c r="N133" s="599"/>
      <c r="O133" s="599"/>
      <c r="P133" s="106"/>
      <c r="Q133" s="106"/>
    </row>
    <row r="134" spans="1:17" ht="30.75" customHeight="1">
      <c r="A134" s="106"/>
      <c r="B134" s="608"/>
      <c r="C134" s="608"/>
      <c r="D134" s="608"/>
      <c r="E134" s="608"/>
      <c r="F134" s="106"/>
      <c r="G134" s="599"/>
      <c r="H134" s="599"/>
      <c r="I134" s="599"/>
      <c r="J134" s="599"/>
      <c r="K134" s="599"/>
      <c r="L134" s="599"/>
      <c r="M134" s="599"/>
      <c r="N134" s="599"/>
      <c r="O134" s="599"/>
      <c r="P134" s="106"/>
      <c r="Q134" s="106"/>
    </row>
    <row r="135" spans="1:17" ht="30.75" customHeight="1">
      <c r="A135" s="106"/>
      <c r="B135" s="608"/>
      <c r="C135" s="608"/>
      <c r="D135" s="608"/>
      <c r="E135" s="608"/>
      <c r="F135" s="106"/>
      <c r="G135" s="599"/>
      <c r="H135" s="599"/>
      <c r="I135" s="599"/>
      <c r="J135" s="599"/>
      <c r="K135" s="599"/>
      <c r="L135" s="599"/>
      <c r="M135" s="599"/>
      <c r="N135" s="599"/>
      <c r="O135" s="599"/>
      <c r="P135" s="106"/>
      <c r="Q135" s="106"/>
    </row>
    <row r="136" spans="1:17" ht="30.75" customHeight="1">
      <c r="A136" s="106"/>
      <c r="B136" s="608"/>
      <c r="C136" s="608"/>
      <c r="D136" s="608"/>
      <c r="E136" s="608"/>
      <c r="F136" s="106"/>
      <c r="G136" s="599"/>
      <c r="H136" s="599"/>
      <c r="I136" s="599"/>
      <c r="J136" s="599"/>
      <c r="K136" s="599"/>
      <c r="L136" s="599"/>
      <c r="M136" s="599"/>
      <c r="N136" s="599"/>
      <c r="O136" s="599"/>
      <c r="P136" s="106"/>
      <c r="Q136" s="106"/>
    </row>
    <row r="137" spans="1:17" ht="30.75" customHeight="1">
      <c r="A137" s="106"/>
      <c r="B137" s="608"/>
      <c r="C137" s="608"/>
      <c r="D137" s="608"/>
      <c r="E137" s="608"/>
      <c r="F137" s="106"/>
      <c r="G137" s="599"/>
      <c r="H137" s="599"/>
      <c r="I137" s="599"/>
      <c r="J137" s="599"/>
      <c r="K137" s="599"/>
      <c r="L137" s="599"/>
      <c r="M137" s="599"/>
      <c r="N137" s="599"/>
      <c r="O137" s="599"/>
      <c r="P137" s="106"/>
      <c r="Q137" s="106"/>
    </row>
    <row r="138" spans="1:17" ht="30.75" customHeight="1">
      <c r="A138" s="106"/>
      <c r="B138" s="608"/>
      <c r="C138" s="608"/>
      <c r="D138" s="608"/>
      <c r="E138" s="608"/>
      <c r="F138" s="106"/>
      <c r="G138" s="599"/>
      <c r="H138" s="599"/>
      <c r="I138" s="599"/>
      <c r="J138" s="599"/>
      <c r="K138" s="599"/>
      <c r="L138" s="599"/>
      <c r="M138" s="599"/>
      <c r="N138" s="599"/>
      <c r="O138" s="599"/>
      <c r="P138" s="106"/>
      <c r="Q138" s="106"/>
    </row>
    <row r="139" spans="1:17" ht="30.75" customHeight="1">
      <c r="A139" s="106"/>
      <c r="B139" s="608"/>
      <c r="C139" s="608"/>
      <c r="D139" s="608"/>
      <c r="E139" s="608"/>
      <c r="F139" s="106"/>
      <c r="G139" s="599"/>
      <c r="H139" s="599"/>
      <c r="I139" s="599"/>
      <c r="J139" s="599"/>
      <c r="K139" s="599"/>
      <c r="L139" s="599"/>
      <c r="M139" s="599"/>
      <c r="N139" s="599"/>
      <c r="O139" s="599"/>
      <c r="P139" s="106"/>
      <c r="Q139" s="106"/>
    </row>
    <row r="140" spans="1:17" ht="30.75" customHeight="1">
      <c r="A140" s="106"/>
      <c r="B140" s="106"/>
      <c r="C140" s="106"/>
      <c r="D140" s="106"/>
      <c r="E140" s="106"/>
      <c r="F140" s="106"/>
      <c r="G140" s="599"/>
      <c r="H140" s="599"/>
      <c r="I140" s="599"/>
      <c r="J140" s="599"/>
      <c r="K140" s="599"/>
      <c r="L140" s="599"/>
      <c r="M140" s="599"/>
      <c r="N140" s="599"/>
      <c r="O140" s="599"/>
      <c r="P140" s="106"/>
      <c r="Q140" s="106"/>
    </row>
    <row r="141" spans="1:17" ht="30.75" customHeight="1">
      <c r="A141" s="106"/>
      <c r="B141" s="608"/>
      <c r="C141" s="608"/>
      <c r="D141" s="608"/>
      <c r="E141" s="608"/>
      <c r="F141" s="106"/>
      <c r="G141" s="599"/>
      <c r="H141" s="599"/>
      <c r="I141" s="599"/>
      <c r="J141" s="599"/>
      <c r="K141" s="599"/>
      <c r="L141" s="599"/>
      <c r="M141" s="599"/>
      <c r="N141" s="599"/>
      <c r="O141" s="599"/>
      <c r="P141" s="106"/>
      <c r="Q141" s="106"/>
    </row>
    <row r="142" spans="1:17" ht="30.75" customHeight="1">
      <c r="A142" s="106"/>
      <c r="B142" s="608"/>
      <c r="C142" s="608"/>
      <c r="D142" s="608"/>
      <c r="E142" s="608"/>
      <c r="F142" s="106"/>
      <c r="G142" s="599"/>
      <c r="H142" s="599"/>
      <c r="I142" s="599"/>
      <c r="J142" s="599"/>
      <c r="K142" s="599"/>
      <c r="L142" s="599"/>
      <c r="M142" s="599"/>
      <c r="N142" s="599"/>
      <c r="O142" s="599"/>
      <c r="P142" s="106"/>
      <c r="Q142" s="106"/>
    </row>
    <row r="143" spans="1:17" ht="30.75" customHeight="1">
      <c r="A143" s="106"/>
      <c r="B143" s="608"/>
      <c r="C143" s="608"/>
      <c r="D143" s="608"/>
      <c r="E143" s="608"/>
      <c r="F143" s="106"/>
      <c r="G143" s="599"/>
      <c r="H143" s="599"/>
      <c r="I143" s="599"/>
      <c r="J143" s="599"/>
      <c r="K143" s="599"/>
      <c r="L143" s="599"/>
      <c r="M143" s="599"/>
      <c r="N143" s="599"/>
      <c r="O143" s="599"/>
      <c r="P143" s="106"/>
      <c r="Q143" s="106"/>
    </row>
    <row r="144" spans="1:17" ht="30.75" customHeight="1">
      <c r="A144" s="106"/>
      <c r="B144" s="608"/>
      <c r="C144" s="608"/>
      <c r="D144" s="608"/>
      <c r="E144" s="608"/>
      <c r="F144" s="106"/>
      <c r="G144" s="599"/>
      <c r="H144" s="599"/>
      <c r="I144" s="599"/>
      <c r="J144" s="599"/>
      <c r="K144" s="599"/>
      <c r="L144" s="599"/>
      <c r="M144" s="599"/>
      <c r="N144" s="599"/>
      <c r="O144" s="599"/>
      <c r="P144" s="106"/>
      <c r="Q144" s="106"/>
    </row>
    <row r="145" spans="1:17" ht="30.75" customHeight="1">
      <c r="A145" s="106"/>
      <c r="B145" s="608"/>
      <c r="C145" s="608"/>
      <c r="D145" s="608"/>
      <c r="E145" s="608"/>
      <c r="F145" s="106"/>
      <c r="G145" s="599"/>
      <c r="H145" s="599"/>
      <c r="I145" s="599"/>
      <c r="J145" s="599"/>
      <c r="K145" s="599"/>
      <c r="L145" s="599"/>
      <c r="M145" s="599"/>
      <c r="N145" s="599"/>
      <c r="O145" s="599"/>
      <c r="P145" s="106"/>
      <c r="Q145" s="106"/>
    </row>
    <row r="146" spans="1:17" ht="30.75" customHeight="1">
      <c r="A146" s="106"/>
      <c r="B146" s="608"/>
      <c r="C146" s="608"/>
      <c r="D146" s="608"/>
      <c r="E146" s="608"/>
      <c r="F146" s="106"/>
      <c r="G146" s="599"/>
      <c r="H146" s="599"/>
      <c r="I146" s="599"/>
      <c r="J146" s="599"/>
      <c r="K146" s="599"/>
      <c r="L146" s="599"/>
      <c r="M146" s="599"/>
      <c r="N146" s="599"/>
      <c r="O146" s="599"/>
      <c r="P146" s="106"/>
      <c r="Q146" s="106"/>
    </row>
    <row r="147" spans="1:17" ht="24" customHeight="1">
      <c r="A147" s="106"/>
      <c r="B147" s="106"/>
      <c r="C147" s="106"/>
      <c r="D147" s="106"/>
      <c r="E147" s="106"/>
      <c r="F147" s="106"/>
      <c r="G147" s="599"/>
      <c r="H147" s="599"/>
      <c r="I147" s="599"/>
      <c r="J147" s="599"/>
      <c r="K147" s="599"/>
      <c r="L147" s="599"/>
      <c r="M147" s="599"/>
      <c r="N147" s="599"/>
      <c r="O147" s="599"/>
      <c r="P147" s="106"/>
      <c r="Q147" s="106"/>
    </row>
    <row r="148" spans="1:17" ht="24" customHeight="1">
      <c r="A148" s="106"/>
      <c r="B148" s="608"/>
      <c r="C148" s="608"/>
      <c r="D148" s="608"/>
      <c r="E148" s="608"/>
      <c r="F148" s="106"/>
      <c r="G148" s="599"/>
      <c r="H148" s="599"/>
      <c r="I148" s="599"/>
      <c r="J148" s="599"/>
      <c r="K148" s="599"/>
      <c r="L148" s="599"/>
      <c r="M148" s="599"/>
      <c r="N148" s="599"/>
      <c r="O148" s="599"/>
      <c r="P148" s="106"/>
      <c r="Q148" s="106"/>
    </row>
    <row r="149" spans="1:17" ht="24" customHeight="1">
      <c r="A149" s="106"/>
      <c r="B149" s="608"/>
      <c r="C149" s="608"/>
      <c r="D149" s="608"/>
      <c r="E149" s="608"/>
      <c r="F149" s="106"/>
      <c r="G149" s="599"/>
      <c r="H149" s="599"/>
      <c r="I149" s="599"/>
      <c r="J149" s="599"/>
      <c r="K149" s="599"/>
      <c r="L149" s="599"/>
      <c r="M149" s="599"/>
      <c r="N149" s="599"/>
      <c r="O149" s="599"/>
      <c r="P149" s="106"/>
      <c r="Q149" s="106"/>
    </row>
    <row r="150" spans="1:17" ht="24" customHeight="1">
      <c r="A150" s="106"/>
      <c r="B150" s="608"/>
      <c r="C150" s="608"/>
      <c r="D150" s="608"/>
      <c r="E150" s="608"/>
      <c r="F150" s="106"/>
      <c r="G150" s="599"/>
      <c r="H150" s="599"/>
      <c r="I150" s="599"/>
      <c r="J150" s="599"/>
      <c r="K150" s="599"/>
      <c r="L150" s="599"/>
      <c r="M150" s="599"/>
      <c r="N150" s="599"/>
      <c r="O150" s="599"/>
      <c r="P150" s="106"/>
      <c r="Q150" s="106"/>
    </row>
    <row r="151" spans="1:17" ht="24" customHeight="1">
      <c r="A151" s="106"/>
      <c r="B151" s="608"/>
      <c r="C151" s="608"/>
      <c r="D151" s="608"/>
      <c r="E151" s="608"/>
      <c r="F151" s="106"/>
      <c r="G151" s="106"/>
      <c r="H151" s="106"/>
      <c r="I151" s="106"/>
      <c r="J151" s="106"/>
      <c r="K151" s="106"/>
      <c r="L151" s="106"/>
      <c r="M151" s="106"/>
      <c r="N151" s="106"/>
      <c r="O151" s="106"/>
      <c r="P151" s="106"/>
      <c r="Q151" s="106"/>
    </row>
    <row r="152" spans="1:17" ht="24" customHeight="1">
      <c r="A152" s="106"/>
      <c r="B152" s="608"/>
      <c r="C152" s="608"/>
      <c r="D152" s="608"/>
      <c r="E152" s="608"/>
      <c r="F152" s="106"/>
      <c r="G152" s="106"/>
      <c r="H152" s="106"/>
      <c r="I152" s="106"/>
      <c r="J152" s="106"/>
      <c r="K152" s="106"/>
      <c r="L152" s="106"/>
      <c r="M152" s="106"/>
      <c r="N152" s="106"/>
      <c r="O152" s="106"/>
      <c r="P152" s="106"/>
      <c r="Q152" s="106"/>
    </row>
    <row r="153" spans="1:17" ht="24" customHeight="1">
      <c r="A153" s="106"/>
      <c r="B153" s="608"/>
      <c r="C153" s="608"/>
      <c r="D153" s="608"/>
      <c r="E153" s="608"/>
      <c r="F153" s="106"/>
      <c r="G153" s="106"/>
      <c r="H153" s="106"/>
      <c r="I153" s="106"/>
      <c r="J153" s="106"/>
      <c r="K153" s="106"/>
      <c r="L153" s="106"/>
      <c r="M153" s="106"/>
      <c r="N153" s="106"/>
      <c r="O153" s="106"/>
      <c r="P153" s="106"/>
      <c r="Q153" s="106"/>
    </row>
    <row r="154" spans="1:17" ht="24" customHeight="1">
      <c r="A154" s="106"/>
      <c r="B154" s="106"/>
      <c r="C154" s="106"/>
      <c r="D154" s="106"/>
      <c r="E154" s="106"/>
      <c r="F154" s="106"/>
      <c r="G154" s="106"/>
      <c r="H154" s="106"/>
      <c r="I154" s="106"/>
      <c r="J154" s="106"/>
      <c r="K154" s="106"/>
      <c r="L154" s="106"/>
      <c r="M154" s="106"/>
      <c r="N154" s="106"/>
      <c r="O154" s="106"/>
      <c r="P154" s="106"/>
      <c r="Q154" s="106"/>
    </row>
    <row r="155" spans="1:17" ht="24" customHeight="1">
      <c r="A155" s="106"/>
      <c r="B155" s="608"/>
      <c r="C155" s="608"/>
      <c r="D155" s="608"/>
      <c r="E155" s="608"/>
      <c r="F155" s="106"/>
      <c r="G155" s="106"/>
      <c r="H155" s="106"/>
      <c r="I155" s="106"/>
      <c r="J155" s="106"/>
      <c r="K155" s="106"/>
      <c r="L155" s="106"/>
      <c r="M155" s="106"/>
      <c r="N155" s="106"/>
      <c r="O155" s="106"/>
      <c r="P155" s="106"/>
      <c r="Q155" s="106"/>
    </row>
    <row r="156" spans="1:17" ht="24" customHeight="1">
      <c r="A156" s="106"/>
      <c r="B156" s="608"/>
      <c r="C156" s="608"/>
      <c r="D156" s="608"/>
      <c r="E156" s="608"/>
      <c r="F156" s="106"/>
      <c r="G156" s="106"/>
      <c r="H156" s="106"/>
      <c r="I156" s="106"/>
      <c r="J156" s="106"/>
      <c r="K156" s="106"/>
      <c r="L156" s="106"/>
      <c r="M156" s="106"/>
      <c r="N156" s="106"/>
      <c r="O156" s="106"/>
      <c r="P156" s="106"/>
      <c r="Q156" s="106"/>
    </row>
    <row r="157" spans="1:17" ht="24" customHeight="1">
      <c r="A157" s="106"/>
      <c r="B157" s="608"/>
      <c r="C157" s="608"/>
      <c r="D157" s="608"/>
      <c r="E157" s="608"/>
      <c r="F157" s="106"/>
      <c r="G157" s="106"/>
      <c r="H157" s="106"/>
      <c r="I157" s="106"/>
      <c r="J157" s="106"/>
      <c r="K157" s="106"/>
      <c r="L157" s="106"/>
      <c r="M157" s="106"/>
      <c r="N157" s="106"/>
      <c r="O157" s="106"/>
      <c r="P157" s="106"/>
      <c r="Q157" s="106"/>
    </row>
    <row r="158" spans="1:17" ht="24" customHeight="1">
      <c r="A158" s="106"/>
      <c r="B158" s="608"/>
      <c r="C158" s="608"/>
      <c r="D158" s="608"/>
      <c r="E158" s="608"/>
      <c r="F158" s="106"/>
      <c r="G158" s="106"/>
      <c r="H158" s="106"/>
      <c r="I158" s="106"/>
      <c r="J158" s="106"/>
      <c r="K158" s="106"/>
      <c r="L158" s="106"/>
      <c r="M158" s="106"/>
      <c r="N158" s="106"/>
      <c r="O158" s="106"/>
      <c r="P158" s="106"/>
      <c r="Q158" s="106"/>
    </row>
    <row r="159" spans="1:17" ht="24" customHeight="1">
      <c r="A159" s="106"/>
      <c r="B159" s="608"/>
      <c r="C159" s="608"/>
      <c r="D159" s="608"/>
      <c r="E159" s="608"/>
      <c r="F159" s="106"/>
      <c r="G159" s="106"/>
      <c r="H159" s="106"/>
      <c r="I159" s="106"/>
      <c r="J159" s="106"/>
      <c r="K159" s="106"/>
      <c r="L159" s="106"/>
      <c r="M159" s="106"/>
      <c r="N159" s="106"/>
      <c r="O159" s="106"/>
      <c r="P159" s="106"/>
      <c r="Q159" s="106"/>
    </row>
    <row r="160" spans="1:17" ht="24" customHeight="1">
      <c r="A160" s="106"/>
      <c r="B160" s="608"/>
      <c r="C160" s="608"/>
      <c r="D160" s="608"/>
      <c r="E160" s="608"/>
      <c r="F160" s="106"/>
      <c r="G160" s="106"/>
      <c r="H160" s="106"/>
      <c r="I160" s="106"/>
      <c r="J160" s="106"/>
      <c r="K160" s="106"/>
      <c r="L160" s="106"/>
      <c r="M160" s="106"/>
      <c r="N160" s="106"/>
      <c r="O160" s="106"/>
      <c r="P160" s="106"/>
      <c r="Q160" s="106"/>
    </row>
    <row r="161" spans="1:17" ht="24" customHeight="1">
      <c r="A161" s="106"/>
      <c r="B161" s="106"/>
      <c r="C161" s="106"/>
      <c r="D161" s="106"/>
      <c r="E161" s="106"/>
      <c r="F161" s="106"/>
      <c r="G161" s="106"/>
      <c r="H161" s="106"/>
      <c r="I161" s="106"/>
      <c r="J161" s="106"/>
      <c r="K161" s="106"/>
      <c r="L161" s="106"/>
      <c r="M161" s="106"/>
      <c r="N161" s="106"/>
      <c r="O161" s="106"/>
      <c r="P161" s="106"/>
      <c r="Q161" s="106"/>
    </row>
    <row r="162" spans="1:17" ht="24" customHeight="1">
      <c r="A162" s="106"/>
      <c r="B162" s="608"/>
      <c r="C162" s="608"/>
      <c r="D162" s="608"/>
      <c r="E162" s="608"/>
      <c r="F162" s="106"/>
      <c r="G162" s="106"/>
      <c r="H162" s="106"/>
      <c r="I162" s="106"/>
      <c r="J162" s="106"/>
      <c r="K162" s="106"/>
      <c r="L162" s="106"/>
      <c r="M162" s="106"/>
      <c r="N162" s="106"/>
      <c r="O162" s="106"/>
      <c r="P162" s="106"/>
      <c r="Q162" s="106"/>
    </row>
    <row r="163" spans="1:17" ht="24" customHeight="1">
      <c r="A163" s="106"/>
      <c r="B163" s="608"/>
      <c r="C163" s="608"/>
      <c r="D163" s="608"/>
      <c r="E163" s="608"/>
      <c r="F163" s="106"/>
      <c r="G163" s="106"/>
      <c r="H163" s="106"/>
      <c r="I163" s="106"/>
      <c r="J163" s="106"/>
      <c r="K163" s="106"/>
      <c r="L163" s="106"/>
      <c r="M163" s="106"/>
      <c r="N163" s="106"/>
      <c r="O163" s="106"/>
      <c r="P163" s="106"/>
      <c r="Q163" s="106"/>
    </row>
    <row r="164" spans="1:17" ht="24" customHeight="1">
      <c r="A164" s="106"/>
      <c r="B164" s="608"/>
      <c r="C164" s="608"/>
      <c r="D164" s="608"/>
      <c r="E164" s="608"/>
      <c r="F164" s="106"/>
      <c r="G164" s="106"/>
      <c r="H164" s="106"/>
      <c r="I164" s="106"/>
      <c r="J164" s="106"/>
      <c r="K164" s="106"/>
      <c r="L164" s="106"/>
      <c r="M164" s="106"/>
      <c r="N164" s="106"/>
      <c r="O164" s="106"/>
      <c r="P164" s="106"/>
      <c r="Q164" s="106"/>
    </row>
    <row r="165" spans="1:17" ht="24" customHeight="1">
      <c r="A165" s="106"/>
      <c r="B165" s="608"/>
      <c r="C165" s="608"/>
      <c r="D165" s="608"/>
      <c r="E165" s="608"/>
      <c r="F165" s="106"/>
      <c r="G165" s="106"/>
      <c r="H165" s="106"/>
      <c r="I165" s="106"/>
      <c r="J165" s="106"/>
      <c r="K165" s="106"/>
      <c r="L165" s="106"/>
      <c r="M165" s="106"/>
      <c r="N165" s="106"/>
      <c r="O165" s="106"/>
      <c r="P165" s="106"/>
      <c r="Q165" s="106"/>
    </row>
    <row r="166" spans="1:17" ht="24" customHeight="1">
      <c r="A166" s="106"/>
      <c r="B166" s="608"/>
      <c r="C166" s="608"/>
      <c r="D166" s="608"/>
      <c r="E166" s="608"/>
      <c r="F166" s="106"/>
      <c r="G166" s="106"/>
      <c r="H166" s="106"/>
      <c r="I166" s="106"/>
      <c r="J166" s="106"/>
      <c r="K166" s="106"/>
      <c r="L166" s="106"/>
      <c r="M166" s="106"/>
      <c r="N166" s="106"/>
      <c r="O166" s="106"/>
      <c r="P166" s="106"/>
      <c r="Q166" s="106"/>
    </row>
    <row r="167" spans="1:17" ht="24" customHeight="1">
      <c r="A167" s="106"/>
      <c r="B167" s="608"/>
      <c r="C167" s="608"/>
      <c r="D167" s="608"/>
      <c r="E167" s="608"/>
      <c r="F167" s="106"/>
      <c r="G167" s="106"/>
      <c r="H167" s="106"/>
      <c r="I167" s="106"/>
      <c r="J167" s="106"/>
      <c r="K167" s="106"/>
      <c r="L167" s="106"/>
      <c r="M167" s="106"/>
      <c r="N167" s="106"/>
      <c r="O167" s="106"/>
      <c r="P167" s="106"/>
      <c r="Q167" s="106"/>
    </row>
    <row r="168" spans="1:17" ht="24" customHeight="1">
      <c r="A168" s="106"/>
      <c r="B168" s="106"/>
      <c r="C168" s="106"/>
      <c r="D168" s="106"/>
      <c r="E168" s="106"/>
      <c r="F168" s="106"/>
      <c r="G168" s="106"/>
      <c r="H168" s="106"/>
      <c r="I168" s="106"/>
      <c r="J168" s="106"/>
      <c r="K168" s="106"/>
      <c r="L168" s="106"/>
      <c r="M168" s="106"/>
      <c r="N168" s="106"/>
      <c r="O168" s="106"/>
      <c r="P168" s="106"/>
      <c r="Q168" s="106"/>
    </row>
    <row r="169" spans="1:17" ht="24" customHeight="1">
      <c r="A169" s="106"/>
      <c r="B169" s="608"/>
      <c r="C169" s="608"/>
      <c r="D169" s="608"/>
      <c r="E169" s="608"/>
      <c r="F169" s="106"/>
      <c r="G169" s="106"/>
      <c r="H169" s="106"/>
      <c r="I169" s="106"/>
      <c r="J169" s="106"/>
      <c r="K169" s="106"/>
      <c r="L169" s="106"/>
      <c r="M169" s="106"/>
      <c r="N169" s="106"/>
      <c r="O169" s="106"/>
      <c r="P169" s="106"/>
      <c r="Q169" s="106"/>
    </row>
    <row r="170" spans="1:17" ht="24" customHeight="1">
      <c r="A170" s="106"/>
      <c r="B170" s="608"/>
      <c r="C170" s="608"/>
      <c r="D170" s="608"/>
      <c r="E170" s="608"/>
      <c r="F170" s="106"/>
      <c r="G170" s="106"/>
      <c r="H170" s="106"/>
      <c r="I170" s="106"/>
      <c r="J170" s="106"/>
      <c r="K170" s="106"/>
      <c r="L170" s="106"/>
      <c r="M170" s="106"/>
      <c r="N170" s="106"/>
      <c r="O170" s="106"/>
      <c r="P170" s="106"/>
      <c r="Q170" s="106"/>
    </row>
    <row r="171" spans="1:17" ht="24" customHeight="1">
      <c r="A171" s="106"/>
      <c r="B171" s="608"/>
      <c r="C171" s="608"/>
      <c r="D171" s="608"/>
      <c r="E171" s="608"/>
      <c r="F171" s="106"/>
      <c r="G171" s="106"/>
      <c r="H171" s="106"/>
      <c r="I171" s="106"/>
      <c r="J171" s="106"/>
      <c r="K171" s="106"/>
      <c r="L171" s="106"/>
      <c r="M171" s="106"/>
      <c r="N171" s="106"/>
      <c r="O171" s="106"/>
      <c r="P171" s="106"/>
      <c r="Q171" s="106"/>
    </row>
    <row r="172" spans="1:17" ht="24" customHeight="1">
      <c r="A172" s="106"/>
      <c r="B172" s="608"/>
      <c r="C172" s="608"/>
      <c r="D172" s="608"/>
      <c r="E172" s="608"/>
      <c r="F172" s="106"/>
      <c r="G172" s="106"/>
      <c r="H172" s="106"/>
      <c r="I172" s="106"/>
      <c r="J172" s="106"/>
      <c r="K172" s="106"/>
      <c r="L172" s="106"/>
      <c r="M172" s="106"/>
      <c r="N172" s="106"/>
      <c r="O172" s="106"/>
      <c r="P172" s="106"/>
      <c r="Q172" s="106"/>
    </row>
    <row r="173" spans="1:17" ht="24" customHeight="1">
      <c r="A173" s="106"/>
      <c r="B173" s="608"/>
      <c r="C173" s="608"/>
      <c r="D173" s="608"/>
      <c r="E173" s="608"/>
      <c r="F173" s="106"/>
      <c r="G173" s="106"/>
      <c r="H173" s="106"/>
      <c r="I173" s="106"/>
      <c r="J173" s="106"/>
      <c r="K173" s="106"/>
      <c r="L173" s="106"/>
      <c r="M173" s="106"/>
      <c r="N173" s="106"/>
      <c r="O173" s="106"/>
      <c r="P173" s="106"/>
      <c r="Q173" s="106"/>
    </row>
    <row r="174" spans="1:17" ht="24" customHeight="1">
      <c r="A174" s="106"/>
      <c r="B174" s="608"/>
      <c r="C174" s="608"/>
      <c r="D174" s="608"/>
      <c r="E174" s="608"/>
      <c r="F174" s="106"/>
      <c r="G174" s="106"/>
      <c r="H174" s="106"/>
      <c r="I174" s="106"/>
      <c r="J174" s="106"/>
      <c r="K174" s="106"/>
      <c r="L174" s="106"/>
      <c r="M174" s="106"/>
      <c r="N174" s="106"/>
      <c r="O174" s="106"/>
      <c r="P174" s="106"/>
      <c r="Q174" s="106"/>
    </row>
    <row r="175" spans="1:17" ht="24" customHeight="1">
      <c r="A175" s="106"/>
      <c r="B175" s="106"/>
      <c r="C175" s="106"/>
      <c r="D175" s="106"/>
      <c r="E175" s="106"/>
      <c r="F175" s="106"/>
      <c r="G175" s="106"/>
      <c r="H175" s="106"/>
      <c r="I175" s="106"/>
      <c r="J175" s="106"/>
      <c r="K175" s="106"/>
      <c r="L175" s="106"/>
      <c r="M175" s="106"/>
      <c r="N175" s="106"/>
      <c r="O175" s="106"/>
      <c r="P175" s="106"/>
      <c r="Q175" s="106"/>
    </row>
    <row r="176" spans="1:17" ht="24" customHeight="1">
      <c r="A176" s="106"/>
      <c r="B176" s="106"/>
      <c r="C176" s="106"/>
      <c r="D176" s="106"/>
      <c r="E176" s="106"/>
      <c r="F176" s="106"/>
      <c r="G176" s="106"/>
      <c r="H176" s="106"/>
      <c r="I176" s="106"/>
      <c r="J176" s="106"/>
      <c r="K176" s="106"/>
      <c r="L176" s="106"/>
      <c r="M176" s="106"/>
      <c r="N176" s="106"/>
      <c r="O176" s="106"/>
      <c r="P176" s="106"/>
      <c r="Q176" s="106"/>
    </row>
    <row r="177" spans="1:17" ht="24" customHeight="1">
      <c r="A177" s="106"/>
      <c r="B177" s="106"/>
      <c r="C177" s="106"/>
      <c r="D177" s="106"/>
      <c r="E177" s="106"/>
      <c r="F177" s="106"/>
      <c r="G177" s="106"/>
      <c r="H177" s="106"/>
      <c r="I177" s="106"/>
      <c r="J177" s="106"/>
      <c r="K177" s="106"/>
      <c r="L177" s="106"/>
      <c r="M177" s="106"/>
      <c r="N177" s="106"/>
      <c r="O177" s="106"/>
      <c r="P177" s="106"/>
      <c r="Q177" s="106"/>
    </row>
    <row r="178" spans="1:17" ht="24" customHeight="1">
      <c r="A178" s="106"/>
      <c r="B178" s="181"/>
      <c r="C178" s="598"/>
      <c r="D178" s="106"/>
      <c r="E178" s="106"/>
      <c r="F178" s="106"/>
      <c r="G178" s="106"/>
      <c r="H178" s="106"/>
      <c r="I178" s="106"/>
      <c r="J178" s="106"/>
      <c r="K178" s="106"/>
      <c r="L178" s="106"/>
      <c r="M178" s="106"/>
      <c r="N178" s="106"/>
      <c r="O178" s="106"/>
      <c r="P178" s="106"/>
      <c r="Q178" s="106"/>
    </row>
    <row r="179" spans="1:17" ht="24" customHeight="1">
      <c r="A179" s="106"/>
      <c r="B179" s="181"/>
      <c r="C179" s="598"/>
      <c r="D179" s="106"/>
      <c r="E179" s="106"/>
      <c r="F179" s="106"/>
      <c r="G179" s="106"/>
      <c r="H179" s="106"/>
      <c r="I179" s="106"/>
      <c r="J179" s="106"/>
      <c r="K179" s="106"/>
      <c r="L179" s="106"/>
      <c r="M179" s="106"/>
      <c r="N179" s="106"/>
      <c r="O179" s="106"/>
      <c r="P179" s="106"/>
      <c r="Q179" s="106"/>
    </row>
    <row r="180" spans="1:17" ht="24" customHeight="1">
      <c r="A180" s="106"/>
      <c r="B180" s="598"/>
      <c r="C180" s="598"/>
      <c r="D180" s="106"/>
      <c r="E180" s="106"/>
      <c r="F180" s="106"/>
      <c r="G180" s="106"/>
      <c r="H180" s="106"/>
      <c r="I180" s="106"/>
      <c r="J180" s="106"/>
      <c r="K180" s="106"/>
      <c r="L180" s="106"/>
      <c r="M180" s="106"/>
      <c r="N180" s="106"/>
      <c r="O180" s="106"/>
      <c r="P180" s="106"/>
      <c r="Q180" s="106"/>
    </row>
    <row r="181" spans="1:17" ht="24" customHeight="1">
      <c r="A181" s="106"/>
      <c r="B181" s="598"/>
      <c r="C181" s="598"/>
      <c r="D181" s="106"/>
      <c r="E181" s="106"/>
      <c r="F181" s="106"/>
      <c r="G181" s="106"/>
      <c r="H181" s="106"/>
      <c r="I181" s="106"/>
      <c r="J181" s="106"/>
      <c r="K181" s="106"/>
      <c r="L181" s="106"/>
      <c r="M181" s="106"/>
      <c r="N181" s="106"/>
      <c r="O181" s="106"/>
      <c r="P181" s="106"/>
      <c r="Q181" s="106"/>
    </row>
    <row r="182" spans="1:17" ht="24" customHeight="1">
      <c r="A182" s="106"/>
      <c r="B182" s="598"/>
      <c r="C182" s="598"/>
      <c r="D182" s="106"/>
      <c r="E182" s="106"/>
      <c r="F182" s="106"/>
      <c r="G182" s="106"/>
      <c r="H182" s="106"/>
      <c r="I182" s="106"/>
      <c r="J182" s="106"/>
      <c r="K182" s="106"/>
      <c r="L182" s="106"/>
      <c r="M182" s="106"/>
      <c r="N182" s="106"/>
      <c r="O182" s="106"/>
      <c r="P182" s="106"/>
      <c r="Q182" s="106"/>
    </row>
    <row r="183" spans="1:17" ht="24" customHeight="1">
      <c r="A183" s="106"/>
      <c r="B183" s="598"/>
      <c r="C183" s="598"/>
      <c r="D183" s="106"/>
      <c r="E183" s="106"/>
      <c r="F183" s="106"/>
      <c r="G183" s="106"/>
      <c r="H183" s="106"/>
      <c r="I183" s="106"/>
      <c r="J183" s="106"/>
      <c r="K183" s="106"/>
      <c r="L183" s="106"/>
      <c r="M183" s="106"/>
      <c r="N183" s="106"/>
      <c r="O183" s="106"/>
      <c r="P183" s="106"/>
      <c r="Q183" s="106"/>
    </row>
    <row r="184" spans="1:17" ht="24" customHeight="1">
      <c r="A184" s="106"/>
      <c r="B184" s="598"/>
      <c r="C184" s="598"/>
      <c r="D184" s="106"/>
      <c r="E184" s="106"/>
      <c r="F184" s="106"/>
      <c r="G184" s="106"/>
      <c r="H184" s="106"/>
      <c r="I184" s="106"/>
      <c r="J184" s="106"/>
      <c r="K184" s="106"/>
      <c r="L184" s="106"/>
      <c r="M184" s="106"/>
      <c r="N184" s="106"/>
      <c r="O184" s="106"/>
      <c r="P184" s="106"/>
      <c r="Q184" s="106"/>
    </row>
    <row r="185" spans="1:17" ht="24" customHeight="1">
      <c r="A185" s="106"/>
      <c r="B185" s="598"/>
      <c r="C185" s="599"/>
      <c r="D185" s="106"/>
      <c r="E185" s="106"/>
      <c r="F185" s="106"/>
      <c r="G185" s="106"/>
      <c r="H185" s="106"/>
      <c r="I185" s="106"/>
      <c r="J185" s="106"/>
      <c r="K185" s="106"/>
      <c r="L185" s="106"/>
      <c r="M185" s="106"/>
      <c r="N185" s="106"/>
      <c r="O185" s="106"/>
      <c r="P185" s="106"/>
      <c r="Q185" s="106"/>
    </row>
    <row r="186" spans="1:17" ht="24" customHeight="1">
      <c r="A186" s="106"/>
      <c r="B186" s="598"/>
      <c r="C186" s="599"/>
      <c r="D186" s="599"/>
      <c r="E186" s="106"/>
      <c r="F186" s="106"/>
      <c r="G186" s="106"/>
      <c r="H186" s="106"/>
      <c r="I186" s="106"/>
      <c r="J186" s="106"/>
      <c r="K186" s="106"/>
      <c r="L186" s="106"/>
      <c r="M186" s="106"/>
      <c r="N186" s="106"/>
      <c r="O186" s="106"/>
      <c r="P186" s="106"/>
      <c r="Q186" s="106"/>
    </row>
    <row r="187" spans="1:17" ht="24" customHeight="1">
      <c r="A187" s="106"/>
      <c r="B187" s="598"/>
      <c r="C187" s="599"/>
      <c r="D187" s="599"/>
      <c r="E187" s="106"/>
      <c r="F187" s="106"/>
      <c r="G187" s="106"/>
      <c r="H187" s="106"/>
      <c r="I187" s="106"/>
      <c r="J187" s="106"/>
      <c r="K187" s="106"/>
      <c r="L187" s="106"/>
      <c r="M187" s="106"/>
      <c r="N187" s="106"/>
      <c r="O187" s="106"/>
      <c r="P187" s="106"/>
      <c r="Q187" s="106"/>
    </row>
    <row r="188" spans="1:17" ht="24" customHeight="1">
      <c r="A188" s="106"/>
      <c r="B188" s="598"/>
      <c r="C188" s="599"/>
      <c r="D188" s="599"/>
      <c r="E188" s="106"/>
      <c r="F188" s="106"/>
      <c r="G188" s="106"/>
      <c r="H188" s="106"/>
      <c r="I188" s="106"/>
      <c r="J188" s="106"/>
      <c r="K188" s="106"/>
      <c r="L188" s="106"/>
      <c r="M188" s="106"/>
      <c r="N188" s="106"/>
      <c r="O188" s="106"/>
      <c r="P188" s="106"/>
      <c r="Q188" s="106"/>
    </row>
    <row r="189" spans="1:17" ht="24" customHeight="1">
      <c r="A189" s="106"/>
      <c r="B189" s="598"/>
      <c r="C189" s="599"/>
      <c r="D189" s="599"/>
      <c r="E189" s="106"/>
      <c r="F189" s="106"/>
      <c r="G189" s="106"/>
      <c r="H189" s="106"/>
      <c r="I189" s="106"/>
      <c r="J189" s="106"/>
      <c r="K189" s="106"/>
      <c r="L189" s="106"/>
      <c r="M189" s="106"/>
      <c r="N189" s="106"/>
      <c r="O189" s="106"/>
      <c r="P189" s="106"/>
      <c r="Q189" s="106"/>
    </row>
    <row r="190" spans="1:17" ht="24" customHeight="1">
      <c r="A190" s="106"/>
      <c r="B190" s="598"/>
      <c r="C190" s="599"/>
      <c r="D190" s="599"/>
      <c r="E190" s="106"/>
      <c r="F190" s="106"/>
      <c r="G190" s="106"/>
      <c r="H190" s="106"/>
      <c r="I190" s="106"/>
      <c r="J190" s="106"/>
      <c r="K190" s="106"/>
      <c r="L190" s="106"/>
      <c r="M190" s="106"/>
      <c r="N190" s="106"/>
      <c r="O190" s="106"/>
      <c r="P190" s="106"/>
      <c r="Q190" s="106"/>
    </row>
    <row r="191" spans="1:17" ht="24" customHeight="1">
      <c r="A191" s="106"/>
      <c r="B191" s="598"/>
      <c r="C191" s="599"/>
      <c r="D191" s="599"/>
      <c r="E191" s="106"/>
      <c r="F191" s="106"/>
      <c r="G191" s="106"/>
      <c r="H191" s="106"/>
      <c r="I191" s="106"/>
      <c r="J191" s="106"/>
      <c r="K191" s="106"/>
      <c r="L191" s="106"/>
      <c r="M191" s="106"/>
      <c r="N191" s="106"/>
      <c r="O191" s="106"/>
      <c r="P191" s="106"/>
      <c r="Q191" s="106"/>
    </row>
    <row r="192" spans="1:17" ht="24" customHeight="1">
      <c r="A192" s="106"/>
      <c r="B192" s="598"/>
      <c r="C192" s="599"/>
      <c r="D192" s="599"/>
      <c r="E192" s="106"/>
      <c r="F192" s="106"/>
      <c r="G192" s="106"/>
      <c r="H192" s="106"/>
      <c r="I192" s="106"/>
      <c r="J192" s="106"/>
      <c r="K192" s="106"/>
      <c r="L192" s="106"/>
      <c r="M192" s="106"/>
      <c r="N192" s="106"/>
      <c r="O192" s="106"/>
      <c r="P192" s="106"/>
      <c r="Q192" s="106"/>
    </row>
    <row r="193" spans="1:17" ht="24" customHeight="1">
      <c r="A193" s="106"/>
      <c r="B193" s="598"/>
      <c r="C193" s="599"/>
      <c r="D193" s="599"/>
      <c r="E193" s="106"/>
      <c r="F193" s="106"/>
      <c r="G193" s="106"/>
      <c r="H193" s="106"/>
      <c r="I193" s="106"/>
      <c r="J193" s="106"/>
      <c r="K193" s="106"/>
      <c r="L193" s="106"/>
      <c r="M193" s="106"/>
      <c r="N193" s="106"/>
      <c r="O193" s="106"/>
      <c r="P193" s="106"/>
      <c r="Q193" s="106"/>
    </row>
    <row r="194" spans="1:17" ht="24" customHeight="1">
      <c r="A194" s="106"/>
      <c r="B194" s="598"/>
      <c r="C194" s="599"/>
      <c r="D194" s="599"/>
      <c r="E194" s="106"/>
      <c r="F194" s="106"/>
      <c r="G194" s="106"/>
      <c r="H194" s="106"/>
      <c r="I194" s="106"/>
      <c r="J194" s="106"/>
      <c r="K194" s="106"/>
      <c r="L194" s="106"/>
      <c r="M194" s="106"/>
      <c r="N194" s="106"/>
      <c r="O194" s="106"/>
      <c r="P194" s="106"/>
      <c r="Q194" s="106"/>
    </row>
    <row r="195" spans="1:17" ht="24" customHeight="1">
      <c r="A195" s="106"/>
      <c r="B195" s="598"/>
      <c r="C195" s="599"/>
      <c r="D195" s="599"/>
      <c r="E195" s="106"/>
      <c r="F195" s="106"/>
      <c r="G195" s="106"/>
      <c r="H195" s="106"/>
      <c r="I195" s="106"/>
      <c r="J195" s="106"/>
      <c r="K195" s="106"/>
      <c r="L195" s="106"/>
      <c r="M195" s="106"/>
      <c r="N195" s="106"/>
      <c r="O195" s="106"/>
      <c r="P195" s="106"/>
      <c r="Q195" s="106"/>
    </row>
    <row r="196" spans="1:17" ht="24" customHeight="1">
      <c r="A196" s="106"/>
      <c r="B196" s="598"/>
      <c r="C196" s="599"/>
      <c r="D196" s="599"/>
      <c r="E196" s="106"/>
      <c r="F196" s="106"/>
      <c r="G196" s="106"/>
      <c r="H196" s="106"/>
      <c r="I196" s="106"/>
      <c r="J196" s="106"/>
      <c r="K196" s="106"/>
      <c r="L196" s="106"/>
      <c r="M196" s="106"/>
      <c r="N196" s="106"/>
      <c r="O196" s="106"/>
      <c r="P196" s="106"/>
      <c r="Q196" s="106"/>
    </row>
    <row r="197" spans="1:17" ht="24" customHeight="1">
      <c r="A197" s="106"/>
      <c r="B197" s="598"/>
      <c r="C197" s="599"/>
      <c r="D197" s="599"/>
      <c r="E197" s="106"/>
      <c r="F197" s="106"/>
      <c r="G197" s="106"/>
      <c r="H197" s="106"/>
      <c r="I197" s="106"/>
      <c r="J197" s="106"/>
      <c r="K197" s="106"/>
      <c r="L197" s="106"/>
      <c r="M197" s="106"/>
      <c r="N197" s="106"/>
      <c r="O197" s="106"/>
      <c r="P197" s="106"/>
      <c r="Q197" s="106"/>
    </row>
    <row r="198" spans="1:17" ht="24" customHeight="1">
      <c r="A198" s="106"/>
      <c r="B198" s="598"/>
      <c r="C198" s="599"/>
      <c r="D198" s="599"/>
      <c r="E198" s="106"/>
      <c r="F198" s="106"/>
      <c r="G198" s="106"/>
      <c r="H198" s="106"/>
      <c r="I198" s="106"/>
      <c r="J198" s="106"/>
      <c r="K198" s="106"/>
      <c r="L198" s="106"/>
      <c r="M198" s="106"/>
      <c r="N198" s="106"/>
      <c r="O198" s="106"/>
      <c r="P198" s="106"/>
      <c r="Q198" s="106"/>
    </row>
    <row r="199" spans="1:17" ht="24" customHeight="1">
      <c r="A199" s="106"/>
      <c r="B199" s="598"/>
      <c r="C199" s="599"/>
      <c r="D199" s="599"/>
      <c r="E199" s="106"/>
      <c r="F199" s="106"/>
      <c r="G199" s="106"/>
      <c r="H199" s="106"/>
      <c r="I199" s="106"/>
      <c r="J199" s="106"/>
      <c r="K199" s="106"/>
      <c r="L199" s="106"/>
      <c r="M199" s="106"/>
      <c r="N199" s="106"/>
      <c r="O199" s="106"/>
      <c r="P199" s="106"/>
      <c r="Q199" s="106"/>
    </row>
    <row r="200" spans="1:17" ht="24" customHeight="1">
      <c r="A200" s="106"/>
      <c r="B200" s="598"/>
      <c r="C200" s="599"/>
      <c r="D200" s="599"/>
      <c r="E200" s="106"/>
      <c r="F200" s="106"/>
      <c r="G200" s="106"/>
      <c r="H200" s="106"/>
      <c r="I200" s="106"/>
      <c r="J200" s="106"/>
      <c r="K200" s="106"/>
      <c r="L200" s="106"/>
      <c r="M200" s="106"/>
      <c r="N200" s="106"/>
      <c r="O200" s="106"/>
      <c r="P200" s="106"/>
      <c r="Q200" s="106"/>
    </row>
    <row r="201" spans="1:17" ht="24" customHeight="1">
      <c r="A201" s="106"/>
      <c r="B201" s="598"/>
      <c r="C201" s="599"/>
      <c r="D201" s="599"/>
      <c r="E201" s="106"/>
      <c r="F201" s="106"/>
      <c r="G201" s="106"/>
      <c r="H201" s="106"/>
      <c r="I201" s="106"/>
      <c r="J201" s="106"/>
      <c r="K201" s="106"/>
      <c r="L201" s="106"/>
      <c r="M201" s="106"/>
      <c r="N201" s="106"/>
      <c r="O201" s="106"/>
      <c r="P201" s="106"/>
      <c r="Q201" s="106"/>
    </row>
    <row r="202" spans="1:17" ht="24" customHeight="1">
      <c r="A202" s="106"/>
      <c r="B202" s="598"/>
      <c r="C202" s="599"/>
      <c r="D202" s="106"/>
      <c r="E202" s="106"/>
      <c r="F202" s="106"/>
      <c r="G202" s="106"/>
      <c r="H202" s="106"/>
      <c r="I202" s="106"/>
      <c r="J202" s="106"/>
      <c r="K202" s="106"/>
      <c r="L202" s="106"/>
      <c r="M202" s="106"/>
      <c r="N202" s="106"/>
      <c r="O202" s="106"/>
      <c r="P202" s="106"/>
      <c r="Q202" s="106"/>
    </row>
    <row r="203" spans="1:17" ht="24" customHeight="1">
      <c r="A203" s="106"/>
      <c r="B203" s="598"/>
      <c r="C203" s="599"/>
      <c r="D203" s="106"/>
      <c r="E203" s="106"/>
      <c r="F203" s="106"/>
      <c r="G203" s="106"/>
      <c r="H203" s="106"/>
      <c r="I203" s="106"/>
      <c r="J203" s="106"/>
      <c r="K203" s="106"/>
      <c r="L203" s="106"/>
      <c r="M203" s="106"/>
      <c r="N203" s="106"/>
      <c r="O203" s="106"/>
      <c r="P203" s="106"/>
      <c r="Q203" s="106"/>
    </row>
    <row r="204" spans="1:17" ht="24" customHeight="1">
      <c r="A204" s="106"/>
      <c r="B204" s="598"/>
      <c r="C204" s="599"/>
      <c r="D204" s="106"/>
      <c r="E204" s="106"/>
      <c r="F204" s="106"/>
      <c r="G204" s="106"/>
      <c r="H204" s="106"/>
      <c r="I204" s="106"/>
      <c r="J204" s="106"/>
      <c r="K204" s="106"/>
      <c r="L204" s="106"/>
      <c r="M204" s="106"/>
      <c r="N204" s="106"/>
      <c r="O204" s="106"/>
      <c r="P204" s="106"/>
      <c r="Q204" s="106"/>
    </row>
    <row r="205" spans="1:17" ht="24" customHeight="1">
      <c r="A205" s="106"/>
      <c r="B205" s="598"/>
      <c r="C205" s="599"/>
      <c r="D205" s="106"/>
      <c r="E205" s="106"/>
      <c r="F205" s="106"/>
      <c r="G205" s="106"/>
      <c r="H205" s="106"/>
      <c r="I205" s="106"/>
      <c r="J205" s="106"/>
      <c r="K205" s="106"/>
      <c r="L205" s="106"/>
      <c r="M205" s="106"/>
      <c r="N205" s="106"/>
      <c r="O205" s="106"/>
      <c r="P205" s="106"/>
      <c r="Q205" s="106"/>
    </row>
    <row r="206" spans="1:17" ht="24" customHeight="1">
      <c r="A206" s="106"/>
      <c r="B206" s="598"/>
      <c r="C206" s="599"/>
      <c r="D206" s="106"/>
      <c r="E206" s="106"/>
      <c r="F206" s="106"/>
      <c r="G206" s="106"/>
      <c r="H206" s="106"/>
      <c r="I206" s="106"/>
      <c r="J206" s="106"/>
      <c r="K206" s="106"/>
      <c r="L206" s="106"/>
      <c r="M206" s="106"/>
      <c r="N206" s="106"/>
      <c r="O206" s="106"/>
      <c r="P206" s="106"/>
      <c r="Q206" s="106"/>
    </row>
    <row r="207" spans="1:17" ht="24" customHeight="1">
      <c r="A207" s="106"/>
      <c r="B207" s="598"/>
      <c r="C207" s="599"/>
      <c r="D207" s="106"/>
      <c r="E207" s="106"/>
      <c r="F207" s="106"/>
      <c r="G207" s="106"/>
      <c r="H207" s="106"/>
      <c r="I207" s="106"/>
      <c r="J207" s="106"/>
      <c r="K207" s="106"/>
      <c r="L207" s="106"/>
      <c r="M207" s="106"/>
      <c r="N207" s="106"/>
      <c r="O207" s="106"/>
      <c r="P207" s="106"/>
      <c r="Q207" s="106"/>
    </row>
    <row r="208" spans="1:17" ht="24" customHeight="1">
      <c r="A208" s="106"/>
      <c r="B208" s="598"/>
      <c r="C208" s="599"/>
      <c r="D208" s="599"/>
      <c r="E208" s="106"/>
      <c r="F208" s="106"/>
      <c r="G208" s="106"/>
      <c r="H208" s="106"/>
      <c r="I208" s="106"/>
      <c r="J208" s="106"/>
      <c r="K208" s="106"/>
      <c r="L208" s="106"/>
      <c r="M208" s="106"/>
      <c r="N208" s="106"/>
      <c r="O208" s="106"/>
      <c r="P208" s="106"/>
      <c r="Q208" s="106"/>
    </row>
    <row r="209" spans="1:17" ht="24" customHeight="1">
      <c r="A209" s="106"/>
      <c r="B209" s="598"/>
      <c r="C209" s="599"/>
      <c r="D209" s="599"/>
      <c r="E209" s="106"/>
      <c r="F209" s="106"/>
      <c r="G209" s="106"/>
      <c r="H209" s="106"/>
      <c r="I209" s="106"/>
      <c r="J209" s="106"/>
      <c r="K209" s="106"/>
      <c r="L209" s="106"/>
      <c r="M209" s="106"/>
      <c r="N209" s="106"/>
      <c r="O209" s="106"/>
      <c r="P209" s="106"/>
      <c r="Q209" s="106"/>
    </row>
    <row r="210" spans="1:17" ht="24" customHeight="1">
      <c r="A210" s="106"/>
      <c r="B210" s="598"/>
      <c r="C210" s="599"/>
      <c r="D210" s="599"/>
      <c r="E210" s="106"/>
      <c r="F210" s="106"/>
      <c r="G210" s="106"/>
      <c r="H210" s="106"/>
      <c r="I210" s="106"/>
      <c r="J210" s="106"/>
      <c r="K210" s="106"/>
      <c r="L210" s="106"/>
      <c r="M210" s="106"/>
      <c r="N210" s="106"/>
      <c r="O210" s="106"/>
      <c r="P210" s="106"/>
      <c r="Q210" s="106"/>
    </row>
    <row r="211" spans="1:17" ht="24" customHeight="1">
      <c r="A211" s="106"/>
      <c r="B211" s="598"/>
      <c r="C211" s="599"/>
      <c r="D211" s="599"/>
      <c r="E211" s="106"/>
      <c r="F211" s="106"/>
      <c r="G211" s="106"/>
      <c r="H211" s="106"/>
      <c r="I211" s="106"/>
      <c r="J211" s="106"/>
      <c r="K211" s="106"/>
      <c r="L211" s="106"/>
      <c r="M211" s="106"/>
      <c r="N211" s="106"/>
      <c r="O211" s="106"/>
      <c r="P211" s="106"/>
      <c r="Q211" s="106"/>
    </row>
    <row r="212" spans="1:17" ht="24" customHeight="1">
      <c r="A212" s="106"/>
      <c r="B212" s="598"/>
      <c r="C212" s="599"/>
      <c r="D212" s="599"/>
      <c r="E212" s="106"/>
      <c r="F212" s="106"/>
      <c r="G212" s="106"/>
      <c r="H212" s="106"/>
      <c r="I212" s="106"/>
      <c r="J212" s="106"/>
      <c r="K212" s="106"/>
      <c r="L212" s="106"/>
      <c r="M212" s="106"/>
      <c r="N212" s="106"/>
      <c r="O212" s="106"/>
      <c r="P212" s="106"/>
      <c r="Q212" s="106"/>
    </row>
    <row r="213" spans="1:17" ht="24" customHeight="1">
      <c r="A213" s="106"/>
      <c r="B213" s="598"/>
      <c r="C213" s="599"/>
      <c r="D213" s="599"/>
      <c r="E213" s="106"/>
      <c r="F213" s="106"/>
      <c r="G213" s="106"/>
      <c r="H213" s="106"/>
      <c r="I213" s="106"/>
      <c r="J213" s="106"/>
      <c r="K213" s="106"/>
      <c r="L213" s="106"/>
      <c r="M213" s="106"/>
      <c r="N213" s="106"/>
      <c r="O213" s="106"/>
      <c r="P213" s="106"/>
      <c r="Q213" s="106"/>
    </row>
    <row r="214" spans="1:17" ht="24" customHeight="1">
      <c r="A214" s="106"/>
      <c r="B214" s="598"/>
      <c r="C214" s="599"/>
      <c r="D214" s="599"/>
      <c r="E214" s="106"/>
      <c r="F214" s="106"/>
      <c r="G214" s="106"/>
      <c r="H214" s="106"/>
      <c r="I214" s="106"/>
      <c r="J214" s="106"/>
      <c r="K214" s="106"/>
      <c r="L214" s="106"/>
      <c r="M214" s="106"/>
      <c r="N214" s="106"/>
      <c r="O214" s="106"/>
      <c r="P214" s="106"/>
      <c r="Q214" s="106"/>
    </row>
    <row r="215" spans="1:17" ht="24" customHeight="1">
      <c r="A215" s="106"/>
      <c r="B215" s="598"/>
      <c r="C215" s="599"/>
      <c r="D215" s="599"/>
      <c r="E215" s="106"/>
      <c r="F215" s="106"/>
      <c r="G215" s="106"/>
      <c r="H215" s="106"/>
      <c r="I215" s="106"/>
      <c r="J215" s="106"/>
      <c r="K215" s="106"/>
      <c r="L215" s="106"/>
      <c r="M215" s="106"/>
      <c r="N215" s="106"/>
      <c r="O215" s="106"/>
      <c r="P215" s="106"/>
      <c r="Q215" s="106"/>
    </row>
    <row r="216" spans="1:17" ht="24" customHeight="1">
      <c r="A216" s="106"/>
      <c r="B216" s="598"/>
      <c r="C216" s="599"/>
      <c r="D216" s="599"/>
      <c r="E216" s="106"/>
      <c r="F216" s="106"/>
      <c r="G216" s="106"/>
      <c r="H216" s="106"/>
      <c r="I216" s="106"/>
      <c r="J216" s="106"/>
      <c r="K216" s="106"/>
      <c r="L216" s="106"/>
      <c r="M216" s="106"/>
      <c r="N216" s="106"/>
      <c r="O216" s="106"/>
      <c r="P216" s="106"/>
      <c r="Q216" s="106"/>
    </row>
    <row r="217" spans="1:17" ht="24" customHeight="1">
      <c r="A217" s="106"/>
      <c r="B217" s="598"/>
      <c r="C217" s="599"/>
      <c r="D217" s="599"/>
      <c r="E217" s="106"/>
      <c r="F217" s="106"/>
      <c r="G217" s="106"/>
      <c r="H217" s="106"/>
      <c r="I217" s="106"/>
      <c r="J217" s="106"/>
      <c r="K217" s="106"/>
      <c r="L217" s="106"/>
      <c r="M217" s="106"/>
      <c r="N217" s="106"/>
      <c r="O217" s="106"/>
      <c r="P217" s="106"/>
      <c r="Q217" s="106"/>
    </row>
    <row r="218" spans="1:17" ht="24" customHeight="1">
      <c r="A218" s="106"/>
      <c r="B218" s="598"/>
      <c r="C218" s="599"/>
      <c r="D218" s="599"/>
      <c r="E218" s="106"/>
      <c r="F218" s="106"/>
      <c r="G218" s="106"/>
      <c r="H218" s="106"/>
      <c r="I218" s="106"/>
      <c r="J218" s="106"/>
      <c r="K218" s="106"/>
      <c r="L218" s="106"/>
      <c r="M218" s="106"/>
      <c r="N218" s="106"/>
      <c r="O218" s="106"/>
      <c r="P218" s="106"/>
      <c r="Q218" s="106"/>
    </row>
    <row r="219" spans="1:17" ht="24" customHeight="1">
      <c r="A219" s="106"/>
      <c r="B219" s="598"/>
      <c r="C219" s="599"/>
      <c r="D219" s="599"/>
      <c r="E219" s="106"/>
      <c r="F219" s="106"/>
      <c r="G219" s="106"/>
      <c r="H219" s="106"/>
      <c r="I219" s="106"/>
      <c r="J219" s="106"/>
      <c r="K219" s="106"/>
      <c r="L219" s="106"/>
      <c r="M219" s="106"/>
      <c r="N219" s="106"/>
      <c r="O219" s="106"/>
      <c r="P219" s="106"/>
      <c r="Q219" s="106"/>
    </row>
    <row r="220" spans="1:17" ht="24" customHeight="1">
      <c r="A220" s="106"/>
      <c r="B220" s="598"/>
      <c r="C220" s="599"/>
      <c r="D220" s="599"/>
      <c r="E220" s="106"/>
      <c r="F220" s="106"/>
      <c r="G220" s="106"/>
      <c r="H220" s="106"/>
      <c r="I220" s="106"/>
      <c r="J220" s="106"/>
      <c r="K220" s="106"/>
      <c r="L220" s="106"/>
      <c r="M220" s="106"/>
      <c r="N220" s="106"/>
      <c r="O220" s="106"/>
      <c r="P220" s="106"/>
      <c r="Q220" s="106"/>
    </row>
    <row r="221" spans="1:17" ht="24" customHeight="1">
      <c r="A221" s="106"/>
      <c r="B221" s="598"/>
      <c r="C221" s="599"/>
      <c r="D221" s="599"/>
      <c r="E221" s="106"/>
      <c r="F221" s="106"/>
      <c r="G221" s="106"/>
      <c r="H221" s="106"/>
      <c r="I221" s="106"/>
      <c r="J221" s="106"/>
      <c r="K221" s="106"/>
      <c r="L221" s="106"/>
      <c r="M221" s="106"/>
      <c r="N221" s="106"/>
      <c r="O221" s="106"/>
      <c r="P221" s="106"/>
      <c r="Q221" s="106"/>
    </row>
    <row r="222" spans="1:17" ht="24" customHeight="1">
      <c r="A222" s="106"/>
      <c r="B222" s="598"/>
      <c r="C222" s="599"/>
      <c r="D222" s="599"/>
      <c r="E222" s="106"/>
      <c r="F222" s="106"/>
      <c r="G222" s="106"/>
      <c r="H222" s="106"/>
      <c r="I222" s="106"/>
      <c r="J222" s="106"/>
      <c r="K222" s="106"/>
      <c r="L222" s="106"/>
      <c r="M222" s="106"/>
      <c r="N222" s="106"/>
      <c r="O222" s="106"/>
      <c r="P222" s="106"/>
      <c r="Q222" s="106"/>
    </row>
    <row r="223" spans="1:17" ht="24" customHeight="1">
      <c r="A223" s="106"/>
      <c r="B223" s="598"/>
      <c r="C223" s="599"/>
      <c r="D223" s="599"/>
      <c r="E223" s="106"/>
      <c r="F223" s="106"/>
      <c r="G223" s="106"/>
      <c r="H223" s="106"/>
      <c r="I223" s="106"/>
      <c r="J223" s="106"/>
      <c r="K223" s="106"/>
      <c r="L223" s="106"/>
      <c r="M223" s="106"/>
      <c r="N223" s="106"/>
      <c r="O223" s="106"/>
      <c r="P223" s="106"/>
      <c r="Q223" s="106"/>
    </row>
    <row r="224" spans="1:17" ht="24" customHeight="1">
      <c r="A224" s="106"/>
      <c r="B224" s="598"/>
      <c r="C224" s="599"/>
      <c r="D224" s="599"/>
      <c r="E224" s="106"/>
      <c r="F224" s="106"/>
      <c r="G224" s="106"/>
      <c r="H224" s="106"/>
      <c r="I224" s="106"/>
      <c r="J224" s="106"/>
      <c r="K224" s="106"/>
      <c r="L224" s="106"/>
      <c r="M224" s="106"/>
      <c r="N224" s="106"/>
      <c r="O224" s="106"/>
      <c r="P224" s="106"/>
      <c r="Q224" s="106"/>
    </row>
    <row r="225" spans="1:17" ht="24" customHeight="1">
      <c r="A225" s="106"/>
      <c r="B225" s="598"/>
      <c r="C225" s="599"/>
      <c r="D225" s="599"/>
      <c r="E225" s="106"/>
      <c r="F225" s="106"/>
      <c r="G225" s="106"/>
      <c r="H225" s="106"/>
      <c r="I225" s="106"/>
      <c r="J225" s="106"/>
      <c r="K225" s="106"/>
      <c r="L225" s="106"/>
      <c r="M225" s="106"/>
      <c r="N225" s="106"/>
      <c r="O225" s="106"/>
      <c r="P225" s="106"/>
      <c r="Q225" s="106"/>
    </row>
    <row r="226" spans="1:17" ht="24" customHeight="1">
      <c r="A226" s="106"/>
      <c r="B226" s="598"/>
      <c r="C226" s="599"/>
      <c r="D226" s="599"/>
      <c r="E226" s="106"/>
      <c r="F226" s="106"/>
      <c r="G226" s="106"/>
      <c r="H226" s="106"/>
      <c r="I226" s="106"/>
      <c r="J226" s="106"/>
      <c r="K226" s="106"/>
      <c r="L226" s="106"/>
      <c r="M226" s="106"/>
      <c r="N226" s="106"/>
      <c r="O226" s="106"/>
      <c r="P226" s="106"/>
      <c r="Q226" s="106"/>
    </row>
    <row r="227" spans="1:17" ht="24" customHeight="1">
      <c r="A227" s="106"/>
      <c r="B227" s="598"/>
      <c r="C227" s="599"/>
      <c r="D227" s="599"/>
      <c r="E227" s="106"/>
      <c r="F227" s="106"/>
      <c r="G227" s="106"/>
      <c r="H227" s="106"/>
      <c r="I227" s="106"/>
      <c r="J227" s="106"/>
      <c r="K227" s="106"/>
      <c r="L227" s="106"/>
      <c r="M227" s="106"/>
      <c r="N227" s="106"/>
      <c r="O227" s="106"/>
      <c r="P227" s="106"/>
      <c r="Q227" s="106"/>
    </row>
    <row r="228" spans="1:17" ht="24" customHeight="1">
      <c r="A228" s="106"/>
      <c r="B228" s="598"/>
      <c r="C228" s="599"/>
      <c r="D228" s="599"/>
      <c r="E228" s="106"/>
      <c r="F228" s="106"/>
      <c r="G228" s="106"/>
      <c r="H228" s="106"/>
      <c r="I228" s="106"/>
      <c r="J228" s="106"/>
      <c r="K228" s="106"/>
      <c r="L228" s="106"/>
      <c r="M228" s="106"/>
      <c r="N228" s="106"/>
      <c r="O228" s="106"/>
      <c r="P228" s="106"/>
      <c r="Q228" s="106"/>
    </row>
    <row r="229" spans="1:17" ht="24" customHeight="1">
      <c r="A229" s="106"/>
      <c r="B229" s="598"/>
      <c r="C229" s="599"/>
      <c r="D229" s="599"/>
      <c r="E229" s="106"/>
      <c r="F229" s="106"/>
      <c r="G229" s="106"/>
      <c r="H229" s="106"/>
      <c r="I229" s="106"/>
      <c r="J229" s="106"/>
      <c r="K229" s="106"/>
      <c r="L229" s="106"/>
      <c r="M229" s="106"/>
      <c r="N229" s="106"/>
      <c r="O229" s="106"/>
      <c r="P229" s="106"/>
      <c r="Q229" s="106"/>
    </row>
    <row r="230" spans="1:17" ht="24" customHeight="1">
      <c r="A230" s="106"/>
      <c r="B230" s="598"/>
      <c r="C230" s="599"/>
      <c r="D230" s="599"/>
      <c r="E230" s="106"/>
      <c r="F230" s="106"/>
      <c r="G230" s="106"/>
      <c r="H230" s="106"/>
      <c r="I230" s="106"/>
      <c r="J230" s="106"/>
      <c r="K230" s="106"/>
      <c r="L230" s="106"/>
      <c r="M230" s="106"/>
      <c r="N230" s="106"/>
      <c r="O230" s="106"/>
      <c r="P230" s="106"/>
      <c r="Q230" s="106"/>
    </row>
    <row r="231" spans="1:17" ht="24" customHeight="1">
      <c r="A231" s="106"/>
      <c r="B231" s="598"/>
      <c r="C231" s="599"/>
      <c r="D231" s="599"/>
      <c r="E231" s="106"/>
      <c r="F231" s="106"/>
      <c r="G231" s="106"/>
      <c r="H231" s="106"/>
      <c r="I231" s="106"/>
      <c r="J231" s="106"/>
      <c r="K231" s="106"/>
      <c r="L231" s="106"/>
      <c r="M231" s="106"/>
      <c r="N231" s="106"/>
      <c r="O231" s="106"/>
      <c r="P231" s="106"/>
      <c r="Q231" s="106"/>
    </row>
    <row r="232" spans="1:17" ht="24" customHeight="1">
      <c r="A232" s="106"/>
      <c r="B232" s="598"/>
      <c r="C232" s="599"/>
      <c r="D232" s="599"/>
      <c r="E232" s="106"/>
      <c r="F232" s="106"/>
      <c r="G232" s="106"/>
      <c r="H232" s="106"/>
      <c r="I232" s="106"/>
      <c r="J232" s="106"/>
      <c r="K232" s="106"/>
      <c r="L232" s="106"/>
      <c r="M232" s="106"/>
      <c r="N232" s="106"/>
      <c r="O232" s="106"/>
      <c r="P232" s="106"/>
      <c r="Q232" s="106"/>
    </row>
    <row r="233" spans="1:17" ht="24" customHeight="1">
      <c r="A233" s="106"/>
      <c r="B233" s="598"/>
      <c r="C233" s="599"/>
      <c r="D233" s="599"/>
      <c r="E233" s="106"/>
      <c r="F233" s="106"/>
      <c r="G233" s="106"/>
      <c r="H233" s="106"/>
      <c r="I233" s="106"/>
      <c r="J233" s="106"/>
      <c r="K233" s="106"/>
      <c r="L233" s="106"/>
      <c r="M233" s="106"/>
      <c r="N233" s="106"/>
      <c r="O233" s="106"/>
      <c r="P233" s="106"/>
      <c r="Q233" s="106"/>
    </row>
    <row r="234" spans="1:17" ht="24" customHeight="1">
      <c r="A234" s="106"/>
      <c r="B234" s="598"/>
      <c r="C234" s="599"/>
      <c r="D234" s="599"/>
      <c r="E234" s="106"/>
      <c r="F234" s="106"/>
      <c r="G234" s="106"/>
      <c r="H234" s="106"/>
      <c r="I234" s="106"/>
      <c r="J234" s="106"/>
      <c r="K234" s="106"/>
      <c r="L234" s="106"/>
      <c r="M234" s="106"/>
      <c r="N234" s="106"/>
      <c r="O234" s="106"/>
      <c r="P234" s="106"/>
      <c r="Q234" s="106"/>
    </row>
    <row r="235" spans="1:17" ht="24" customHeight="1">
      <c r="A235" s="106"/>
      <c r="B235" s="598"/>
      <c r="C235" s="599"/>
      <c r="D235" s="599"/>
      <c r="E235" s="106"/>
      <c r="F235" s="106"/>
      <c r="G235" s="106"/>
      <c r="H235" s="106"/>
      <c r="I235" s="106"/>
      <c r="J235" s="106"/>
      <c r="K235" s="106"/>
      <c r="L235" s="106"/>
      <c r="M235" s="106"/>
      <c r="N235" s="106"/>
      <c r="O235" s="106"/>
      <c r="P235" s="106"/>
      <c r="Q235" s="106"/>
    </row>
    <row r="236" spans="1:17" ht="24" customHeight="1">
      <c r="A236" s="106"/>
      <c r="B236" s="598"/>
      <c r="C236" s="599"/>
      <c r="D236" s="599"/>
      <c r="E236" s="106"/>
      <c r="F236" s="106"/>
      <c r="G236" s="106"/>
      <c r="H236" s="106"/>
      <c r="I236" s="106"/>
      <c r="J236" s="106"/>
      <c r="K236" s="106"/>
      <c r="L236" s="106"/>
      <c r="M236" s="106"/>
      <c r="N236" s="106"/>
      <c r="O236" s="106"/>
      <c r="P236" s="106"/>
      <c r="Q236" s="106"/>
    </row>
    <row r="237" spans="1:17" ht="24" customHeight="1">
      <c r="A237" s="106"/>
      <c r="B237" s="598"/>
      <c r="C237" s="599"/>
      <c r="D237" s="599"/>
      <c r="E237" s="106"/>
      <c r="F237" s="106"/>
      <c r="G237" s="106"/>
      <c r="H237" s="106"/>
      <c r="I237" s="106"/>
      <c r="J237" s="106"/>
      <c r="K237" s="106"/>
      <c r="L237" s="106"/>
      <c r="M237" s="106"/>
      <c r="N237" s="106"/>
      <c r="O237" s="106"/>
      <c r="P237" s="106"/>
      <c r="Q237" s="106"/>
    </row>
    <row r="238" spans="1:17" ht="24" customHeight="1">
      <c r="A238" s="106"/>
      <c r="B238" s="598"/>
      <c r="C238" s="599"/>
      <c r="D238" s="599"/>
      <c r="E238" s="106"/>
      <c r="F238" s="106"/>
      <c r="G238" s="106"/>
      <c r="H238" s="106"/>
      <c r="I238" s="106"/>
      <c r="J238" s="106"/>
      <c r="K238" s="106"/>
      <c r="L238" s="106"/>
      <c r="M238" s="106"/>
      <c r="N238" s="106"/>
      <c r="O238" s="106"/>
      <c r="P238" s="106"/>
      <c r="Q238" s="106"/>
    </row>
    <row r="239" spans="1:17" ht="24" customHeight="1">
      <c r="A239" s="106"/>
      <c r="B239" s="598"/>
      <c r="C239" s="599"/>
      <c r="D239" s="599"/>
      <c r="E239" s="106"/>
      <c r="F239" s="106"/>
      <c r="G239" s="106"/>
      <c r="H239" s="106"/>
      <c r="I239" s="106"/>
      <c r="J239" s="106"/>
      <c r="K239" s="106"/>
      <c r="L239" s="106"/>
      <c r="M239" s="106"/>
      <c r="N239" s="106"/>
      <c r="O239" s="106"/>
      <c r="P239" s="106"/>
      <c r="Q239" s="106"/>
    </row>
    <row r="240" spans="1:17" ht="24" customHeight="1">
      <c r="A240" s="106"/>
      <c r="B240" s="598"/>
      <c r="C240" s="599"/>
      <c r="D240" s="599"/>
      <c r="E240" s="106"/>
      <c r="F240" s="106"/>
      <c r="G240" s="106"/>
      <c r="H240" s="106"/>
      <c r="I240" s="106"/>
      <c r="J240" s="106"/>
      <c r="K240" s="106"/>
      <c r="L240" s="106"/>
      <c r="M240" s="106"/>
      <c r="N240" s="106"/>
      <c r="O240" s="106"/>
      <c r="P240" s="106"/>
      <c r="Q240" s="106"/>
    </row>
    <row r="241" spans="1:17" ht="24" customHeight="1">
      <c r="A241" s="106"/>
      <c r="B241" s="598"/>
      <c r="C241" s="599"/>
      <c r="D241" s="599"/>
      <c r="E241" s="106"/>
      <c r="F241" s="106"/>
      <c r="G241" s="106"/>
      <c r="H241" s="106"/>
      <c r="I241" s="106"/>
      <c r="J241" s="106"/>
      <c r="K241" s="106"/>
      <c r="L241" s="106"/>
      <c r="M241" s="106"/>
      <c r="N241" s="106"/>
      <c r="O241" s="106"/>
      <c r="P241" s="106"/>
      <c r="Q241" s="106"/>
    </row>
    <row r="242" spans="1:17" ht="24" customHeight="1">
      <c r="A242" s="106"/>
      <c r="B242" s="598"/>
      <c r="C242" s="599"/>
      <c r="D242" s="599"/>
      <c r="E242" s="106"/>
      <c r="F242" s="106"/>
      <c r="G242" s="106"/>
      <c r="H242" s="106"/>
      <c r="I242" s="106"/>
      <c r="J242" s="106"/>
      <c r="K242" s="106"/>
      <c r="L242" s="106"/>
      <c r="M242" s="106"/>
      <c r="N242" s="106"/>
      <c r="O242" s="106"/>
      <c r="P242" s="106"/>
      <c r="Q242" s="106"/>
    </row>
    <row r="243" spans="1:17" ht="24" customHeight="1">
      <c r="A243" s="106"/>
      <c r="B243" s="598"/>
      <c r="C243" s="599"/>
      <c r="D243" s="599"/>
      <c r="E243" s="106"/>
      <c r="F243" s="106"/>
      <c r="G243" s="106"/>
      <c r="H243" s="106"/>
      <c r="I243" s="106"/>
      <c r="J243" s="106"/>
      <c r="K243" s="106"/>
      <c r="L243" s="106"/>
      <c r="M243" s="106"/>
      <c r="N243" s="106"/>
      <c r="O243" s="106"/>
      <c r="P243" s="106"/>
      <c r="Q243" s="106"/>
    </row>
    <row r="244" spans="1:17" ht="24" customHeight="1">
      <c r="A244" s="106"/>
      <c r="B244" s="598"/>
      <c r="C244" s="599"/>
      <c r="D244" s="599"/>
      <c r="E244" s="106"/>
      <c r="F244" s="106"/>
      <c r="G244" s="106"/>
      <c r="H244" s="106"/>
      <c r="I244" s="106"/>
      <c r="J244" s="106"/>
      <c r="K244" s="106"/>
      <c r="L244" s="106"/>
      <c r="M244" s="106"/>
      <c r="N244" s="106"/>
      <c r="O244" s="106"/>
      <c r="P244" s="106"/>
      <c r="Q244" s="106"/>
    </row>
    <row r="245" spans="1:17" ht="24" customHeight="1">
      <c r="A245" s="106"/>
      <c r="B245" s="598"/>
      <c r="C245" s="599"/>
      <c r="D245" s="599"/>
      <c r="E245" s="106"/>
      <c r="F245" s="106"/>
      <c r="G245" s="106"/>
      <c r="H245" s="106"/>
      <c r="I245" s="106"/>
      <c r="J245" s="106"/>
      <c r="K245" s="106"/>
      <c r="L245" s="106"/>
      <c r="M245" s="106"/>
      <c r="N245" s="106"/>
      <c r="O245" s="106"/>
      <c r="P245" s="106"/>
      <c r="Q245" s="106"/>
    </row>
    <row r="246" spans="1:17" ht="24" customHeight="1">
      <c r="A246" s="106"/>
      <c r="B246" s="598"/>
      <c r="C246" s="599"/>
      <c r="D246" s="599"/>
      <c r="E246" s="106"/>
      <c r="F246" s="106"/>
      <c r="G246" s="106"/>
      <c r="H246" s="106"/>
      <c r="I246" s="106"/>
      <c r="J246" s="106"/>
      <c r="K246" s="106"/>
      <c r="L246" s="106"/>
      <c r="M246" s="106"/>
      <c r="N246" s="106"/>
      <c r="O246" s="106"/>
      <c r="P246" s="106"/>
      <c r="Q246" s="106"/>
    </row>
    <row r="247" spans="1:17" ht="24" customHeight="1">
      <c r="A247" s="106"/>
      <c r="B247" s="598"/>
      <c r="C247" s="599"/>
      <c r="D247" s="599"/>
      <c r="E247" s="106"/>
      <c r="F247" s="106"/>
      <c r="G247" s="106"/>
      <c r="H247" s="106"/>
      <c r="I247" s="106"/>
      <c r="J247" s="106"/>
      <c r="K247" s="106"/>
      <c r="L247" s="106"/>
      <c r="M247" s="106"/>
      <c r="N247" s="106"/>
      <c r="O247" s="106"/>
      <c r="P247" s="106"/>
      <c r="Q247" s="106"/>
    </row>
    <row r="248" spans="1:17" ht="24" customHeight="1">
      <c r="A248" s="106"/>
      <c r="B248" s="598"/>
      <c r="C248" s="599"/>
      <c r="D248" s="599"/>
      <c r="E248" s="106"/>
      <c r="F248" s="106"/>
      <c r="G248" s="106"/>
      <c r="H248" s="106"/>
      <c r="I248" s="106"/>
      <c r="J248" s="106"/>
      <c r="K248" s="106"/>
      <c r="L248" s="106"/>
      <c r="M248" s="106"/>
      <c r="N248" s="106"/>
      <c r="O248" s="106"/>
      <c r="P248" s="106"/>
      <c r="Q248" s="106"/>
    </row>
    <row r="249" spans="1:17" ht="24" customHeight="1">
      <c r="A249" s="106"/>
      <c r="B249" s="598"/>
      <c r="C249" s="599"/>
      <c r="D249" s="599"/>
      <c r="E249" s="106"/>
      <c r="F249" s="106"/>
      <c r="G249" s="106"/>
      <c r="H249" s="106"/>
      <c r="I249" s="106"/>
      <c r="J249" s="106"/>
      <c r="K249" s="106"/>
      <c r="L249" s="106"/>
      <c r="M249" s="106"/>
      <c r="N249" s="106"/>
      <c r="O249" s="106"/>
      <c r="P249" s="106"/>
      <c r="Q249" s="106"/>
    </row>
    <row r="250" spans="1:17" ht="24" customHeight="1">
      <c r="A250" s="106"/>
      <c r="B250" s="598"/>
      <c r="C250" s="599"/>
      <c r="D250" s="599"/>
      <c r="E250" s="106"/>
      <c r="F250" s="106"/>
      <c r="G250" s="106"/>
      <c r="H250" s="106"/>
      <c r="I250" s="106"/>
      <c r="J250" s="106"/>
      <c r="K250" s="106"/>
      <c r="L250" s="106"/>
      <c r="M250" s="106"/>
      <c r="N250" s="106"/>
      <c r="O250" s="106"/>
      <c r="P250" s="106"/>
      <c r="Q250" s="106"/>
    </row>
    <row r="251" spans="1:17" ht="24" customHeight="1">
      <c r="A251" s="106"/>
      <c r="B251" s="598"/>
      <c r="C251" s="599"/>
      <c r="D251" s="599"/>
      <c r="E251" s="106"/>
      <c r="F251" s="106"/>
      <c r="G251" s="106"/>
      <c r="H251" s="106"/>
      <c r="I251" s="106"/>
      <c r="J251" s="106"/>
      <c r="K251" s="106"/>
      <c r="L251" s="106"/>
      <c r="M251" s="106"/>
      <c r="N251" s="106"/>
      <c r="O251" s="106"/>
      <c r="P251" s="106"/>
      <c r="Q251" s="106"/>
    </row>
    <row r="252" spans="1:17" ht="24" customHeight="1">
      <c r="A252" s="106"/>
      <c r="B252" s="598"/>
      <c r="C252" s="599"/>
      <c r="D252" s="599"/>
      <c r="E252" s="106"/>
      <c r="F252" s="106"/>
      <c r="G252" s="106"/>
      <c r="H252" s="106"/>
      <c r="I252" s="106"/>
      <c r="J252" s="106"/>
      <c r="K252" s="106"/>
      <c r="L252" s="106"/>
      <c r="M252" s="106"/>
      <c r="N252" s="106"/>
      <c r="O252" s="106"/>
      <c r="P252" s="106"/>
      <c r="Q252" s="106"/>
    </row>
    <row r="253" spans="1:17" ht="24" customHeight="1">
      <c r="A253" s="106"/>
      <c r="B253" s="598"/>
      <c r="C253" s="599"/>
      <c r="D253" s="599"/>
      <c r="E253" s="106"/>
      <c r="F253" s="106"/>
      <c r="G253" s="106"/>
      <c r="H253" s="106"/>
      <c r="I253" s="106"/>
      <c r="J253" s="106"/>
      <c r="K253" s="106"/>
      <c r="L253" s="106"/>
      <c r="M253" s="106"/>
      <c r="N253" s="106"/>
      <c r="O253" s="106"/>
      <c r="P253" s="106"/>
      <c r="Q253" s="106"/>
    </row>
    <row r="254" spans="1:17" ht="24" customHeight="1">
      <c r="A254" s="106"/>
      <c r="B254" s="598"/>
      <c r="C254" s="599"/>
      <c r="D254" s="599"/>
      <c r="E254" s="106"/>
      <c r="F254" s="106"/>
      <c r="G254" s="106"/>
      <c r="H254" s="106"/>
      <c r="I254" s="106"/>
      <c r="J254" s="106"/>
      <c r="K254" s="106"/>
      <c r="L254" s="106"/>
      <c r="M254" s="106"/>
      <c r="N254" s="106"/>
      <c r="O254" s="106"/>
      <c r="P254" s="106"/>
      <c r="Q254" s="106"/>
    </row>
    <row r="255" spans="1:17" ht="24" customHeight="1">
      <c r="A255" s="106"/>
      <c r="B255" s="598"/>
      <c r="C255" s="599"/>
      <c r="D255" s="599"/>
      <c r="E255" s="106"/>
      <c r="F255" s="106"/>
      <c r="G255" s="106"/>
      <c r="H255" s="106"/>
      <c r="I255" s="106"/>
      <c r="J255" s="106"/>
      <c r="K255" s="106"/>
      <c r="L255" s="106"/>
      <c r="M255" s="106"/>
      <c r="N255" s="106"/>
      <c r="O255" s="106"/>
      <c r="P255" s="106"/>
      <c r="Q255" s="106"/>
    </row>
    <row r="256" spans="1:17" ht="24" customHeight="1">
      <c r="A256" s="106"/>
      <c r="B256" s="598"/>
      <c r="C256" s="599"/>
      <c r="D256" s="599"/>
      <c r="E256" s="106"/>
      <c r="F256" s="106"/>
      <c r="G256" s="106"/>
      <c r="H256" s="106"/>
      <c r="I256" s="106"/>
      <c r="J256" s="106"/>
      <c r="K256" s="106"/>
      <c r="L256" s="106"/>
      <c r="M256" s="106"/>
      <c r="N256" s="106"/>
      <c r="O256" s="106"/>
      <c r="P256" s="106"/>
      <c r="Q256" s="106"/>
    </row>
    <row r="257" spans="1:17" ht="24" customHeight="1">
      <c r="A257" s="106"/>
      <c r="B257" s="598"/>
      <c r="C257" s="599"/>
      <c r="D257" s="599"/>
      <c r="E257" s="106"/>
      <c r="F257" s="106"/>
      <c r="G257" s="106"/>
      <c r="H257" s="106"/>
      <c r="I257" s="106"/>
      <c r="J257" s="106"/>
      <c r="K257" s="106"/>
      <c r="L257" s="106"/>
      <c r="M257" s="106"/>
      <c r="N257" s="106"/>
      <c r="O257" s="106"/>
      <c r="P257" s="106"/>
      <c r="Q257" s="106"/>
    </row>
    <row r="258" spans="1:17" ht="24" customHeight="1">
      <c r="A258" s="106"/>
      <c r="B258" s="598"/>
      <c r="C258" s="599"/>
      <c r="D258" s="599"/>
      <c r="E258" s="106"/>
      <c r="F258" s="106"/>
      <c r="G258" s="106"/>
      <c r="H258" s="106"/>
      <c r="I258" s="106"/>
      <c r="J258" s="106"/>
      <c r="K258" s="106"/>
      <c r="L258" s="106"/>
      <c r="M258" s="106"/>
      <c r="N258" s="106"/>
      <c r="O258" s="106"/>
      <c r="P258" s="106"/>
      <c r="Q258" s="106"/>
    </row>
    <row r="259" spans="1:17" ht="24" customHeight="1">
      <c r="A259" s="106"/>
      <c r="B259" s="598"/>
      <c r="C259" s="599"/>
      <c r="D259" s="599"/>
      <c r="E259" s="106"/>
      <c r="F259" s="106"/>
      <c r="G259" s="106"/>
      <c r="H259" s="106"/>
      <c r="I259" s="106"/>
      <c r="J259" s="106"/>
      <c r="K259" s="106"/>
      <c r="L259" s="106"/>
      <c r="M259" s="106"/>
      <c r="N259" s="106"/>
      <c r="O259" s="106"/>
      <c r="P259" s="106"/>
      <c r="Q259" s="106"/>
    </row>
    <row r="260" spans="1:17" ht="24" customHeight="1">
      <c r="A260" s="106"/>
      <c r="B260" s="598"/>
      <c r="C260" s="599"/>
      <c r="D260" s="599"/>
      <c r="E260" s="2"/>
      <c r="F260" s="2"/>
      <c r="G260" s="106"/>
      <c r="H260" s="106"/>
      <c r="I260" s="106"/>
      <c r="J260" s="106"/>
      <c r="K260" s="106"/>
      <c r="L260" s="106"/>
      <c r="M260" s="106"/>
      <c r="N260" s="106"/>
      <c r="O260" s="106"/>
      <c r="P260" s="106"/>
      <c r="Q260" s="106"/>
    </row>
    <row r="261" spans="1:17" ht="24" customHeight="1">
      <c r="A261" s="106"/>
      <c r="B261" s="598"/>
      <c r="C261" s="599"/>
      <c r="D261" s="599"/>
      <c r="E261" s="2"/>
      <c r="F261" s="2"/>
      <c r="G261" s="106"/>
      <c r="H261" s="106"/>
      <c r="I261" s="106"/>
      <c r="J261" s="106"/>
      <c r="K261" s="106"/>
      <c r="L261" s="106"/>
      <c r="M261" s="106"/>
      <c r="N261" s="106"/>
      <c r="O261" s="106"/>
      <c r="P261" s="106"/>
      <c r="Q261" s="106"/>
    </row>
    <row r="262" spans="1:17" ht="24" customHeight="1">
      <c r="A262" s="106"/>
      <c r="B262" s="598"/>
      <c r="C262" s="599"/>
      <c r="D262" s="599"/>
      <c r="E262" s="106"/>
      <c r="F262" s="106"/>
      <c r="G262" s="106"/>
      <c r="H262" s="106"/>
      <c r="I262" s="106"/>
      <c r="J262" s="106"/>
      <c r="K262" s="106"/>
      <c r="L262" s="106"/>
      <c r="M262" s="106"/>
      <c r="N262" s="106"/>
      <c r="O262" s="106"/>
      <c r="P262" s="106"/>
      <c r="Q262" s="106"/>
    </row>
    <row r="263" spans="1:17" ht="24" customHeight="1">
      <c r="A263" s="106"/>
      <c r="B263" s="598"/>
      <c r="C263" s="599"/>
      <c r="D263" s="599"/>
      <c r="E263" s="106"/>
      <c r="F263" s="106"/>
      <c r="G263" s="106"/>
      <c r="H263" s="106"/>
      <c r="I263" s="106"/>
      <c r="J263" s="106"/>
      <c r="K263" s="106"/>
      <c r="L263" s="106"/>
      <c r="M263" s="106"/>
      <c r="N263" s="106"/>
      <c r="O263" s="106"/>
      <c r="P263" s="106"/>
      <c r="Q263" s="106"/>
    </row>
    <row r="264" spans="1:17" ht="24" customHeight="1">
      <c r="A264" s="106"/>
      <c r="B264" s="598"/>
      <c r="C264" s="599"/>
      <c r="D264" s="599"/>
      <c r="E264" s="106"/>
      <c r="F264" s="106"/>
      <c r="G264" s="106"/>
      <c r="H264" s="106"/>
      <c r="I264" s="106"/>
      <c r="J264" s="106"/>
      <c r="K264" s="106"/>
      <c r="L264" s="106"/>
      <c r="M264" s="106"/>
      <c r="N264" s="106"/>
      <c r="O264" s="106"/>
      <c r="P264" s="106"/>
      <c r="Q264" s="106"/>
    </row>
    <row r="265" spans="1:17" ht="24" customHeight="1">
      <c r="A265" s="106"/>
      <c r="B265" s="598"/>
      <c r="C265" s="599"/>
      <c r="D265" s="599"/>
      <c r="E265" s="106"/>
      <c r="F265" s="106"/>
      <c r="G265" s="106"/>
      <c r="H265" s="106"/>
      <c r="I265" s="106"/>
      <c r="J265" s="106"/>
      <c r="K265" s="106"/>
      <c r="L265" s="106"/>
      <c r="M265" s="106"/>
      <c r="N265" s="106"/>
      <c r="O265" s="106"/>
      <c r="P265" s="106"/>
      <c r="Q265" s="106"/>
    </row>
    <row r="266" spans="1:17" ht="24" customHeight="1">
      <c r="A266" s="106"/>
      <c r="B266" s="598"/>
      <c r="C266" s="599"/>
      <c r="D266" s="599"/>
      <c r="E266" s="106"/>
      <c r="F266" s="106"/>
      <c r="G266" s="106"/>
      <c r="H266" s="106"/>
      <c r="I266" s="106"/>
      <c r="J266" s="106"/>
      <c r="K266" s="106"/>
      <c r="L266" s="106"/>
      <c r="M266" s="106"/>
      <c r="N266" s="106"/>
      <c r="O266" s="106"/>
      <c r="P266" s="106"/>
      <c r="Q266" s="106"/>
    </row>
    <row r="267" spans="1:17" ht="24" customHeight="1">
      <c r="A267" s="106"/>
      <c r="B267" s="598"/>
      <c r="C267" s="599"/>
      <c r="D267" s="599"/>
      <c r="E267" s="106"/>
      <c r="F267" s="106"/>
      <c r="G267" s="106"/>
      <c r="H267" s="106"/>
      <c r="I267" s="106"/>
      <c r="J267" s="106"/>
      <c r="K267" s="106"/>
      <c r="L267" s="106"/>
      <c r="M267" s="106"/>
      <c r="N267" s="106"/>
      <c r="O267" s="106"/>
      <c r="P267" s="106"/>
      <c r="Q267" s="106"/>
    </row>
    <row r="268" spans="1:17" ht="24" customHeight="1">
      <c r="A268" s="106"/>
      <c r="B268" s="598"/>
      <c r="C268" s="599"/>
      <c r="D268" s="599"/>
      <c r="E268" s="106"/>
      <c r="F268" s="106"/>
      <c r="G268" s="106"/>
      <c r="H268" s="106"/>
      <c r="I268" s="106"/>
      <c r="J268" s="106"/>
      <c r="K268" s="106"/>
      <c r="L268" s="106"/>
      <c r="M268" s="106"/>
      <c r="N268" s="106"/>
      <c r="O268" s="106"/>
      <c r="P268" s="106"/>
      <c r="Q268" s="106"/>
    </row>
    <row r="269" spans="1:17" ht="24" customHeight="1">
      <c r="A269" s="106"/>
      <c r="B269" s="598"/>
      <c r="C269" s="599"/>
      <c r="D269" s="599"/>
      <c r="E269" s="106"/>
      <c r="F269" s="106"/>
      <c r="G269" s="106"/>
      <c r="H269" s="106"/>
      <c r="I269" s="106"/>
      <c r="J269" s="106"/>
      <c r="K269" s="106"/>
      <c r="L269" s="106"/>
      <c r="M269" s="106"/>
      <c r="N269" s="106"/>
      <c r="O269" s="106"/>
      <c r="P269" s="106"/>
      <c r="Q269" s="106"/>
    </row>
    <row r="270" spans="1:17" ht="24" customHeight="1">
      <c r="A270" s="106"/>
      <c r="B270" s="598"/>
      <c r="C270" s="599"/>
      <c r="D270" s="599"/>
      <c r="E270" s="106"/>
      <c r="F270" s="106"/>
      <c r="G270" s="106"/>
      <c r="H270" s="106"/>
      <c r="I270" s="106"/>
      <c r="J270" s="106"/>
      <c r="K270" s="106"/>
      <c r="L270" s="106"/>
      <c r="M270" s="106"/>
      <c r="N270" s="106"/>
      <c r="O270" s="106"/>
      <c r="P270" s="106"/>
      <c r="Q270" s="106"/>
    </row>
    <row r="271" spans="1:17" ht="24" customHeight="1">
      <c r="A271" s="106"/>
      <c r="B271" s="598"/>
      <c r="C271" s="599"/>
      <c r="D271" s="599"/>
      <c r="E271" s="106"/>
      <c r="F271" s="106"/>
      <c r="G271" s="106"/>
      <c r="H271" s="106"/>
      <c r="I271" s="106"/>
      <c r="J271" s="106"/>
      <c r="K271" s="106"/>
      <c r="L271" s="106"/>
      <c r="M271" s="106"/>
      <c r="N271" s="106"/>
      <c r="O271" s="106"/>
      <c r="P271" s="106"/>
      <c r="Q271" s="106"/>
    </row>
    <row r="272" spans="1:17" ht="24" customHeight="1">
      <c r="A272" s="106"/>
      <c r="B272" s="598"/>
      <c r="C272" s="599"/>
      <c r="D272" s="599"/>
      <c r="E272" s="106"/>
      <c r="F272" s="106"/>
      <c r="G272" s="106"/>
      <c r="H272" s="106"/>
      <c r="I272" s="106"/>
      <c r="J272" s="106"/>
      <c r="K272" s="106"/>
      <c r="L272" s="106"/>
      <c r="M272" s="106"/>
      <c r="N272" s="106"/>
      <c r="O272" s="106"/>
      <c r="P272" s="106"/>
      <c r="Q272" s="106"/>
    </row>
    <row r="273" spans="1:17" ht="24" customHeight="1">
      <c r="A273" s="106"/>
      <c r="B273" s="598"/>
      <c r="C273" s="599"/>
      <c r="D273" s="599"/>
      <c r="E273" s="106"/>
      <c r="F273" s="106"/>
      <c r="G273" s="106"/>
      <c r="H273" s="106"/>
      <c r="I273" s="106"/>
      <c r="J273" s="106"/>
      <c r="K273" s="106"/>
      <c r="L273" s="106"/>
      <c r="M273" s="106"/>
      <c r="N273" s="106"/>
      <c r="O273" s="106"/>
      <c r="P273" s="106"/>
      <c r="Q273" s="106"/>
    </row>
    <row r="274" spans="1:17" ht="24" customHeight="1">
      <c r="A274" s="106"/>
      <c r="B274" s="598"/>
      <c r="C274" s="599"/>
      <c r="D274" s="599"/>
      <c r="E274" s="106"/>
      <c r="F274" s="106"/>
      <c r="G274" s="106"/>
      <c r="H274" s="106"/>
      <c r="I274" s="106"/>
      <c r="J274" s="106"/>
      <c r="K274" s="106"/>
      <c r="L274" s="106"/>
      <c r="M274" s="106"/>
      <c r="N274" s="106"/>
      <c r="O274" s="106"/>
      <c r="P274" s="106"/>
      <c r="Q274" s="106"/>
    </row>
    <row r="275" spans="1:17" ht="24" customHeight="1">
      <c r="A275" s="106"/>
      <c r="B275" s="598"/>
      <c r="C275" s="599"/>
      <c r="D275" s="599"/>
      <c r="E275" s="106"/>
      <c r="F275" s="106"/>
      <c r="G275" s="106"/>
      <c r="H275" s="106"/>
      <c r="I275" s="106"/>
      <c r="J275" s="106"/>
      <c r="K275" s="106"/>
      <c r="L275" s="106"/>
      <c r="M275" s="106"/>
      <c r="N275" s="106"/>
      <c r="O275" s="106"/>
      <c r="P275" s="106"/>
      <c r="Q275" s="106"/>
    </row>
    <row r="276" spans="1:17" ht="24" customHeight="1">
      <c r="A276" s="106"/>
      <c r="B276" s="598"/>
      <c r="C276" s="599"/>
      <c r="D276" s="599"/>
      <c r="E276" s="106"/>
      <c r="F276" s="106"/>
      <c r="G276" s="106"/>
      <c r="H276" s="106"/>
      <c r="I276" s="106"/>
      <c r="J276" s="106"/>
      <c r="K276" s="106"/>
      <c r="L276" s="106"/>
      <c r="M276" s="106"/>
      <c r="N276" s="106"/>
      <c r="O276" s="106"/>
      <c r="P276" s="106"/>
      <c r="Q276" s="106"/>
    </row>
    <row r="277" spans="1:17" ht="24" customHeight="1">
      <c r="A277" s="106"/>
      <c r="B277" s="598"/>
      <c r="C277" s="599"/>
      <c r="D277" s="599"/>
      <c r="E277" s="106"/>
      <c r="F277" s="106"/>
      <c r="G277" s="106"/>
      <c r="H277" s="106"/>
      <c r="I277" s="106"/>
      <c r="J277" s="106"/>
      <c r="K277" s="106"/>
      <c r="L277" s="106"/>
      <c r="M277" s="106"/>
      <c r="N277" s="106"/>
      <c r="O277" s="106"/>
      <c r="P277" s="106"/>
      <c r="Q277" s="106"/>
    </row>
    <row r="278" spans="1:17" ht="24" customHeight="1">
      <c r="A278" s="106"/>
      <c r="B278" s="598"/>
      <c r="C278" s="599"/>
      <c r="D278" s="599"/>
      <c r="E278" s="106"/>
      <c r="F278" s="106"/>
      <c r="G278" s="106"/>
      <c r="H278" s="106"/>
      <c r="I278" s="106"/>
      <c r="J278" s="106"/>
      <c r="K278" s="106"/>
      <c r="L278" s="106"/>
      <c r="M278" s="106"/>
      <c r="N278" s="106"/>
      <c r="O278" s="106"/>
      <c r="P278" s="106"/>
      <c r="Q278" s="106"/>
    </row>
    <row r="279" spans="1:17" ht="24" customHeight="1">
      <c r="A279" s="106"/>
      <c r="B279" s="598"/>
      <c r="C279" s="599"/>
      <c r="D279" s="599"/>
      <c r="E279" s="106"/>
      <c r="F279" s="106"/>
      <c r="G279" s="106"/>
      <c r="H279" s="106"/>
      <c r="I279" s="106"/>
      <c r="J279" s="106"/>
      <c r="K279" s="106"/>
      <c r="L279" s="106"/>
      <c r="M279" s="106"/>
      <c r="N279" s="106"/>
      <c r="O279" s="106"/>
      <c r="P279" s="106"/>
      <c r="Q279" s="106"/>
    </row>
    <row r="280" spans="1:17" ht="24" customHeight="1">
      <c r="A280" s="106"/>
      <c r="B280" s="598"/>
      <c r="C280" s="599"/>
      <c r="D280" s="599"/>
      <c r="E280" s="106"/>
      <c r="F280" s="106"/>
      <c r="G280" s="106"/>
      <c r="H280" s="106"/>
      <c r="I280" s="106"/>
      <c r="J280" s="106"/>
      <c r="K280" s="106"/>
      <c r="L280" s="106"/>
      <c r="M280" s="106"/>
      <c r="N280" s="106"/>
      <c r="O280" s="106"/>
      <c r="P280" s="106"/>
      <c r="Q280" s="106"/>
    </row>
    <row r="281" spans="1:17" ht="24" customHeight="1">
      <c r="A281" s="106"/>
      <c r="B281" s="598"/>
      <c r="C281" s="599"/>
      <c r="D281" s="599"/>
      <c r="E281" s="106"/>
      <c r="F281" s="106"/>
      <c r="G281" s="106"/>
      <c r="H281" s="106"/>
      <c r="I281" s="106"/>
      <c r="J281" s="106"/>
      <c r="K281" s="106"/>
      <c r="L281" s="106"/>
      <c r="M281" s="106"/>
      <c r="N281" s="106"/>
      <c r="O281" s="106"/>
      <c r="P281" s="106"/>
      <c r="Q281" s="106"/>
    </row>
    <row r="282" spans="1:17" ht="24" customHeight="1">
      <c r="A282" s="106"/>
      <c r="B282" s="598"/>
      <c r="C282" s="599"/>
      <c r="D282" s="599"/>
      <c r="E282" s="106"/>
      <c r="F282" s="106"/>
      <c r="G282" s="106"/>
      <c r="H282" s="106"/>
      <c r="I282" s="106"/>
      <c r="J282" s="106"/>
      <c r="K282" s="106"/>
      <c r="L282" s="106"/>
      <c r="M282" s="106"/>
      <c r="N282" s="106"/>
      <c r="O282" s="106"/>
      <c r="P282" s="106"/>
      <c r="Q282" s="106"/>
    </row>
    <row r="283" spans="1:17" ht="24" customHeight="1">
      <c r="A283" s="106"/>
      <c r="B283" s="598"/>
      <c r="C283" s="599"/>
      <c r="D283" s="599"/>
      <c r="E283" s="106"/>
      <c r="F283" s="106"/>
      <c r="G283" s="106"/>
      <c r="H283" s="106"/>
      <c r="I283" s="106"/>
      <c r="J283" s="106"/>
      <c r="K283" s="106"/>
      <c r="L283" s="106"/>
      <c r="M283" s="106"/>
      <c r="N283" s="106"/>
      <c r="O283" s="106"/>
      <c r="P283" s="106"/>
      <c r="Q283" s="106"/>
    </row>
    <row r="284" spans="1:17" ht="24" customHeight="1">
      <c r="A284" s="106"/>
      <c r="B284" s="598"/>
      <c r="C284" s="599"/>
      <c r="D284" s="599"/>
      <c r="E284" s="106"/>
      <c r="F284" s="106"/>
      <c r="G284" s="106"/>
      <c r="H284" s="106"/>
      <c r="I284" s="106"/>
      <c r="J284" s="106"/>
      <c r="K284" s="106"/>
      <c r="L284" s="106"/>
      <c r="M284" s="106"/>
      <c r="N284" s="106"/>
      <c r="O284" s="106"/>
      <c r="P284" s="106"/>
      <c r="Q284" s="106"/>
    </row>
    <row r="285" spans="1:17" ht="24" customHeight="1">
      <c r="A285" s="106"/>
      <c r="B285" s="598"/>
      <c r="C285" s="599"/>
      <c r="D285" s="599"/>
      <c r="E285" s="106"/>
      <c r="F285" s="106"/>
      <c r="G285" s="106"/>
      <c r="H285" s="106"/>
      <c r="I285" s="106"/>
      <c r="J285" s="106"/>
      <c r="K285" s="106"/>
      <c r="L285" s="106"/>
      <c r="M285" s="106"/>
      <c r="N285" s="106"/>
      <c r="O285" s="106"/>
      <c r="P285" s="106"/>
      <c r="Q285" s="106"/>
    </row>
    <row r="286" spans="1:17" ht="24" customHeight="1">
      <c r="A286" s="106"/>
      <c r="B286" s="598"/>
      <c r="C286" s="599"/>
      <c r="D286" s="599"/>
      <c r="E286" s="106"/>
      <c r="F286" s="106"/>
      <c r="G286" s="106"/>
      <c r="H286" s="106"/>
      <c r="I286" s="106"/>
      <c r="J286" s="106"/>
      <c r="K286" s="106"/>
      <c r="L286" s="106"/>
      <c r="M286" s="106"/>
      <c r="N286" s="106"/>
      <c r="O286" s="106"/>
      <c r="P286" s="106"/>
      <c r="Q286" s="106"/>
    </row>
    <row r="287" spans="1:17" ht="24" customHeight="1">
      <c r="A287" s="106"/>
      <c r="B287" s="598"/>
      <c r="C287" s="599"/>
      <c r="D287" s="599"/>
      <c r="E287" s="106"/>
      <c r="F287" s="106"/>
      <c r="G287" s="106"/>
      <c r="H287" s="106"/>
      <c r="I287" s="106"/>
      <c r="J287" s="106"/>
      <c r="K287" s="106"/>
      <c r="L287" s="106"/>
      <c r="M287" s="106"/>
      <c r="N287" s="106"/>
      <c r="O287" s="106"/>
      <c r="P287" s="106"/>
      <c r="Q287" s="106"/>
    </row>
    <row r="288" spans="1:17" ht="24" customHeight="1">
      <c r="A288" s="106"/>
      <c r="B288" s="598"/>
      <c r="C288" s="599"/>
      <c r="D288" s="599"/>
      <c r="E288" s="106"/>
      <c r="F288" s="106"/>
      <c r="G288" s="106"/>
      <c r="H288" s="106"/>
      <c r="I288" s="106"/>
      <c r="J288" s="106"/>
      <c r="K288" s="106"/>
      <c r="L288" s="106"/>
      <c r="M288" s="106"/>
      <c r="N288" s="106"/>
      <c r="O288" s="106"/>
      <c r="P288" s="106"/>
      <c r="Q288" s="106"/>
    </row>
    <row r="289" spans="1:17" ht="24" customHeight="1">
      <c r="A289" s="106"/>
      <c r="B289" s="598"/>
      <c r="C289" s="599"/>
      <c r="D289" s="599"/>
      <c r="E289" s="106"/>
      <c r="F289" s="106"/>
      <c r="G289" s="106"/>
      <c r="H289" s="106"/>
      <c r="I289" s="106"/>
      <c r="J289" s="106"/>
      <c r="K289" s="106"/>
      <c r="L289" s="106"/>
      <c r="M289" s="106"/>
      <c r="N289" s="106"/>
      <c r="O289" s="106"/>
      <c r="P289" s="106"/>
      <c r="Q289" s="106"/>
    </row>
    <row r="290" spans="1:17" ht="24" customHeight="1">
      <c r="A290" s="106"/>
      <c r="B290" s="598"/>
      <c r="C290" s="599"/>
      <c r="D290" s="599"/>
      <c r="E290" s="106"/>
      <c r="F290" s="106"/>
      <c r="G290" s="106"/>
      <c r="H290" s="106"/>
      <c r="I290" s="106"/>
      <c r="J290" s="106"/>
      <c r="K290" s="106"/>
      <c r="L290" s="106"/>
      <c r="M290" s="106"/>
      <c r="N290" s="106"/>
      <c r="O290" s="106"/>
      <c r="P290" s="106"/>
      <c r="Q290" s="106"/>
    </row>
    <row r="291" spans="1:17" ht="24" customHeight="1">
      <c r="A291" s="106"/>
      <c r="B291" s="598"/>
      <c r="C291" s="599"/>
      <c r="D291" s="599"/>
      <c r="E291" s="106"/>
      <c r="F291" s="106"/>
      <c r="G291" s="106"/>
      <c r="H291" s="106"/>
      <c r="I291" s="106"/>
      <c r="J291" s="106"/>
      <c r="K291" s="106"/>
      <c r="L291" s="106"/>
      <c r="M291" s="106"/>
      <c r="N291" s="106"/>
      <c r="O291" s="106"/>
      <c r="P291" s="106"/>
      <c r="Q291" s="106"/>
    </row>
    <row r="292" spans="1:17" ht="24" customHeight="1">
      <c r="A292" s="106"/>
      <c r="B292" s="598"/>
      <c r="C292" s="599"/>
      <c r="D292" s="599"/>
      <c r="E292" s="106"/>
      <c r="F292" s="106"/>
      <c r="G292" s="106"/>
      <c r="H292" s="106"/>
      <c r="I292" s="106"/>
      <c r="J292" s="106"/>
      <c r="K292" s="106"/>
      <c r="L292" s="106"/>
      <c r="M292" s="106"/>
      <c r="N292" s="106"/>
      <c r="O292" s="106"/>
      <c r="P292" s="106"/>
      <c r="Q292" s="106"/>
    </row>
    <row r="293" spans="1:17" ht="24" customHeight="1">
      <c r="A293" s="106"/>
      <c r="B293" s="598"/>
      <c r="C293" s="599"/>
      <c r="D293" s="599"/>
      <c r="E293" s="106"/>
      <c r="F293" s="106"/>
      <c r="G293" s="106"/>
      <c r="H293" s="106"/>
      <c r="I293" s="106"/>
      <c r="J293" s="106"/>
      <c r="K293" s="106"/>
      <c r="L293" s="106"/>
      <c r="M293" s="106"/>
      <c r="N293" s="106"/>
      <c r="O293" s="106"/>
      <c r="P293" s="106"/>
      <c r="Q293" s="106"/>
    </row>
    <row r="294" spans="1:17" ht="24" customHeight="1">
      <c r="A294" s="106"/>
      <c r="B294" s="598"/>
      <c r="C294" s="599"/>
      <c r="D294" s="599"/>
      <c r="E294" s="106"/>
      <c r="F294" s="106"/>
      <c r="G294" s="106"/>
      <c r="H294" s="106"/>
      <c r="I294" s="106"/>
      <c r="J294" s="106"/>
      <c r="K294" s="106"/>
      <c r="L294" s="106"/>
      <c r="M294" s="106"/>
      <c r="N294" s="106"/>
      <c r="O294" s="106"/>
      <c r="P294" s="106"/>
      <c r="Q294" s="106"/>
    </row>
    <row r="295" spans="1:17" ht="24" customHeight="1">
      <c r="A295" s="106"/>
      <c r="B295" s="598"/>
      <c r="C295" s="599"/>
      <c r="D295" s="599"/>
      <c r="E295" s="106"/>
      <c r="F295" s="106"/>
      <c r="G295" s="106"/>
      <c r="H295" s="106"/>
      <c r="I295" s="106"/>
      <c r="J295" s="106"/>
      <c r="K295" s="106"/>
      <c r="L295" s="106"/>
      <c r="M295" s="106"/>
      <c r="N295" s="106"/>
      <c r="O295" s="106"/>
      <c r="P295" s="106"/>
      <c r="Q295" s="106"/>
    </row>
    <row r="296" spans="1:17" ht="24" customHeight="1">
      <c r="A296" s="106"/>
      <c r="B296" s="598"/>
      <c r="C296" s="599"/>
      <c r="D296" s="599"/>
      <c r="E296" s="106"/>
      <c r="F296" s="106"/>
      <c r="G296" s="106"/>
      <c r="H296" s="106"/>
      <c r="I296" s="106"/>
      <c r="J296" s="106"/>
      <c r="K296" s="106"/>
      <c r="L296" s="106"/>
      <c r="M296" s="106"/>
      <c r="N296" s="106"/>
      <c r="O296" s="106"/>
      <c r="P296" s="106"/>
      <c r="Q296" s="106"/>
    </row>
    <row r="297" spans="1:17" ht="24" customHeight="1">
      <c r="A297" s="106"/>
      <c r="B297" s="598"/>
      <c r="C297" s="599"/>
      <c r="D297" s="599"/>
      <c r="E297" s="106"/>
      <c r="F297" s="106"/>
      <c r="G297" s="106"/>
      <c r="H297" s="106"/>
      <c r="I297" s="106"/>
      <c r="J297" s="106"/>
      <c r="K297" s="106"/>
      <c r="L297" s="106"/>
      <c r="M297" s="106"/>
      <c r="N297" s="106"/>
      <c r="O297" s="106"/>
      <c r="P297" s="106"/>
      <c r="Q297" s="106"/>
    </row>
    <row r="298" spans="1:17" ht="24" customHeight="1">
      <c r="A298" s="106"/>
      <c r="B298" s="598"/>
      <c r="C298" s="599"/>
      <c r="D298" s="599"/>
      <c r="E298" s="106"/>
      <c r="F298" s="106"/>
      <c r="G298" s="106"/>
      <c r="H298" s="106"/>
      <c r="I298" s="106"/>
      <c r="J298" s="106"/>
      <c r="K298" s="106"/>
      <c r="L298" s="106"/>
      <c r="M298" s="106"/>
      <c r="N298" s="106"/>
      <c r="O298" s="106"/>
      <c r="P298" s="106"/>
      <c r="Q298" s="106"/>
    </row>
    <row r="299" spans="1:17" ht="24" customHeight="1">
      <c r="A299" s="106"/>
      <c r="B299" s="598"/>
      <c r="C299" s="599"/>
      <c r="D299" s="599"/>
      <c r="E299" s="106"/>
      <c r="F299" s="106"/>
      <c r="G299" s="106"/>
      <c r="H299" s="106"/>
      <c r="I299" s="106"/>
      <c r="J299" s="106"/>
      <c r="K299" s="106"/>
      <c r="L299" s="106"/>
      <c r="M299" s="106"/>
      <c r="N299" s="106"/>
      <c r="O299" s="106"/>
      <c r="P299" s="106"/>
      <c r="Q299" s="106"/>
    </row>
    <row r="300" spans="1:17" ht="24" customHeight="1">
      <c r="A300" s="106"/>
      <c r="B300" s="598"/>
      <c r="C300" s="599"/>
      <c r="D300" s="599"/>
      <c r="E300" s="106"/>
      <c r="F300" s="106"/>
      <c r="G300" s="106"/>
      <c r="H300" s="106"/>
      <c r="I300" s="106"/>
      <c r="J300" s="106"/>
      <c r="K300" s="106"/>
      <c r="L300" s="106"/>
      <c r="M300" s="106"/>
      <c r="N300" s="106"/>
      <c r="O300" s="106"/>
      <c r="P300" s="106"/>
      <c r="Q300" s="106"/>
    </row>
    <row r="301" spans="1:17" ht="24" customHeight="1">
      <c r="A301" s="106"/>
      <c r="B301" s="598"/>
      <c r="C301" s="599"/>
      <c r="D301" s="599"/>
      <c r="E301" s="106"/>
      <c r="F301" s="106"/>
      <c r="G301" s="106"/>
      <c r="H301" s="106"/>
      <c r="I301" s="106"/>
      <c r="J301" s="106"/>
      <c r="K301" s="106"/>
      <c r="L301" s="106"/>
      <c r="M301" s="106"/>
      <c r="N301" s="106"/>
      <c r="O301" s="106"/>
      <c r="P301" s="106"/>
      <c r="Q301" s="106"/>
    </row>
    <row r="302" spans="1:17" ht="24" customHeight="1">
      <c r="A302" s="106"/>
      <c r="B302" s="598"/>
      <c r="C302" s="599"/>
      <c r="D302" s="599"/>
      <c r="E302" s="106"/>
      <c r="F302" s="106"/>
      <c r="G302" s="106"/>
      <c r="H302" s="106"/>
      <c r="I302" s="106"/>
      <c r="J302" s="106"/>
      <c r="K302" s="106"/>
      <c r="L302" s="106"/>
      <c r="M302" s="106"/>
      <c r="N302" s="106"/>
      <c r="O302" s="106"/>
      <c r="P302" s="106"/>
      <c r="Q302" s="106"/>
    </row>
    <row r="303" spans="1:17" ht="24" customHeight="1">
      <c r="A303" s="106"/>
      <c r="B303" s="598"/>
      <c r="C303" s="599"/>
      <c r="D303" s="599"/>
      <c r="E303" s="106"/>
      <c r="F303" s="106"/>
      <c r="G303" s="106"/>
      <c r="H303" s="106"/>
      <c r="I303" s="106"/>
      <c r="J303" s="106"/>
      <c r="K303" s="106"/>
      <c r="L303" s="106"/>
      <c r="M303" s="106"/>
      <c r="N303" s="106"/>
      <c r="O303" s="106"/>
      <c r="P303" s="106"/>
      <c r="Q303" s="106"/>
    </row>
    <row r="304" spans="1:17" ht="24" customHeight="1">
      <c r="A304" s="106"/>
      <c r="B304" s="598"/>
      <c r="C304" s="599"/>
      <c r="D304" s="599"/>
      <c r="E304" s="106"/>
      <c r="F304" s="106"/>
      <c r="G304" s="106"/>
      <c r="H304" s="106"/>
      <c r="I304" s="106"/>
      <c r="J304" s="106"/>
      <c r="K304" s="106"/>
      <c r="L304" s="106"/>
      <c r="M304" s="106"/>
      <c r="N304" s="106"/>
      <c r="O304" s="106"/>
      <c r="P304" s="106"/>
      <c r="Q304" s="106"/>
    </row>
    <row r="305" spans="1:17" ht="24" customHeight="1">
      <c r="A305" s="106"/>
      <c r="B305" s="598"/>
      <c r="C305" s="599"/>
      <c r="D305" s="599"/>
      <c r="E305" s="106"/>
      <c r="F305" s="106"/>
      <c r="G305" s="106"/>
      <c r="H305" s="106"/>
      <c r="I305" s="106"/>
      <c r="J305" s="106"/>
      <c r="K305" s="106"/>
      <c r="L305" s="106"/>
      <c r="M305" s="106"/>
      <c r="N305" s="106"/>
      <c r="O305" s="106"/>
      <c r="P305" s="106"/>
      <c r="Q305" s="106"/>
    </row>
    <row r="306" spans="1:17" ht="24" customHeight="1">
      <c r="A306" s="106"/>
      <c r="B306" s="598"/>
      <c r="C306" s="599"/>
      <c r="D306" s="599"/>
      <c r="E306" s="106"/>
      <c r="F306" s="106"/>
      <c r="G306" s="106"/>
      <c r="H306" s="106"/>
      <c r="I306" s="106"/>
      <c r="J306" s="106"/>
      <c r="K306" s="106"/>
      <c r="L306" s="106"/>
      <c r="M306" s="106"/>
      <c r="N306" s="106"/>
      <c r="O306" s="106"/>
      <c r="P306" s="106"/>
      <c r="Q306" s="106"/>
    </row>
    <row r="307" spans="1:17" ht="24" customHeight="1">
      <c r="A307" s="106"/>
      <c r="B307" s="598"/>
      <c r="C307" s="599"/>
      <c r="D307" s="599"/>
      <c r="E307" s="106"/>
      <c r="F307" s="106"/>
      <c r="G307" s="106"/>
      <c r="H307" s="106"/>
      <c r="I307" s="106"/>
      <c r="J307" s="106"/>
      <c r="K307" s="106"/>
      <c r="L307" s="106"/>
      <c r="M307" s="106"/>
      <c r="N307" s="106"/>
      <c r="O307" s="106"/>
      <c r="P307" s="106"/>
      <c r="Q307" s="106"/>
    </row>
    <row r="308" spans="1:17" ht="24" customHeight="1">
      <c r="A308" s="106"/>
      <c r="B308" s="598"/>
      <c r="C308" s="599"/>
      <c r="D308" s="599"/>
      <c r="E308" s="106"/>
      <c r="F308" s="106"/>
      <c r="G308" s="106"/>
      <c r="H308" s="106"/>
      <c r="I308" s="106"/>
      <c r="J308" s="106"/>
      <c r="K308" s="106"/>
      <c r="L308" s="106"/>
      <c r="M308" s="106"/>
      <c r="N308" s="106"/>
      <c r="O308" s="106"/>
      <c r="P308" s="106"/>
      <c r="Q308" s="106"/>
    </row>
    <row r="309" spans="1:17" ht="24" customHeight="1">
      <c r="A309" s="106"/>
      <c r="B309" s="598"/>
      <c r="C309" s="599"/>
      <c r="D309" s="599"/>
      <c r="E309" s="106"/>
      <c r="F309" s="106"/>
      <c r="G309" s="106"/>
      <c r="H309" s="106"/>
      <c r="I309" s="106"/>
      <c r="J309" s="106"/>
      <c r="K309" s="106"/>
      <c r="L309" s="106"/>
      <c r="M309" s="106"/>
      <c r="N309" s="106"/>
      <c r="O309" s="106"/>
      <c r="P309" s="106"/>
      <c r="Q309" s="106"/>
    </row>
    <row r="310" spans="1:17" ht="24" customHeight="1">
      <c r="A310" s="106"/>
      <c r="B310" s="598"/>
      <c r="C310" s="599"/>
      <c r="D310" s="599"/>
      <c r="E310" s="106"/>
      <c r="F310" s="106"/>
      <c r="G310" s="106"/>
      <c r="H310" s="106"/>
      <c r="I310" s="106"/>
      <c r="J310" s="106"/>
      <c r="K310" s="106"/>
      <c r="L310" s="106"/>
      <c r="M310" s="106"/>
      <c r="N310" s="106"/>
      <c r="O310" s="106"/>
      <c r="P310" s="106"/>
      <c r="Q310" s="106"/>
    </row>
    <row r="311" spans="1:17" ht="24" customHeight="1">
      <c r="A311" s="106"/>
      <c r="B311" s="598"/>
      <c r="C311" s="599"/>
      <c r="D311" s="599"/>
      <c r="E311" s="106"/>
      <c r="F311" s="106"/>
      <c r="G311" s="106"/>
      <c r="H311" s="106"/>
      <c r="I311" s="106"/>
      <c r="J311" s="106"/>
      <c r="K311" s="106"/>
      <c r="L311" s="106"/>
      <c r="M311" s="106"/>
      <c r="N311" s="106"/>
      <c r="O311" s="106"/>
      <c r="P311" s="106"/>
      <c r="Q311" s="106"/>
    </row>
    <row r="312" spans="1:17" ht="24" customHeight="1">
      <c r="A312" s="106"/>
      <c r="B312" s="598"/>
      <c r="C312" s="599"/>
      <c r="D312" s="599"/>
      <c r="E312" s="106"/>
      <c r="F312" s="106"/>
      <c r="G312" s="106"/>
      <c r="H312" s="106"/>
      <c r="I312" s="106"/>
      <c r="J312" s="106"/>
      <c r="K312" s="106"/>
      <c r="L312" s="106"/>
      <c r="M312" s="106"/>
      <c r="N312" s="106"/>
      <c r="O312" s="106"/>
      <c r="P312" s="106"/>
      <c r="Q312" s="106"/>
    </row>
    <row r="313" spans="1:17" ht="24" customHeight="1">
      <c r="A313" s="106"/>
      <c r="B313" s="598"/>
      <c r="C313" s="599"/>
      <c r="D313" s="599"/>
      <c r="E313" s="106"/>
      <c r="F313" s="106"/>
      <c r="G313" s="106"/>
      <c r="H313" s="106"/>
      <c r="I313" s="106"/>
      <c r="J313" s="106"/>
      <c r="K313" s="106"/>
      <c r="L313" s="106"/>
      <c r="M313" s="106"/>
      <c r="N313" s="106"/>
      <c r="O313" s="106"/>
      <c r="P313" s="106"/>
      <c r="Q313" s="106"/>
    </row>
    <row r="314" spans="1:17" ht="24" customHeight="1">
      <c r="A314" s="106"/>
      <c r="B314" s="598"/>
      <c r="C314" s="599"/>
      <c r="D314" s="599"/>
      <c r="E314" s="106"/>
      <c r="F314" s="106"/>
      <c r="G314" s="106"/>
      <c r="H314" s="106"/>
      <c r="I314" s="106"/>
      <c r="J314" s="106"/>
      <c r="K314" s="106"/>
      <c r="L314" s="106"/>
      <c r="M314" s="106"/>
      <c r="N314" s="106"/>
      <c r="O314" s="106"/>
      <c r="P314" s="106"/>
      <c r="Q314" s="106"/>
    </row>
    <row r="315" spans="1:17" ht="24" customHeight="1">
      <c r="A315" s="106"/>
      <c r="B315" s="598"/>
      <c r="C315" s="599"/>
      <c r="D315" s="599"/>
      <c r="E315" s="106"/>
      <c r="F315" s="106"/>
      <c r="G315" s="106"/>
      <c r="H315" s="106"/>
      <c r="I315" s="106"/>
      <c r="J315" s="106"/>
      <c r="K315" s="106"/>
      <c r="L315" s="106"/>
      <c r="M315" s="106"/>
      <c r="N315" s="106"/>
      <c r="O315" s="106"/>
      <c r="P315" s="106"/>
      <c r="Q315" s="106"/>
    </row>
    <row r="316" spans="1:17" ht="24" customHeight="1">
      <c r="A316" s="106"/>
      <c r="B316" s="598"/>
      <c r="C316" s="599"/>
      <c r="D316" s="599"/>
      <c r="E316" s="106"/>
      <c r="F316" s="106"/>
      <c r="G316" s="106"/>
      <c r="H316" s="106"/>
      <c r="I316" s="106"/>
      <c r="J316" s="106"/>
      <c r="K316" s="106"/>
      <c r="L316" s="106"/>
      <c r="M316" s="106"/>
      <c r="N316" s="106"/>
      <c r="O316" s="106"/>
      <c r="P316" s="106"/>
      <c r="Q316" s="106"/>
    </row>
    <row r="317" spans="1:17" ht="24" customHeight="1">
      <c r="A317" s="106"/>
      <c r="B317" s="598"/>
      <c r="C317" s="599"/>
      <c r="D317" s="599"/>
      <c r="E317" s="106"/>
      <c r="F317" s="106"/>
      <c r="G317" s="106"/>
      <c r="H317" s="106"/>
      <c r="I317" s="106"/>
      <c r="J317" s="106"/>
      <c r="K317" s="106"/>
      <c r="L317" s="106"/>
      <c r="M317" s="106"/>
      <c r="N317" s="106"/>
      <c r="O317" s="106"/>
      <c r="P317" s="106"/>
      <c r="Q317" s="106"/>
    </row>
    <row r="318" spans="1:17" ht="24" customHeight="1">
      <c r="A318" s="106"/>
      <c r="B318" s="598"/>
      <c r="C318" s="599"/>
      <c r="D318" s="599"/>
      <c r="E318" s="106"/>
      <c r="F318" s="106"/>
      <c r="G318" s="106"/>
      <c r="H318" s="106"/>
      <c r="I318" s="106"/>
      <c r="J318" s="106"/>
      <c r="K318" s="106"/>
      <c r="L318" s="106"/>
      <c r="M318" s="106"/>
      <c r="N318" s="106"/>
      <c r="O318" s="106"/>
      <c r="P318" s="106"/>
      <c r="Q318" s="106"/>
    </row>
    <row r="319" spans="1:17" ht="24" customHeight="1">
      <c r="A319" s="106"/>
      <c r="B319" s="598"/>
      <c r="C319" s="599"/>
      <c r="D319" s="599"/>
      <c r="E319" s="106"/>
      <c r="F319" s="106"/>
      <c r="G319" s="106"/>
      <c r="H319" s="106"/>
      <c r="I319" s="106"/>
      <c r="J319" s="106"/>
      <c r="K319" s="106"/>
      <c r="L319" s="106"/>
      <c r="M319" s="106"/>
      <c r="N319" s="106"/>
      <c r="O319" s="106"/>
      <c r="P319" s="106"/>
      <c r="Q319" s="106"/>
    </row>
    <row r="320" spans="1:17" ht="24" customHeight="1">
      <c r="A320" s="106"/>
      <c r="B320" s="598"/>
      <c r="C320" s="599"/>
      <c r="D320" s="599"/>
      <c r="E320" s="106"/>
      <c r="F320" s="106"/>
      <c r="G320" s="106"/>
      <c r="H320" s="106"/>
      <c r="I320" s="106"/>
      <c r="J320" s="106"/>
      <c r="K320" s="106"/>
      <c r="L320" s="106"/>
      <c r="M320" s="106"/>
      <c r="N320" s="106"/>
      <c r="O320" s="106"/>
      <c r="P320" s="106"/>
      <c r="Q320" s="106"/>
    </row>
    <row r="321" spans="1:17" ht="24" customHeight="1">
      <c r="A321" s="106"/>
      <c r="B321" s="598"/>
      <c r="C321" s="599"/>
      <c r="D321" s="599"/>
      <c r="E321" s="106"/>
      <c r="F321" s="106"/>
      <c r="G321" s="106"/>
      <c r="H321" s="106"/>
      <c r="I321" s="106"/>
      <c r="J321" s="106"/>
      <c r="K321" s="106"/>
      <c r="L321" s="106"/>
      <c r="M321" s="106"/>
      <c r="N321" s="106"/>
      <c r="O321" s="106"/>
      <c r="P321" s="106"/>
      <c r="Q321" s="106"/>
    </row>
    <row r="322" spans="1:17" ht="24" customHeight="1">
      <c r="A322" s="106"/>
      <c r="B322" s="598"/>
      <c r="C322" s="599"/>
      <c r="D322" s="599"/>
      <c r="E322" s="106"/>
      <c r="F322" s="106"/>
      <c r="G322" s="106"/>
      <c r="H322" s="106"/>
      <c r="I322" s="106"/>
      <c r="J322" s="106"/>
      <c r="K322" s="106"/>
      <c r="L322" s="106"/>
      <c r="M322" s="106"/>
      <c r="N322" s="106"/>
      <c r="O322" s="106"/>
      <c r="P322" s="106"/>
      <c r="Q322" s="106"/>
    </row>
    <row r="323" spans="1:17" ht="24" customHeight="1">
      <c r="A323" s="106"/>
      <c r="B323" s="598"/>
      <c r="C323" s="599"/>
      <c r="D323" s="599"/>
      <c r="E323" s="106"/>
      <c r="F323" s="106"/>
      <c r="G323" s="106"/>
      <c r="H323" s="106"/>
      <c r="I323" s="106"/>
      <c r="J323" s="106"/>
      <c r="K323" s="106"/>
      <c r="L323" s="106"/>
      <c r="M323" s="106"/>
      <c r="N323" s="106"/>
      <c r="O323" s="106"/>
      <c r="P323" s="106"/>
      <c r="Q323" s="106"/>
    </row>
    <row r="324" spans="1:17" ht="24" customHeight="1">
      <c r="A324" s="106"/>
      <c r="B324" s="598"/>
      <c r="C324" s="599"/>
      <c r="D324" s="599"/>
      <c r="E324" s="106"/>
      <c r="F324" s="106"/>
      <c r="G324" s="106"/>
      <c r="H324" s="106"/>
      <c r="I324" s="106"/>
      <c r="J324" s="106"/>
      <c r="K324" s="106"/>
      <c r="L324" s="106"/>
      <c r="M324" s="106"/>
      <c r="N324" s="106"/>
      <c r="O324" s="106"/>
      <c r="P324" s="106"/>
      <c r="Q324" s="106"/>
    </row>
    <row r="325" spans="1:17" ht="24" customHeight="1">
      <c r="A325" s="106"/>
      <c r="B325" s="598"/>
      <c r="C325" s="599"/>
      <c r="D325" s="599"/>
      <c r="E325" s="106"/>
      <c r="F325" s="106"/>
      <c r="G325" s="106"/>
      <c r="H325" s="106"/>
      <c r="I325" s="106"/>
      <c r="J325" s="106"/>
      <c r="K325" s="106"/>
      <c r="L325" s="106"/>
      <c r="M325" s="106"/>
      <c r="N325" s="106"/>
      <c r="O325" s="106"/>
      <c r="P325" s="106"/>
      <c r="Q325" s="106"/>
    </row>
    <row r="326" spans="1:17" ht="24" customHeight="1">
      <c r="A326" s="106"/>
      <c r="B326" s="598"/>
      <c r="C326" s="599"/>
      <c r="D326" s="599"/>
      <c r="E326" s="106"/>
      <c r="F326" s="106"/>
      <c r="G326" s="106"/>
      <c r="H326" s="106"/>
      <c r="I326" s="106"/>
      <c r="J326" s="106"/>
      <c r="K326" s="106"/>
      <c r="L326" s="106"/>
      <c r="M326" s="106"/>
      <c r="N326" s="106"/>
      <c r="O326" s="106"/>
      <c r="P326" s="106"/>
      <c r="Q326" s="106"/>
    </row>
    <row r="327" spans="1:17" ht="24" customHeight="1">
      <c r="A327" s="106"/>
      <c r="B327" s="598"/>
      <c r="C327" s="599"/>
      <c r="D327" s="599"/>
      <c r="E327" s="106"/>
      <c r="F327" s="106"/>
      <c r="G327" s="106"/>
      <c r="H327" s="106"/>
      <c r="I327" s="106"/>
      <c r="J327" s="106"/>
      <c r="K327" s="106"/>
      <c r="L327" s="106"/>
      <c r="M327" s="106"/>
      <c r="N327" s="106"/>
      <c r="O327" s="106"/>
      <c r="P327" s="106"/>
      <c r="Q327" s="106"/>
    </row>
    <row r="328" spans="1:17" ht="24" customHeight="1">
      <c r="A328" s="106"/>
      <c r="B328" s="598"/>
      <c r="C328" s="599"/>
      <c r="D328" s="599"/>
      <c r="E328" s="106"/>
      <c r="F328" s="106"/>
      <c r="G328" s="106"/>
      <c r="H328" s="106"/>
      <c r="I328" s="106"/>
      <c r="J328" s="106"/>
      <c r="K328" s="106"/>
      <c r="L328" s="106"/>
      <c r="M328" s="106"/>
      <c r="N328" s="106"/>
      <c r="O328" s="106"/>
      <c r="P328" s="106"/>
      <c r="Q328" s="106"/>
    </row>
    <row r="329" spans="1:17" ht="24" customHeight="1">
      <c r="A329" s="106"/>
      <c r="B329" s="598"/>
      <c r="C329" s="599"/>
      <c r="D329" s="599"/>
      <c r="E329" s="106"/>
      <c r="F329" s="106"/>
      <c r="G329" s="106"/>
      <c r="H329" s="106"/>
      <c r="I329" s="106"/>
      <c r="J329" s="106"/>
      <c r="K329" s="106"/>
      <c r="L329" s="106"/>
      <c r="M329" s="106"/>
      <c r="N329" s="106"/>
      <c r="O329" s="106"/>
      <c r="P329" s="106"/>
      <c r="Q329" s="106"/>
    </row>
    <row r="330" spans="1:17" ht="24" customHeight="1">
      <c r="A330" s="106"/>
      <c r="B330" s="598"/>
      <c r="C330" s="599"/>
      <c r="D330" s="599"/>
      <c r="E330" s="106"/>
      <c r="F330" s="106"/>
      <c r="G330" s="106"/>
      <c r="H330" s="106"/>
      <c r="I330" s="106"/>
      <c r="J330" s="106"/>
      <c r="K330" s="106"/>
      <c r="L330" s="106"/>
      <c r="M330" s="106"/>
      <c r="N330" s="106"/>
      <c r="O330" s="106"/>
      <c r="P330" s="106"/>
      <c r="Q330" s="106"/>
    </row>
    <row r="331" spans="1:17" ht="24" customHeight="1">
      <c r="A331" s="106"/>
      <c r="B331" s="598"/>
      <c r="C331" s="599"/>
      <c r="D331" s="599"/>
      <c r="E331" s="106"/>
      <c r="F331" s="106"/>
      <c r="G331" s="106"/>
      <c r="H331" s="106"/>
      <c r="I331" s="106"/>
      <c r="J331" s="106"/>
      <c r="K331" s="106"/>
      <c r="L331" s="106"/>
      <c r="M331" s="106"/>
      <c r="N331" s="106"/>
      <c r="O331" s="106"/>
      <c r="P331" s="106"/>
      <c r="Q331" s="106"/>
    </row>
    <row r="332" spans="1:17" ht="24" customHeight="1">
      <c r="A332" s="106"/>
      <c r="B332" s="598"/>
      <c r="C332" s="599"/>
      <c r="D332" s="599"/>
      <c r="E332" s="106"/>
      <c r="F332" s="106"/>
      <c r="G332" s="106"/>
      <c r="H332" s="106"/>
      <c r="I332" s="106"/>
      <c r="J332" s="106"/>
      <c r="K332" s="106"/>
      <c r="L332" s="106"/>
      <c r="M332" s="106"/>
      <c r="N332" s="106"/>
      <c r="O332" s="106"/>
      <c r="P332" s="106"/>
      <c r="Q332" s="106"/>
    </row>
    <row r="333" spans="1:17" ht="24" customHeight="1">
      <c r="A333" s="106"/>
      <c r="B333" s="598"/>
      <c r="C333" s="599"/>
      <c r="D333" s="599"/>
      <c r="E333" s="106"/>
      <c r="F333" s="106"/>
      <c r="G333" s="106"/>
      <c r="H333" s="106"/>
      <c r="I333" s="106"/>
      <c r="J333" s="106"/>
      <c r="K333" s="106"/>
      <c r="L333" s="106"/>
      <c r="M333" s="106"/>
      <c r="N333" s="106"/>
      <c r="O333" s="106"/>
      <c r="P333" s="106"/>
      <c r="Q333" s="106"/>
    </row>
    <row r="334" spans="1:17" ht="24" customHeight="1">
      <c r="A334" s="106"/>
      <c r="B334" s="598"/>
      <c r="C334" s="599"/>
      <c r="D334" s="599"/>
      <c r="E334" s="106"/>
      <c r="F334" s="106"/>
      <c r="G334" s="106"/>
      <c r="H334" s="106"/>
      <c r="I334" s="106"/>
      <c r="J334" s="106"/>
      <c r="K334" s="106"/>
      <c r="L334" s="106"/>
      <c r="M334" s="106"/>
      <c r="N334" s="106"/>
      <c r="O334" s="106"/>
      <c r="P334" s="106"/>
      <c r="Q334" s="106"/>
    </row>
    <row r="335" spans="1:17" ht="24" customHeight="1">
      <c r="A335" s="106"/>
      <c r="B335" s="598"/>
      <c r="C335" s="599"/>
      <c r="D335" s="599"/>
      <c r="E335" s="106"/>
      <c r="F335" s="106"/>
      <c r="G335" s="106"/>
      <c r="H335" s="106"/>
      <c r="I335" s="106"/>
      <c r="J335" s="106"/>
      <c r="K335" s="106"/>
      <c r="L335" s="106"/>
      <c r="M335" s="106"/>
      <c r="N335" s="106"/>
      <c r="O335" s="106"/>
      <c r="P335" s="106"/>
      <c r="Q335" s="106"/>
    </row>
    <row r="336" spans="1:17" ht="24" customHeight="1">
      <c r="A336" s="106"/>
      <c r="B336" s="598"/>
      <c r="C336" s="599"/>
      <c r="D336" s="599"/>
      <c r="E336" s="106"/>
      <c r="F336" s="106"/>
      <c r="G336" s="106"/>
      <c r="H336" s="106"/>
      <c r="I336" s="106"/>
      <c r="J336" s="106"/>
      <c r="K336" s="106"/>
      <c r="L336" s="106"/>
      <c r="M336" s="106"/>
      <c r="N336" s="106"/>
      <c r="O336" s="106"/>
      <c r="P336" s="106"/>
      <c r="Q336" s="106"/>
    </row>
    <row r="337" spans="1:17" ht="24" customHeight="1">
      <c r="A337" s="106"/>
      <c r="B337" s="598"/>
      <c r="C337" s="599"/>
      <c r="D337" s="599"/>
      <c r="E337" s="106"/>
      <c r="F337" s="106"/>
      <c r="G337" s="106"/>
      <c r="H337" s="106"/>
      <c r="I337" s="106"/>
      <c r="J337" s="106"/>
      <c r="K337" s="106"/>
      <c r="L337" s="106"/>
      <c r="M337" s="106"/>
      <c r="N337" s="106"/>
      <c r="O337" s="106"/>
      <c r="P337" s="106"/>
      <c r="Q337" s="106"/>
    </row>
    <row r="338" spans="1:17" ht="24" customHeight="1">
      <c r="A338" s="106"/>
      <c r="B338" s="598"/>
      <c r="C338" s="599"/>
      <c r="D338" s="599"/>
      <c r="E338" s="106"/>
      <c r="F338" s="106"/>
      <c r="G338" s="106"/>
      <c r="H338" s="106"/>
      <c r="I338" s="106"/>
      <c r="J338" s="106"/>
      <c r="K338" s="106"/>
      <c r="L338" s="106"/>
      <c r="M338" s="106"/>
      <c r="N338" s="106"/>
      <c r="O338" s="106"/>
      <c r="P338" s="106"/>
      <c r="Q338" s="106"/>
    </row>
    <row r="339" spans="1:17" ht="24" customHeight="1">
      <c r="A339" s="106"/>
      <c r="B339" s="598"/>
      <c r="C339" s="599"/>
      <c r="D339" s="599"/>
      <c r="E339" s="106"/>
      <c r="F339" s="106"/>
      <c r="G339" s="106"/>
      <c r="H339" s="106"/>
      <c r="I339" s="106"/>
      <c r="J339" s="106"/>
      <c r="K339" s="106"/>
      <c r="L339" s="106"/>
      <c r="M339" s="106"/>
      <c r="N339" s="106"/>
      <c r="O339" s="106"/>
      <c r="P339" s="106"/>
      <c r="Q339" s="106"/>
    </row>
    <row r="340" spans="1:17" ht="24" customHeight="1">
      <c r="A340" s="106"/>
      <c r="B340" s="598"/>
      <c r="C340" s="599"/>
      <c r="D340" s="599"/>
      <c r="E340" s="106"/>
      <c r="F340" s="106"/>
      <c r="G340" s="106"/>
      <c r="H340" s="106"/>
      <c r="I340" s="106"/>
      <c r="J340" s="106"/>
      <c r="K340" s="106"/>
      <c r="L340" s="106"/>
      <c r="M340" s="106"/>
      <c r="N340" s="106"/>
      <c r="O340" s="106"/>
      <c r="P340" s="106"/>
      <c r="Q340" s="106"/>
    </row>
    <row r="341" spans="1:17" ht="24" customHeight="1">
      <c r="A341" s="106"/>
      <c r="B341" s="598"/>
      <c r="C341" s="599"/>
      <c r="D341" s="599"/>
      <c r="E341" s="106"/>
      <c r="F341" s="106"/>
      <c r="G341" s="106"/>
      <c r="H341" s="106"/>
      <c r="I341" s="106"/>
      <c r="J341" s="106"/>
      <c r="K341" s="106"/>
      <c r="L341" s="106"/>
      <c r="M341" s="106"/>
      <c r="N341" s="106"/>
      <c r="O341" s="106"/>
      <c r="P341" s="106"/>
      <c r="Q341" s="106"/>
    </row>
    <row r="342" spans="1:17" ht="24" customHeight="1">
      <c r="A342" s="106"/>
      <c r="B342" s="598"/>
      <c r="C342" s="599"/>
      <c r="D342" s="599"/>
      <c r="E342" s="106"/>
      <c r="F342" s="106"/>
      <c r="G342" s="106"/>
      <c r="H342" s="106"/>
      <c r="I342" s="106"/>
      <c r="J342" s="106"/>
      <c r="K342" s="106"/>
      <c r="L342" s="106"/>
      <c r="M342" s="106"/>
      <c r="N342" s="106"/>
      <c r="O342" s="106"/>
      <c r="P342" s="106"/>
      <c r="Q342" s="106"/>
    </row>
    <row r="343" spans="1:17" ht="24" customHeight="1">
      <c r="A343" s="106"/>
      <c r="B343" s="598"/>
      <c r="C343" s="599"/>
      <c r="D343" s="599"/>
      <c r="E343" s="106"/>
      <c r="F343" s="106"/>
      <c r="G343" s="106"/>
      <c r="H343" s="106"/>
      <c r="I343" s="106"/>
      <c r="J343" s="106"/>
      <c r="K343" s="106"/>
      <c r="L343" s="106"/>
      <c r="M343" s="106"/>
      <c r="N343" s="106"/>
      <c r="O343" s="106"/>
      <c r="P343" s="106"/>
      <c r="Q343" s="106"/>
    </row>
    <row r="344" spans="1:17" ht="24" customHeight="1">
      <c r="A344" s="106"/>
      <c r="B344" s="598"/>
      <c r="C344" s="599"/>
      <c r="D344" s="599"/>
      <c r="E344" s="106"/>
      <c r="F344" s="106"/>
      <c r="G344" s="106"/>
      <c r="H344" s="106"/>
      <c r="I344" s="106"/>
      <c r="J344" s="106"/>
      <c r="K344" s="106"/>
      <c r="L344" s="106"/>
      <c r="M344" s="106"/>
      <c r="N344" s="106"/>
      <c r="O344" s="106"/>
      <c r="P344" s="106"/>
      <c r="Q344" s="106"/>
    </row>
    <row r="345" spans="1:17" ht="24" customHeight="1">
      <c r="A345" s="106"/>
      <c r="B345" s="598"/>
      <c r="C345" s="599"/>
      <c r="D345" s="599"/>
      <c r="E345" s="106"/>
      <c r="F345" s="106"/>
      <c r="G345" s="106"/>
      <c r="H345" s="106"/>
      <c r="I345" s="106"/>
      <c r="J345" s="106"/>
      <c r="K345" s="106"/>
      <c r="L345" s="106"/>
      <c r="M345" s="106"/>
      <c r="N345" s="106"/>
      <c r="O345" s="106"/>
      <c r="P345" s="106"/>
      <c r="Q345" s="106"/>
    </row>
    <row r="346" spans="1:17" ht="24" customHeight="1">
      <c r="A346" s="106"/>
      <c r="B346" s="598"/>
      <c r="C346" s="599"/>
      <c r="D346" s="599"/>
      <c r="E346" s="106"/>
      <c r="F346" s="106"/>
      <c r="G346" s="106"/>
      <c r="H346" s="106"/>
      <c r="I346" s="106"/>
      <c r="J346" s="106"/>
      <c r="K346" s="106"/>
      <c r="L346" s="106"/>
      <c r="M346" s="106"/>
      <c r="N346" s="106"/>
      <c r="O346" s="106"/>
      <c r="P346" s="106"/>
      <c r="Q346" s="106"/>
    </row>
    <row r="347" spans="1:17" ht="24" customHeight="1">
      <c r="A347" s="106"/>
      <c r="B347" s="598"/>
      <c r="C347" s="599"/>
      <c r="D347" s="599"/>
      <c r="E347" s="106"/>
      <c r="F347" s="106"/>
      <c r="G347" s="106"/>
      <c r="H347" s="106"/>
      <c r="I347" s="106"/>
      <c r="J347" s="106"/>
      <c r="K347" s="106"/>
      <c r="L347" s="106"/>
      <c r="M347" s="106"/>
      <c r="N347" s="106"/>
      <c r="O347" s="106"/>
      <c r="P347" s="106"/>
      <c r="Q347" s="106"/>
    </row>
    <row r="348" spans="1:17" ht="24" customHeight="1">
      <c r="A348" s="106"/>
      <c r="B348" s="598"/>
      <c r="C348" s="599"/>
      <c r="D348" s="599"/>
      <c r="E348" s="106"/>
      <c r="F348" s="106"/>
      <c r="G348" s="106"/>
      <c r="H348" s="106"/>
      <c r="I348" s="106"/>
      <c r="J348" s="106"/>
      <c r="K348" s="106"/>
      <c r="L348" s="106"/>
      <c r="M348" s="106"/>
      <c r="N348" s="106"/>
      <c r="O348" s="106"/>
      <c r="P348" s="106"/>
      <c r="Q348" s="106"/>
    </row>
    <row r="349" spans="1:17" ht="24" customHeight="1">
      <c r="A349" s="106"/>
      <c r="B349" s="598"/>
      <c r="C349" s="599"/>
      <c r="D349" s="599"/>
      <c r="E349" s="106"/>
      <c r="F349" s="106"/>
      <c r="G349" s="106"/>
      <c r="H349" s="106"/>
      <c r="I349" s="106"/>
      <c r="J349" s="106"/>
      <c r="K349" s="106"/>
      <c r="L349" s="106"/>
      <c r="M349" s="106"/>
      <c r="N349" s="106"/>
      <c r="O349" s="106"/>
      <c r="P349" s="106"/>
      <c r="Q349" s="106"/>
    </row>
    <row r="350" spans="1:17" ht="24" customHeight="1">
      <c r="A350" s="106"/>
      <c r="B350" s="598"/>
      <c r="C350" s="599"/>
      <c r="D350" s="599"/>
      <c r="E350" s="106"/>
      <c r="F350" s="106"/>
      <c r="G350" s="106"/>
      <c r="H350" s="106"/>
      <c r="I350" s="106"/>
      <c r="J350" s="106"/>
      <c r="K350" s="106"/>
      <c r="L350" s="106"/>
      <c r="M350" s="106"/>
      <c r="N350" s="106"/>
      <c r="O350" s="106"/>
      <c r="P350" s="106"/>
      <c r="Q350" s="106"/>
    </row>
    <row r="351" spans="1:17" ht="24" customHeight="1">
      <c r="A351" s="106"/>
      <c r="B351" s="598"/>
      <c r="C351" s="599"/>
      <c r="D351" s="599"/>
      <c r="E351" s="106"/>
      <c r="F351" s="106"/>
      <c r="G351" s="106"/>
      <c r="H351" s="106"/>
      <c r="I351" s="106"/>
      <c r="J351" s="106"/>
      <c r="K351" s="106"/>
      <c r="L351" s="106"/>
      <c r="M351" s="106"/>
      <c r="N351" s="106"/>
      <c r="O351" s="106"/>
      <c r="P351" s="106"/>
      <c r="Q351" s="106"/>
    </row>
    <row r="352" spans="1:17" ht="24" customHeight="1">
      <c r="A352" s="106"/>
      <c r="B352" s="598"/>
      <c r="C352" s="599"/>
      <c r="D352" s="599"/>
      <c r="E352" s="106"/>
      <c r="F352" s="106"/>
      <c r="G352" s="106"/>
      <c r="H352" s="106"/>
      <c r="I352" s="106"/>
      <c r="J352" s="106"/>
      <c r="K352" s="106"/>
      <c r="L352" s="106"/>
      <c r="M352" s="106"/>
      <c r="N352" s="106"/>
      <c r="O352" s="106"/>
      <c r="P352" s="106"/>
      <c r="Q352" s="106"/>
    </row>
    <row r="353" spans="1:17" ht="24" customHeight="1">
      <c r="A353" s="106"/>
      <c r="B353" s="598"/>
      <c r="C353" s="599"/>
      <c r="D353" s="599"/>
      <c r="E353" s="106"/>
      <c r="F353" s="106"/>
      <c r="G353" s="106"/>
      <c r="H353" s="106"/>
      <c r="I353" s="106"/>
      <c r="J353" s="106"/>
      <c r="K353" s="106"/>
      <c r="L353" s="106"/>
      <c r="M353" s="106"/>
      <c r="N353" s="106"/>
      <c r="O353" s="106"/>
      <c r="P353" s="106"/>
      <c r="Q353" s="106"/>
    </row>
    <row r="354" spans="1:17" ht="24" customHeight="1">
      <c r="A354" s="106"/>
      <c r="B354" s="598"/>
      <c r="C354" s="599"/>
      <c r="D354" s="599"/>
      <c r="E354" s="106"/>
      <c r="F354" s="106"/>
      <c r="G354" s="106"/>
      <c r="H354" s="106"/>
      <c r="I354" s="106"/>
      <c r="J354" s="106"/>
      <c r="K354" s="106"/>
      <c r="L354" s="106"/>
      <c r="M354" s="106"/>
      <c r="N354" s="106"/>
      <c r="O354" s="106"/>
      <c r="P354" s="106"/>
      <c r="Q354" s="106"/>
    </row>
    <row r="355" spans="1:17" ht="24" customHeight="1">
      <c r="A355" s="106"/>
      <c r="B355" s="598"/>
      <c r="C355" s="599"/>
      <c r="D355" s="599"/>
      <c r="E355" s="106"/>
      <c r="F355" s="106"/>
      <c r="G355" s="106"/>
      <c r="H355" s="106"/>
      <c r="I355" s="106"/>
      <c r="J355" s="106"/>
      <c r="K355" s="106"/>
      <c r="L355" s="106"/>
      <c r="M355" s="106"/>
      <c r="N355" s="106"/>
      <c r="O355" s="106"/>
      <c r="P355" s="106"/>
      <c r="Q355" s="106"/>
    </row>
    <row r="356" spans="1:17" ht="24" customHeight="1">
      <c r="A356" s="106"/>
      <c r="B356" s="598"/>
      <c r="C356" s="599"/>
      <c r="D356" s="599"/>
      <c r="E356" s="106"/>
      <c r="F356" s="106"/>
      <c r="G356" s="106"/>
      <c r="H356" s="106"/>
      <c r="I356" s="106"/>
      <c r="J356" s="106"/>
      <c r="K356" s="106"/>
      <c r="L356" s="106"/>
      <c r="M356" s="106"/>
      <c r="N356" s="106"/>
      <c r="O356" s="106"/>
      <c r="P356" s="106"/>
      <c r="Q356" s="106"/>
    </row>
    <row r="357" spans="1:17" ht="24" customHeight="1">
      <c r="A357" s="106"/>
      <c r="B357" s="598"/>
      <c r="C357" s="599"/>
      <c r="D357" s="599"/>
      <c r="E357" s="106"/>
      <c r="F357" s="106"/>
      <c r="G357" s="106"/>
      <c r="H357" s="106"/>
      <c r="I357" s="106"/>
      <c r="J357" s="106"/>
      <c r="K357" s="106"/>
      <c r="L357" s="106"/>
      <c r="M357" s="106"/>
      <c r="N357" s="106"/>
      <c r="O357" s="106"/>
      <c r="P357" s="106"/>
      <c r="Q357" s="106"/>
    </row>
    <row r="358" spans="1:17" ht="24" customHeight="1">
      <c r="A358" s="106"/>
      <c r="B358" s="598"/>
      <c r="C358" s="599"/>
      <c r="D358" s="599"/>
      <c r="E358" s="106"/>
      <c r="F358" s="106"/>
      <c r="G358" s="106"/>
      <c r="H358" s="106"/>
      <c r="I358" s="106"/>
      <c r="J358" s="106"/>
      <c r="K358" s="106"/>
      <c r="L358" s="106"/>
      <c r="M358" s="106"/>
      <c r="N358" s="106"/>
      <c r="O358" s="106"/>
      <c r="P358" s="106"/>
      <c r="Q358" s="106"/>
    </row>
    <row r="359" spans="1:17" ht="24" customHeight="1">
      <c r="A359" s="106"/>
      <c r="B359" s="598"/>
      <c r="C359" s="599"/>
      <c r="D359" s="599"/>
      <c r="E359" s="106"/>
      <c r="F359" s="106"/>
      <c r="G359" s="106"/>
      <c r="H359" s="106"/>
      <c r="I359" s="106"/>
      <c r="J359" s="106"/>
      <c r="K359" s="106"/>
      <c r="L359" s="106"/>
      <c r="M359" s="106"/>
      <c r="N359" s="106"/>
      <c r="O359" s="106"/>
      <c r="P359" s="106"/>
      <c r="Q359" s="106"/>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topLeftCell="B105" zoomScale="85" zoomScaleNormal="85" workbookViewId="0">
      <selection activeCell="A145" sqref="A145:G151"/>
    </sheetView>
  </sheetViews>
  <sheetFormatPr defaultRowHeight="14.15"/>
  <cols>
    <col min="1" max="1" width="120.5" customWidth="1"/>
    <col min="2" max="2" width="98" customWidth="1"/>
    <col min="3" max="3" width="67.7109375" customWidth="1"/>
    <col min="4" max="4" width="67.640625" customWidth="1"/>
    <col min="5" max="6" width="90.140625" customWidth="1"/>
    <col min="7" max="7" width="129.140625" customWidth="1"/>
  </cols>
  <sheetData>
    <row r="1" spans="1:7" ht="14.25" customHeight="1">
      <c r="A1" s="885" t="s">
        <v>4774</v>
      </c>
      <c r="B1" s="885"/>
      <c r="C1" s="885"/>
      <c r="D1" s="885"/>
      <c r="E1" s="885"/>
      <c r="F1" s="885"/>
      <c r="G1" s="885"/>
    </row>
    <row r="2" spans="1:7" ht="16.5" customHeight="1">
      <c r="A2" s="885"/>
      <c r="B2" s="885"/>
      <c r="C2" s="885"/>
      <c r="D2" s="885"/>
      <c r="E2" s="885"/>
      <c r="F2" s="885"/>
      <c r="G2" s="885"/>
    </row>
    <row r="3" spans="1:7" ht="16.5" customHeight="1">
      <c r="A3" s="885"/>
      <c r="B3" s="885"/>
      <c r="C3" s="885"/>
      <c r="D3" s="885"/>
      <c r="E3" s="885"/>
      <c r="F3" s="885"/>
      <c r="G3" s="885"/>
    </row>
    <row r="4" spans="1:7" ht="16.5" customHeight="1">
      <c r="A4" s="885"/>
      <c r="B4" s="885"/>
      <c r="C4" s="885"/>
      <c r="D4" s="885"/>
      <c r="E4" s="885"/>
      <c r="F4" s="885"/>
      <c r="G4" s="885"/>
    </row>
    <row r="5" spans="1:7" ht="16.5" customHeight="1">
      <c r="A5" s="885"/>
      <c r="B5" s="885"/>
      <c r="C5" s="885"/>
      <c r="D5" s="885"/>
      <c r="E5" s="885"/>
      <c r="F5" s="885"/>
      <c r="G5" s="885"/>
    </row>
    <row r="6" spans="1:7" ht="16.5" customHeight="1">
      <c r="A6" s="885"/>
      <c r="B6" s="885"/>
      <c r="C6" s="885"/>
      <c r="D6" s="885"/>
      <c r="E6" s="885"/>
      <c r="F6" s="885"/>
      <c r="G6" s="885"/>
    </row>
    <row r="7" spans="1:7" ht="14.25" customHeight="1">
      <c r="A7" s="885"/>
      <c r="B7" s="885"/>
      <c r="C7" s="885"/>
      <c r="D7" s="885"/>
      <c r="E7" s="885"/>
      <c r="F7" s="885"/>
      <c r="G7" s="885"/>
    </row>
    <row r="8" spans="1:7" ht="18.45">
      <c r="A8" s="637" t="s">
        <v>4775</v>
      </c>
      <c r="B8" s="638" t="s">
        <v>4776</v>
      </c>
      <c r="C8" s="639" t="s">
        <v>4777</v>
      </c>
      <c r="D8" s="639" t="s">
        <v>4778</v>
      </c>
      <c r="E8" s="639" t="s">
        <v>4779</v>
      </c>
      <c r="F8" s="639" t="s">
        <v>4780</v>
      </c>
      <c r="G8" s="640" t="s">
        <v>4781</v>
      </c>
    </row>
    <row r="9" spans="1:7" ht="15.9">
      <c r="A9" s="476" t="s">
        <v>4782</v>
      </c>
      <c r="B9" s="476" t="s">
        <v>4783</v>
      </c>
      <c r="C9" s="476" t="s">
        <v>4784</v>
      </c>
      <c r="D9" s="476" t="s">
        <v>4782</v>
      </c>
      <c r="E9" s="476" t="s">
        <v>4782</v>
      </c>
      <c r="F9" s="476" t="s">
        <v>4782</v>
      </c>
      <c r="G9" s="476" t="s">
        <v>4782</v>
      </c>
    </row>
    <row r="10" spans="1:7" ht="15.9">
      <c r="A10" s="476" t="s">
        <v>4785</v>
      </c>
      <c r="B10" s="476" t="s">
        <v>4786</v>
      </c>
      <c r="C10" s="476" t="s">
        <v>4787</v>
      </c>
      <c r="D10" s="476" t="s">
        <v>4788</v>
      </c>
      <c r="E10" s="476" t="s">
        <v>4789</v>
      </c>
      <c r="F10" s="476" t="s">
        <v>4790</v>
      </c>
      <c r="G10" s="476" t="s">
        <v>4791</v>
      </c>
    </row>
    <row r="11" spans="1:7" ht="15.9">
      <c r="A11" s="476" t="s">
        <v>4792</v>
      </c>
      <c r="B11" s="476" t="s">
        <v>4793</v>
      </c>
      <c r="C11" s="476" t="s">
        <v>4794</v>
      </c>
      <c r="D11" s="476" t="s">
        <v>4795</v>
      </c>
      <c r="E11" s="476" t="s">
        <v>4796</v>
      </c>
      <c r="F11" s="476" t="s">
        <v>4797</v>
      </c>
      <c r="G11" s="476" t="s">
        <v>4798</v>
      </c>
    </row>
    <row r="12" spans="1:7" ht="15.9">
      <c r="A12" s="641" t="s">
        <v>4799</v>
      </c>
      <c r="B12" s="641" t="s">
        <v>4800</v>
      </c>
      <c r="C12" s="641" t="s">
        <v>4799</v>
      </c>
      <c r="D12" s="641" t="s">
        <v>4799</v>
      </c>
      <c r="E12" s="641" t="s">
        <v>4799</v>
      </c>
      <c r="F12" s="641" t="s">
        <v>4799</v>
      </c>
      <c r="G12" s="641" t="s">
        <v>4801</v>
      </c>
    </row>
    <row r="13" spans="1:7" ht="15.9">
      <c r="A13" s="642" t="s">
        <v>4802</v>
      </c>
      <c r="B13" s="642" t="s">
        <v>4803</v>
      </c>
      <c r="C13" s="642" t="s">
        <v>4802</v>
      </c>
      <c r="D13" s="642" t="s">
        <v>4802</v>
      </c>
      <c r="E13" s="642" t="s">
        <v>4802</v>
      </c>
      <c r="F13" s="642" t="s">
        <v>4802</v>
      </c>
      <c r="G13" s="642" t="s">
        <v>4804</v>
      </c>
    </row>
    <row r="14" spans="1:7" ht="15.9">
      <c r="A14" s="643" t="s">
        <v>4805</v>
      </c>
      <c r="B14" s="643" t="s">
        <v>4805</v>
      </c>
      <c r="C14" s="643" t="s">
        <v>4805</v>
      </c>
      <c r="D14" s="643" t="s">
        <v>4805</v>
      </c>
      <c r="E14" s="643" t="s">
        <v>4805</v>
      </c>
      <c r="F14" s="643" t="s">
        <v>4805</v>
      </c>
      <c r="G14" s="643" t="s">
        <v>4805</v>
      </c>
    </row>
    <row r="15" spans="1:7" ht="15.9">
      <c r="A15" s="644" t="s">
        <v>4806</v>
      </c>
      <c r="B15" s="644" t="s">
        <v>4807</v>
      </c>
      <c r="C15" s="644" t="s">
        <v>4806</v>
      </c>
      <c r="D15" s="644" t="s">
        <v>4806</v>
      </c>
      <c r="E15" s="644" t="s">
        <v>4806</v>
      </c>
      <c r="F15" s="644" t="s">
        <v>4806</v>
      </c>
      <c r="G15" s="644" t="s">
        <v>4806</v>
      </c>
    </row>
    <row r="16" spans="1:7" ht="15.9">
      <c r="A16" s="645" t="s">
        <v>4808</v>
      </c>
      <c r="B16" s="645" t="s">
        <v>4809</v>
      </c>
      <c r="C16" s="645" t="s">
        <v>4808</v>
      </c>
      <c r="D16" s="645" t="s">
        <v>4808</v>
      </c>
      <c r="E16" s="645" t="s">
        <v>4808</v>
      </c>
      <c r="F16" s="645" t="s">
        <v>4808</v>
      </c>
      <c r="G16" s="645" t="s">
        <v>4810</v>
      </c>
    </row>
    <row r="17" spans="1:7" ht="15.9">
      <c r="A17" s="646" t="s">
        <v>4811</v>
      </c>
      <c r="B17" s="646" t="s">
        <v>4812</v>
      </c>
      <c r="C17" s="646" t="s">
        <v>4811</v>
      </c>
      <c r="D17" s="646" t="s">
        <v>4811</v>
      </c>
      <c r="E17" s="646" t="s">
        <v>4811</v>
      </c>
      <c r="F17" s="646" t="s">
        <v>4811</v>
      </c>
      <c r="G17" s="646" t="s">
        <v>4812</v>
      </c>
    </row>
    <row r="18" spans="1:7" ht="16.5" customHeight="1">
      <c r="A18" s="647" t="s">
        <v>4813</v>
      </c>
      <c r="B18" s="647" t="s">
        <v>4814</v>
      </c>
      <c r="C18" s="647" t="s">
        <v>4813</v>
      </c>
      <c r="D18" s="647" t="s">
        <v>4813</v>
      </c>
      <c r="E18" s="647" t="s">
        <v>4813</v>
      </c>
      <c r="F18" s="647" t="s">
        <v>4813</v>
      </c>
      <c r="G18" s="647" t="s">
        <v>4815</v>
      </c>
    </row>
    <row r="19" spans="1:7" ht="16.5" customHeight="1">
      <c r="A19" s="648" t="s">
        <v>4816</v>
      </c>
      <c r="B19" s="648" t="s">
        <v>4817</v>
      </c>
      <c r="C19" s="648" t="s">
        <v>4816</v>
      </c>
      <c r="D19" s="648" t="s">
        <v>4816</v>
      </c>
      <c r="E19" s="648" t="s">
        <v>4816</v>
      </c>
      <c r="F19" s="648" t="s">
        <v>4816</v>
      </c>
      <c r="G19" s="648" t="s">
        <v>4818</v>
      </c>
    </row>
    <row r="20" spans="1:7" ht="15.9">
      <c r="A20" s="454" t="s">
        <v>4819</v>
      </c>
      <c r="B20" s="454" t="s">
        <v>4819</v>
      </c>
      <c r="C20" s="454" t="s">
        <v>4819</v>
      </c>
      <c r="D20" s="454" t="s">
        <v>4819</v>
      </c>
      <c r="E20" s="454" t="s">
        <v>4819</v>
      </c>
      <c r="F20" s="454" t="s">
        <v>4819</v>
      </c>
      <c r="G20" s="454" t="s">
        <v>4820</v>
      </c>
    </row>
    <row r="21" spans="1:7" ht="15.9">
      <c r="A21" s="649" t="s">
        <v>4821</v>
      </c>
      <c r="B21" s="649" t="s">
        <v>4822</v>
      </c>
      <c r="C21" s="649" t="s">
        <v>4821</v>
      </c>
      <c r="D21" s="649" t="s">
        <v>4821</v>
      </c>
      <c r="E21" s="649" t="s">
        <v>4821</v>
      </c>
      <c r="F21" s="649" t="s">
        <v>4821</v>
      </c>
      <c r="G21" s="649" t="s">
        <v>4821</v>
      </c>
    </row>
    <row r="22" spans="1:7" ht="15.9">
      <c r="A22" s="650" t="s">
        <v>4823</v>
      </c>
      <c r="B22" s="650" t="s">
        <v>4824</v>
      </c>
      <c r="C22" s="650" t="s">
        <v>4823</v>
      </c>
      <c r="D22" s="650" t="s">
        <v>4823</v>
      </c>
      <c r="E22" s="650" t="s">
        <v>4823</v>
      </c>
      <c r="F22" s="650" t="s">
        <v>4823</v>
      </c>
      <c r="G22" s="650" t="s">
        <v>4825</v>
      </c>
    </row>
    <row r="23" spans="1:7" ht="15.9">
      <c r="A23" s="651" t="s">
        <v>4826</v>
      </c>
      <c r="B23" s="651" t="s">
        <v>4827</v>
      </c>
      <c r="C23" s="651" t="s">
        <v>4826</v>
      </c>
      <c r="D23" s="651" t="s">
        <v>4826</v>
      </c>
      <c r="E23" s="651" t="s">
        <v>4826</v>
      </c>
      <c r="F23" s="651" t="s">
        <v>4826</v>
      </c>
      <c r="G23" s="651" t="s">
        <v>4828</v>
      </c>
    </row>
    <row r="24" spans="1:7" ht="15.9">
      <c r="A24" s="652" t="s">
        <v>4829</v>
      </c>
      <c r="B24" s="652" t="s">
        <v>4830</v>
      </c>
      <c r="C24" s="652" t="s">
        <v>4829</v>
      </c>
      <c r="D24" s="652" t="s">
        <v>4829</v>
      </c>
      <c r="E24" s="652" t="s">
        <v>4829</v>
      </c>
      <c r="F24" s="652" t="s">
        <v>4829</v>
      </c>
      <c r="G24" s="652" t="s">
        <v>4831</v>
      </c>
    </row>
    <row r="25" spans="1:7" ht="15.9">
      <c r="A25" s="653" t="s">
        <v>4832</v>
      </c>
      <c r="B25" s="653" t="s">
        <v>4833</v>
      </c>
      <c r="C25" s="653" t="s">
        <v>4834</v>
      </c>
      <c r="D25" s="653" t="s">
        <v>4834</v>
      </c>
      <c r="E25" s="653" t="s">
        <v>4834</v>
      </c>
      <c r="F25" s="653" t="s">
        <v>4834</v>
      </c>
      <c r="G25" s="653" t="s">
        <v>4832</v>
      </c>
    </row>
    <row r="26" spans="1:7" ht="15.9">
      <c r="A26" s="646" t="s">
        <v>4835</v>
      </c>
      <c r="B26" s="646" t="s">
        <v>4836</v>
      </c>
      <c r="C26" s="646" t="s">
        <v>4837</v>
      </c>
      <c r="D26" s="646" t="s">
        <v>4837</v>
      </c>
      <c r="E26" s="646" t="s">
        <v>4837</v>
      </c>
      <c r="F26" s="646" t="s">
        <v>4837</v>
      </c>
      <c r="G26" s="646" t="s">
        <v>4838</v>
      </c>
    </row>
    <row r="27" spans="1:7" ht="15.9">
      <c r="A27" s="654" t="s">
        <v>4839</v>
      </c>
      <c r="B27" s="654" t="s">
        <v>4840</v>
      </c>
      <c r="C27" s="654" t="s">
        <v>4839</v>
      </c>
      <c r="D27" s="654" t="s">
        <v>4839</v>
      </c>
      <c r="E27" s="654" t="s">
        <v>4839</v>
      </c>
      <c r="F27" s="654" t="s">
        <v>4839</v>
      </c>
      <c r="G27" s="654" t="s">
        <v>4839</v>
      </c>
    </row>
    <row r="28" spans="1:7" ht="15.9">
      <c r="A28" s="655" t="s">
        <v>4841</v>
      </c>
      <c r="B28" s="655" t="s">
        <v>4841</v>
      </c>
      <c r="C28" s="655" t="s">
        <v>4841</v>
      </c>
      <c r="D28" s="655" t="s">
        <v>4841</v>
      </c>
      <c r="E28" s="655" t="s">
        <v>4841</v>
      </c>
      <c r="F28" s="655" t="s">
        <v>4841</v>
      </c>
      <c r="G28" s="655" t="s">
        <v>4842</v>
      </c>
    </row>
    <row r="29" spans="1:7" ht="16.5" customHeight="1">
      <c r="A29" s="482" t="s">
        <v>4843</v>
      </c>
      <c r="B29" s="482" t="s">
        <v>4844</v>
      </c>
      <c r="C29" s="482" t="s">
        <v>4843</v>
      </c>
      <c r="D29" s="482" t="s">
        <v>4843</v>
      </c>
      <c r="E29" s="482" t="s">
        <v>4843</v>
      </c>
      <c r="F29" s="482" t="s">
        <v>4843</v>
      </c>
      <c r="G29" s="482" t="s">
        <v>4845</v>
      </c>
    </row>
    <row r="30" spans="1:7" ht="16.5" customHeight="1">
      <c r="A30" s="656" t="s">
        <v>4846</v>
      </c>
      <c r="B30" s="656" t="s">
        <v>4846</v>
      </c>
      <c r="C30" s="656" t="s">
        <v>4846</v>
      </c>
      <c r="D30" s="656" t="s">
        <v>4846</v>
      </c>
      <c r="E30" s="656" t="s">
        <v>4846</v>
      </c>
      <c r="F30" s="656" t="s">
        <v>4846</v>
      </c>
      <c r="G30" s="656" t="s">
        <v>4846</v>
      </c>
    </row>
    <row r="31" spans="1:7" ht="16.5" customHeight="1">
      <c r="A31" s="657" t="s">
        <v>4847</v>
      </c>
      <c r="B31" s="657" t="s">
        <v>4848</v>
      </c>
      <c r="C31" s="657" t="s">
        <v>4849</v>
      </c>
      <c r="D31" s="657" t="s">
        <v>4849</v>
      </c>
      <c r="E31" s="657" t="s">
        <v>4849</v>
      </c>
      <c r="F31" s="657" t="s">
        <v>4849</v>
      </c>
      <c r="G31" s="657" t="s">
        <v>4847</v>
      </c>
    </row>
    <row r="32" spans="1:7" ht="16.5" customHeight="1">
      <c r="A32" s="657" t="s">
        <v>4850</v>
      </c>
      <c r="B32" s="657" t="s">
        <v>4851</v>
      </c>
      <c r="C32" s="657" t="s">
        <v>4850</v>
      </c>
      <c r="D32" s="657" t="s">
        <v>4850</v>
      </c>
      <c r="E32" s="657" t="s">
        <v>4850</v>
      </c>
      <c r="F32" s="657" t="s">
        <v>4850</v>
      </c>
      <c r="G32" s="657" t="s">
        <v>4851</v>
      </c>
    </row>
    <row r="33" spans="1:7" ht="16.5" customHeight="1">
      <c r="A33" s="658" t="s">
        <v>4852</v>
      </c>
      <c r="B33" s="658" t="s">
        <v>4852</v>
      </c>
      <c r="C33" s="658" t="s">
        <v>2326</v>
      </c>
      <c r="D33" s="658" t="s">
        <v>4852</v>
      </c>
      <c r="E33" s="658" t="s">
        <v>4852</v>
      </c>
      <c r="F33" s="658" t="s">
        <v>4852</v>
      </c>
      <c r="G33" s="658" t="s">
        <v>4852</v>
      </c>
    </row>
    <row r="34" spans="1:7" ht="16.5" customHeight="1">
      <c r="A34" s="659" t="s">
        <v>4853</v>
      </c>
      <c r="B34" s="659" t="s">
        <v>4854</v>
      </c>
      <c r="C34" s="659" t="s">
        <v>4853</v>
      </c>
      <c r="D34" s="659" t="s">
        <v>4853</v>
      </c>
      <c r="E34" s="659" t="s">
        <v>4853</v>
      </c>
      <c r="F34" s="659" t="s">
        <v>4853</v>
      </c>
      <c r="G34" s="659" t="s">
        <v>4855</v>
      </c>
    </row>
    <row r="35" spans="1:7" ht="16.5" customHeight="1">
      <c r="A35" s="659" t="s">
        <v>4856</v>
      </c>
      <c r="B35" s="659" t="s">
        <v>4857</v>
      </c>
      <c r="C35" s="659" t="s">
        <v>4858</v>
      </c>
      <c r="D35" s="659" t="s">
        <v>4858</v>
      </c>
      <c r="E35" s="659" t="s">
        <v>4858</v>
      </c>
      <c r="F35" s="659" t="s">
        <v>4858</v>
      </c>
      <c r="G35" s="659" t="s">
        <v>4859</v>
      </c>
    </row>
    <row r="36" spans="1:7" ht="16.5" customHeight="1">
      <c r="A36" s="659" t="s">
        <v>4860</v>
      </c>
      <c r="B36" s="659" t="s">
        <v>4861</v>
      </c>
      <c r="C36" s="659" t="s">
        <v>4860</v>
      </c>
      <c r="D36" s="659" t="s">
        <v>4860</v>
      </c>
      <c r="E36" s="659" t="s">
        <v>4860</v>
      </c>
      <c r="F36" s="659" t="s">
        <v>4860</v>
      </c>
      <c r="G36" s="659" t="s">
        <v>4862</v>
      </c>
    </row>
    <row r="37" spans="1:7" ht="16.5" customHeight="1">
      <c r="A37" s="659" t="s">
        <v>4863</v>
      </c>
      <c r="B37" s="659" t="s">
        <v>4864</v>
      </c>
      <c r="C37" s="659" t="s">
        <v>4863</v>
      </c>
      <c r="D37" s="659" t="s">
        <v>4863</v>
      </c>
      <c r="E37" s="659" t="s">
        <v>4863</v>
      </c>
      <c r="F37" s="659" t="s">
        <v>4863</v>
      </c>
      <c r="G37" s="659" t="s">
        <v>4865</v>
      </c>
    </row>
    <row r="38" spans="1:7" ht="16.5" customHeight="1">
      <c r="A38" s="659" t="s">
        <v>4866</v>
      </c>
      <c r="B38" s="659" t="s">
        <v>4867</v>
      </c>
      <c r="C38" s="659" t="s">
        <v>4866</v>
      </c>
      <c r="D38" s="659" t="s">
        <v>4866</v>
      </c>
      <c r="E38" s="659" t="s">
        <v>4866</v>
      </c>
      <c r="F38" s="659" t="s">
        <v>4866</v>
      </c>
      <c r="G38" s="659" t="s">
        <v>4868</v>
      </c>
    </row>
    <row r="39" spans="1:7" ht="16.5" customHeight="1">
      <c r="A39" s="657" t="s">
        <v>4869</v>
      </c>
      <c r="B39" s="657" t="s">
        <v>4869</v>
      </c>
      <c r="C39" s="657" t="s">
        <v>4869</v>
      </c>
      <c r="D39" s="657" t="s">
        <v>4869</v>
      </c>
      <c r="E39" s="657" t="s">
        <v>4869</v>
      </c>
      <c r="F39" s="657" t="s">
        <v>4869</v>
      </c>
      <c r="G39" s="657" t="s">
        <v>4870</v>
      </c>
    </row>
    <row r="40" spans="1:7" ht="16.5" customHeight="1">
      <c r="A40" s="657" t="s">
        <v>4871</v>
      </c>
      <c r="B40" s="657" t="s">
        <v>4871</v>
      </c>
      <c r="C40" s="657" t="s">
        <v>4871</v>
      </c>
      <c r="D40" s="657" t="s">
        <v>4871</v>
      </c>
      <c r="E40" s="657" t="s">
        <v>4871</v>
      </c>
      <c r="F40" s="657" t="s">
        <v>4871</v>
      </c>
      <c r="G40" s="657" t="s">
        <v>4871</v>
      </c>
    </row>
    <row r="41" spans="1:7" ht="15.9">
      <c r="A41" s="657" t="s">
        <v>4872</v>
      </c>
      <c r="B41" s="657" t="s">
        <v>4872</v>
      </c>
      <c r="C41" s="657" t="s">
        <v>4872</v>
      </c>
      <c r="D41" s="657" t="s">
        <v>4872</v>
      </c>
      <c r="E41" s="657" t="s">
        <v>4872</v>
      </c>
      <c r="F41" s="657" t="s">
        <v>4872</v>
      </c>
      <c r="G41" s="657" t="s">
        <v>4872</v>
      </c>
    </row>
    <row r="42" spans="1:7" ht="15.9">
      <c r="A42" s="657" t="s">
        <v>4873</v>
      </c>
      <c r="B42" s="657" t="s">
        <v>4873</v>
      </c>
      <c r="C42" s="657" t="s">
        <v>4873</v>
      </c>
      <c r="D42" s="657" t="s">
        <v>4873</v>
      </c>
      <c r="E42" s="657" t="s">
        <v>4873</v>
      </c>
      <c r="F42" s="657" t="s">
        <v>4873</v>
      </c>
      <c r="G42" s="657" t="s">
        <v>4873</v>
      </c>
    </row>
    <row r="43" spans="1:7" ht="15.9">
      <c r="A43" s="657" t="s">
        <v>4874</v>
      </c>
      <c r="B43" s="657" t="s">
        <v>4874</v>
      </c>
      <c r="C43" s="657" t="s">
        <v>4874</v>
      </c>
      <c r="D43" s="657" t="s">
        <v>4874</v>
      </c>
      <c r="E43" s="657" t="s">
        <v>4874</v>
      </c>
      <c r="F43" s="657" t="s">
        <v>4874</v>
      </c>
      <c r="G43" s="657" t="s">
        <v>4874</v>
      </c>
    </row>
    <row r="44" spans="1:7" ht="15.9">
      <c r="A44" s="657" t="s">
        <v>4875</v>
      </c>
      <c r="B44" s="657" t="s">
        <v>4875</v>
      </c>
      <c r="C44" s="657" t="s">
        <v>4875</v>
      </c>
      <c r="D44" s="657" t="s">
        <v>4875</v>
      </c>
      <c r="E44" s="657" t="s">
        <v>4875</v>
      </c>
      <c r="F44" s="657" t="s">
        <v>4875</v>
      </c>
      <c r="G44" s="657" t="s">
        <v>4875</v>
      </c>
    </row>
    <row r="45" spans="1:7" ht="15.9">
      <c r="A45" s="657" t="s">
        <v>4876</v>
      </c>
      <c r="B45" s="657" t="s">
        <v>4876</v>
      </c>
      <c r="C45" s="657" t="s">
        <v>4876</v>
      </c>
      <c r="D45" s="657" t="s">
        <v>4876</v>
      </c>
      <c r="E45" s="657" t="s">
        <v>4876</v>
      </c>
      <c r="F45" s="657" t="s">
        <v>4876</v>
      </c>
      <c r="G45" s="657" t="s">
        <v>4876</v>
      </c>
    </row>
    <row r="46" spans="1:7" ht="15.9">
      <c r="A46" s="657" t="s">
        <v>4877</v>
      </c>
      <c r="B46" s="657" t="s">
        <v>4877</v>
      </c>
      <c r="C46" s="657" t="s">
        <v>4877</v>
      </c>
      <c r="D46" s="657" t="s">
        <v>4877</v>
      </c>
      <c r="E46" s="657" t="s">
        <v>4877</v>
      </c>
      <c r="F46" s="657" t="s">
        <v>4877</v>
      </c>
      <c r="G46" s="657" t="s">
        <v>4877</v>
      </c>
    </row>
    <row r="47" spans="1:7" ht="15.9">
      <c r="A47" s="657" t="s">
        <v>4878</v>
      </c>
      <c r="B47" s="657" t="s">
        <v>4878</v>
      </c>
      <c r="C47" s="657" t="s">
        <v>4878</v>
      </c>
      <c r="D47" s="657" t="s">
        <v>4878</v>
      </c>
      <c r="E47" s="657" t="s">
        <v>4878</v>
      </c>
      <c r="F47" s="657" t="s">
        <v>4878</v>
      </c>
      <c r="G47" s="657" t="s">
        <v>4878</v>
      </c>
    </row>
    <row r="48" spans="1:7" ht="15.9">
      <c r="A48" s="657" t="s">
        <v>4879</v>
      </c>
      <c r="B48" s="657" t="s">
        <v>4879</v>
      </c>
      <c r="C48" s="657" t="s">
        <v>4879</v>
      </c>
      <c r="D48" s="657" t="s">
        <v>4879</v>
      </c>
      <c r="E48" s="657" t="s">
        <v>4879</v>
      </c>
      <c r="F48" s="657" t="s">
        <v>4879</v>
      </c>
      <c r="G48" s="657" t="s">
        <v>4879</v>
      </c>
    </row>
    <row r="49" spans="1:7" ht="15.9">
      <c r="A49" s="657" t="s">
        <v>4880</v>
      </c>
      <c r="B49" s="657" t="s">
        <v>4880</v>
      </c>
      <c r="C49" s="657" t="s">
        <v>4880</v>
      </c>
      <c r="D49" s="657" t="s">
        <v>4880</v>
      </c>
      <c r="E49" s="657" t="s">
        <v>4880</v>
      </c>
      <c r="F49" s="657" t="s">
        <v>4880</v>
      </c>
      <c r="G49" s="657" t="s">
        <v>4880</v>
      </c>
    </row>
    <row r="50" spans="1:7" ht="15.9">
      <c r="A50" s="657" t="s">
        <v>4881</v>
      </c>
      <c r="B50" s="657" t="s">
        <v>4881</v>
      </c>
      <c r="C50" s="657" t="s">
        <v>4881</v>
      </c>
      <c r="D50" s="657" t="s">
        <v>4881</v>
      </c>
      <c r="E50" s="657" t="s">
        <v>4881</v>
      </c>
      <c r="F50" s="657" t="s">
        <v>4881</v>
      </c>
      <c r="G50" s="657" t="s">
        <v>4881</v>
      </c>
    </row>
    <row r="51" spans="1:7" ht="15.9">
      <c r="A51" s="657" t="s">
        <v>4882</v>
      </c>
      <c r="B51" s="657" t="s">
        <v>4882</v>
      </c>
      <c r="C51" s="657" t="s">
        <v>4883</v>
      </c>
      <c r="D51" s="657" t="s">
        <v>4883</v>
      </c>
      <c r="E51" s="657" t="s">
        <v>4883</v>
      </c>
      <c r="F51" s="657" t="s">
        <v>4883</v>
      </c>
      <c r="G51" s="657" t="s">
        <v>4883</v>
      </c>
    </row>
    <row r="52" spans="1:7" ht="18.45">
      <c r="A52" s="660" t="s">
        <v>4884</v>
      </c>
      <c r="B52" s="661" t="s">
        <v>4885</v>
      </c>
      <c r="C52" s="639" t="s">
        <v>4886</v>
      </c>
      <c r="D52" s="639" t="s">
        <v>4887</v>
      </c>
    </row>
    <row r="53" spans="1:7" ht="15.9">
      <c r="A53" s="476" t="s">
        <v>4782</v>
      </c>
      <c r="B53" s="476" t="s">
        <v>4783</v>
      </c>
      <c r="C53" s="476" t="s">
        <v>4888</v>
      </c>
      <c r="D53" s="476" t="s">
        <v>4782</v>
      </c>
    </row>
    <row r="54" spans="1:7" ht="15.9">
      <c r="A54" s="476" t="s">
        <v>4889</v>
      </c>
      <c r="B54" s="476" t="s">
        <v>4890</v>
      </c>
      <c r="C54" s="476" t="s">
        <v>4785</v>
      </c>
      <c r="D54" s="476" t="s">
        <v>4891</v>
      </c>
    </row>
    <row r="55" spans="1:7" ht="15.9">
      <c r="A55" s="476" t="s">
        <v>4892</v>
      </c>
      <c r="B55" s="476" t="s">
        <v>4893</v>
      </c>
      <c r="C55" s="476" t="s">
        <v>4892</v>
      </c>
      <c r="D55" s="476" t="s">
        <v>4892</v>
      </c>
    </row>
    <row r="56" spans="1:7" ht="15.9">
      <c r="A56" s="641" t="s">
        <v>4801</v>
      </c>
      <c r="B56" s="641" t="s">
        <v>4894</v>
      </c>
      <c r="C56" s="641" t="s">
        <v>4799</v>
      </c>
      <c r="D56" s="641" t="s">
        <v>4895</v>
      </c>
    </row>
    <row r="57" spans="1:7" ht="15.9">
      <c r="A57" s="642" t="s">
        <v>4802</v>
      </c>
      <c r="B57" s="642" t="s">
        <v>4896</v>
      </c>
      <c r="C57" s="642" t="s">
        <v>4802</v>
      </c>
      <c r="D57" s="642" t="s">
        <v>4897</v>
      </c>
    </row>
    <row r="58" spans="1:7" ht="15.9">
      <c r="A58" s="643" t="s">
        <v>4805</v>
      </c>
      <c r="B58" s="643" t="s">
        <v>4898</v>
      </c>
      <c r="C58" s="643" t="s">
        <v>4805</v>
      </c>
      <c r="D58" s="643" t="s">
        <v>4805</v>
      </c>
    </row>
    <row r="59" spans="1:7" ht="15.9">
      <c r="A59" s="644" t="s">
        <v>4806</v>
      </c>
      <c r="B59" s="644" t="s">
        <v>4899</v>
      </c>
      <c r="C59" s="644" t="s">
        <v>4806</v>
      </c>
      <c r="D59" s="644" t="s">
        <v>4806</v>
      </c>
    </row>
    <row r="60" spans="1:7" ht="15.9">
      <c r="A60" s="645" t="s">
        <v>4810</v>
      </c>
      <c r="B60" s="645" t="s">
        <v>4900</v>
      </c>
      <c r="C60" s="645" t="s">
        <v>4808</v>
      </c>
      <c r="D60" s="645" t="s">
        <v>4901</v>
      </c>
    </row>
    <row r="61" spans="1:7" ht="15.9">
      <c r="A61" s="646" t="s">
        <v>4902</v>
      </c>
      <c r="B61" s="646" t="s">
        <v>4812</v>
      </c>
      <c r="C61" s="646" t="s">
        <v>4811</v>
      </c>
      <c r="D61" s="646" t="s">
        <v>4903</v>
      </c>
    </row>
    <row r="62" spans="1:7" ht="15.9">
      <c r="A62" s="647" t="s">
        <v>4904</v>
      </c>
      <c r="B62" s="647" t="s">
        <v>4905</v>
      </c>
      <c r="C62" s="647" t="s">
        <v>4813</v>
      </c>
      <c r="D62" s="647" t="s">
        <v>4906</v>
      </c>
    </row>
    <row r="63" spans="1:7" ht="15.9">
      <c r="A63" s="648" t="s">
        <v>4907</v>
      </c>
      <c r="B63" s="648" t="s">
        <v>4907</v>
      </c>
      <c r="C63" s="648" t="s">
        <v>4816</v>
      </c>
      <c r="D63" s="648" t="s">
        <v>4908</v>
      </c>
    </row>
    <row r="64" spans="1:7" ht="15.9">
      <c r="A64" s="454" t="s">
        <v>4909</v>
      </c>
      <c r="B64" s="454" t="s">
        <v>4909</v>
      </c>
      <c r="C64" s="454" t="s">
        <v>4819</v>
      </c>
      <c r="D64" s="454" t="s">
        <v>4910</v>
      </c>
    </row>
    <row r="65" spans="1:4" ht="15.9">
      <c r="A65" s="649" t="s">
        <v>4821</v>
      </c>
      <c r="B65" s="649" t="s">
        <v>4911</v>
      </c>
      <c r="C65" s="649" t="s">
        <v>4821</v>
      </c>
      <c r="D65" s="649" t="s">
        <v>4912</v>
      </c>
    </row>
    <row r="66" spans="1:4" ht="15.9">
      <c r="A66" s="650" t="s">
        <v>4913</v>
      </c>
      <c r="B66" s="650" t="s">
        <v>4914</v>
      </c>
      <c r="C66" s="650" t="s">
        <v>4823</v>
      </c>
      <c r="D66" s="650" t="s">
        <v>4913</v>
      </c>
    </row>
    <row r="67" spans="1:4" ht="15.9">
      <c r="A67" s="651" t="s">
        <v>4915</v>
      </c>
      <c r="B67" s="651" t="s">
        <v>4916</v>
      </c>
      <c r="C67" s="651" t="s">
        <v>4826</v>
      </c>
      <c r="D67" s="651" t="s">
        <v>4828</v>
      </c>
    </row>
    <row r="68" spans="1:4" ht="15.9">
      <c r="A68" s="652" t="s">
        <v>4917</v>
      </c>
      <c r="B68" s="652" t="s">
        <v>4918</v>
      </c>
      <c r="C68" s="652" t="s">
        <v>4829</v>
      </c>
      <c r="D68" s="652" t="s">
        <v>4831</v>
      </c>
    </row>
    <row r="69" spans="1:4" ht="15.9">
      <c r="A69" s="653" t="s">
        <v>4833</v>
      </c>
      <c r="B69" s="653" t="s">
        <v>4919</v>
      </c>
      <c r="C69" s="653" t="s">
        <v>4834</v>
      </c>
      <c r="D69" s="653" t="s">
        <v>4834</v>
      </c>
    </row>
    <row r="70" spans="1:4" ht="15.9">
      <c r="A70" s="646" t="s">
        <v>4837</v>
      </c>
      <c r="B70" s="646" t="s">
        <v>4920</v>
      </c>
      <c r="C70" s="646" t="s">
        <v>4837</v>
      </c>
      <c r="D70" s="646" t="s">
        <v>4837</v>
      </c>
    </row>
    <row r="71" spans="1:4" ht="15.9">
      <c r="A71" s="654" t="s">
        <v>4921</v>
      </c>
      <c r="B71" s="654" t="s">
        <v>4922</v>
      </c>
      <c r="C71" s="654" t="s">
        <v>4839</v>
      </c>
      <c r="D71" s="654" t="s">
        <v>4839</v>
      </c>
    </row>
    <row r="72" spans="1:4" ht="15.9">
      <c r="A72" s="655" t="s">
        <v>4841</v>
      </c>
      <c r="B72" s="655" t="s">
        <v>4923</v>
      </c>
      <c r="C72" s="655" t="s">
        <v>4841</v>
      </c>
      <c r="D72" s="655" t="s">
        <v>4924</v>
      </c>
    </row>
    <row r="73" spans="1:4" ht="15.9">
      <c r="A73" s="482" t="s">
        <v>4925</v>
      </c>
      <c r="B73" s="482" t="s">
        <v>4926</v>
      </c>
      <c r="C73" s="482" t="s">
        <v>4843</v>
      </c>
      <c r="D73" s="482" t="s">
        <v>4927</v>
      </c>
    </row>
    <row r="74" spans="1:4" ht="15.9">
      <c r="A74" s="656" t="s">
        <v>4846</v>
      </c>
      <c r="B74" s="656" t="s">
        <v>4928</v>
      </c>
      <c r="C74" s="656" t="s">
        <v>4846</v>
      </c>
      <c r="D74" s="656" t="s">
        <v>4846</v>
      </c>
    </row>
    <row r="75" spans="1:4" ht="15.9">
      <c r="A75" s="657" t="s">
        <v>4849</v>
      </c>
      <c r="B75" s="657" t="s">
        <v>4847</v>
      </c>
      <c r="C75" s="657" t="s">
        <v>4849</v>
      </c>
      <c r="D75" s="657" t="s">
        <v>4849</v>
      </c>
    </row>
    <row r="76" spans="1:4" ht="15.9">
      <c r="A76" s="658" t="s">
        <v>4852</v>
      </c>
      <c r="B76" s="658" t="s">
        <v>4852</v>
      </c>
      <c r="C76" s="658" t="s">
        <v>4852</v>
      </c>
      <c r="D76" s="658" t="s">
        <v>4852</v>
      </c>
    </row>
    <row r="77" spans="1:4" ht="15.9">
      <c r="A77" s="659" t="s">
        <v>4929</v>
      </c>
      <c r="B77" s="659" t="s">
        <v>4930</v>
      </c>
      <c r="C77" s="659" t="s">
        <v>4853</v>
      </c>
      <c r="D77" s="659" t="s">
        <v>4931</v>
      </c>
    </row>
    <row r="78" spans="1:4" ht="15.9">
      <c r="A78" s="659" t="s">
        <v>4932</v>
      </c>
      <c r="B78" s="659" t="s">
        <v>4933</v>
      </c>
      <c r="C78" s="659" t="s">
        <v>4858</v>
      </c>
      <c r="D78" s="659" t="s">
        <v>4934</v>
      </c>
    </row>
    <row r="79" spans="1:4" ht="15.9">
      <c r="A79" s="659" t="s">
        <v>4935</v>
      </c>
      <c r="B79" s="659" t="s">
        <v>4936</v>
      </c>
      <c r="C79" s="659" t="s">
        <v>4860</v>
      </c>
      <c r="D79" s="659" t="s">
        <v>4937</v>
      </c>
    </row>
    <row r="80" spans="1:4" ht="31.75">
      <c r="A80" s="662" t="s">
        <v>4938</v>
      </c>
      <c r="B80" s="659" t="s">
        <v>4939</v>
      </c>
      <c r="C80" s="659" t="s">
        <v>4863</v>
      </c>
      <c r="D80" s="659" t="s">
        <v>4940</v>
      </c>
    </row>
    <row r="81" spans="1:7" ht="31.75">
      <c r="A81" s="662" t="s">
        <v>4941</v>
      </c>
      <c r="B81" s="659" t="s">
        <v>4942</v>
      </c>
      <c r="C81" s="659" t="s">
        <v>4866</v>
      </c>
      <c r="D81" s="659" t="s">
        <v>4943</v>
      </c>
    </row>
    <row r="82" spans="1:7" ht="15.9">
      <c r="A82" s="657" t="s">
        <v>4869</v>
      </c>
      <c r="B82" s="657" t="s">
        <v>4869</v>
      </c>
      <c r="C82" s="657" t="s">
        <v>4869</v>
      </c>
      <c r="D82" s="657" t="s">
        <v>4869</v>
      </c>
    </row>
    <row r="83" spans="1:7" ht="15.9">
      <c r="A83" s="657" t="s">
        <v>4871</v>
      </c>
      <c r="B83" s="657" t="s">
        <v>4871</v>
      </c>
      <c r="C83" s="657" t="s">
        <v>4871</v>
      </c>
      <c r="D83" s="657" t="s">
        <v>4871</v>
      </c>
    </row>
    <row r="84" spans="1:7" ht="15.9">
      <c r="A84" s="657" t="s">
        <v>4872</v>
      </c>
      <c r="B84" s="657" t="s">
        <v>4872</v>
      </c>
      <c r="C84" s="657" t="s">
        <v>4872</v>
      </c>
      <c r="D84" s="657" t="s">
        <v>4872</v>
      </c>
    </row>
    <row r="85" spans="1:7" ht="15.9">
      <c r="A85" s="657" t="s">
        <v>4873</v>
      </c>
      <c r="B85" s="657" t="s">
        <v>4873</v>
      </c>
      <c r="C85" s="657" t="s">
        <v>4873</v>
      </c>
      <c r="D85" s="657" t="s">
        <v>4873</v>
      </c>
    </row>
    <row r="86" spans="1:7" ht="15.9">
      <c r="A86" s="657" t="s">
        <v>4874</v>
      </c>
      <c r="B86" s="657" t="s">
        <v>4874</v>
      </c>
      <c r="C86" s="657" t="s">
        <v>4874</v>
      </c>
      <c r="D86" s="657" t="s">
        <v>4874</v>
      </c>
    </row>
    <row r="87" spans="1:7" ht="15.9">
      <c r="A87" s="657" t="s">
        <v>4875</v>
      </c>
      <c r="B87" s="657" t="s">
        <v>4875</v>
      </c>
      <c r="C87" s="657" t="s">
        <v>4875</v>
      </c>
      <c r="D87" s="657" t="s">
        <v>4875</v>
      </c>
    </row>
    <row r="88" spans="1:7" ht="15.9">
      <c r="A88" s="657" t="s">
        <v>4876</v>
      </c>
      <c r="B88" s="657" t="s">
        <v>4876</v>
      </c>
      <c r="C88" s="657" t="s">
        <v>4876</v>
      </c>
      <c r="D88" s="657" t="s">
        <v>4876</v>
      </c>
    </row>
    <row r="89" spans="1:7" ht="15.9">
      <c r="A89" s="657" t="s">
        <v>4877</v>
      </c>
      <c r="B89" s="657" t="s">
        <v>4877</v>
      </c>
      <c r="C89" s="657" t="s">
        <v>4877</v>
      </c>
      <c r="D89" s="657" t="s">
        <v>4877</v>
      </c>
    </row>
    <row r="90" spans="1:7" ht="15.9">
      <c r="A90" s="657" t="s">
        <v>4878</v>
      </c>
      <c r="B90" s="657" t="s">
        <v>4878</v>
      </c>
      <c r="C90" s="657" t="s">
        <v>4878</v>
      </c>
      <c r="D90" s="657" t="s">
        <v>4878</v>
      </c>
    </row>
    <row r="91" spans="1:7" ht="15.9">
      <c r="A91" s="657" t="s">
        <v>4879</v>
      </c>
      <c r="B91" s="657" t="s">
        <v>4879</v>
      </c>
      <c r="C91" s="657" t="s">
        <v>4879</v>
      </c>
      <c r="D91" s="657" t="s">
        <v>4879</v>
      </c>
    </row>
    <row r="92" spans="1:7" ht="15.9">
      <c r="A92" s="657" t="s">
        <v>4880</v>
      </c>
      <c r="B92" s="657" t="s">
        <v>4880</v>
      </c>
      <c r="C92" s="657" t="s">
        <v>4880</v>
      </c>
      <c r="D92" s="657" t="s">
        <v>4880</v>
      </c>
    </row>
    <row r="93" spans="1:7" ht="15.9">
      <c r="A93" s="657" t="s">
        <v>4881</v>
      </c>
      <c r="B93" s="657" t="s">
        <v>4881</v>
      </c>
      <c r="C93" s="657" t="s">
        <v>4881</v>
      </c>
      <c r="D93" s="657" t="s">
        <v>4881</v>
      </c>
    </row>
    <row r="94" spans="1:7" ht="15.9">
      <c r="A94" s="657" t="s">
        <v>4944</v>
      </c>
      <c r="B94" s="657" t="s">
        <v>4944</v>
      </c>
      <c r="C94" s="657" t="s">
        <v>4944</v>
      </c>
      <c r="D94" s="657" t="s">
        <v>4944</v>
      </c>
    </row>
    <row r="95" spans="1:7">
      <c r="A95" s="886" t="s">
        <v>4945</v>
      </c>
      <c r="B95" s="886"/>
      <c r="C95" s="886"/>
      <c r="D95" s="886"/>
      <c r="E95" s="886"/>
      <c r="F95" s="886"/>
      <c r="G95" s="886"/>
    </row>
    <row r="96" spans="1:7">
      <c r="A96" s="886"/>
      <c r="B96" s="886"/>
      <c r="C96" s="886"/>
      <c r="D96" s="886"/>
      <c r="E96" s="886"/>
      <c r="F96" s="886"/>
      <c r="G96" s="886"/>
    </row>
    <row r="97" spans="1:7">
      <c r="A97" s="886"/>
      <c r="B97" s="886"/>
      <c r="C97" s="886"/>
      <c r="D97" s="886"/>
      <c r="E97" s="886"/>
      <c r="F97" s="886"/>
      <c r="G97" s="886"/>
    </row>
    <row r="98" spans="1:7">
      <c r="A98" s="886"/>
      <c r="B98" s="886"/>
      <c r="C98" s="886"/>
      <c r="D98" s="886"/>
      <c r="E98" s="886"/>
      <c r="F98" s="886"/>
      <c r="G98" s="886"/>
    </row>
    <row r="99" spans="1:7">
      <c r="A99" s="886"/>
      <c r="B99" s="886"/>
      <c r="C99" s="886"/>
      <c r="D99" s="886"/>
      <c r="E99" s="886"/>
      <c r="F99" s="886"/>
      <c r="G99" s="886"/>
    </row>
    <row r="100" spans="1:7">
      <c r="A100" s="886"/>
      <c r="B100" s="886"/>
      <c r="C100" s="886"/>
      <c r="D100" s="886"/>
      <c r="E100" s="886"/>
      <c r="F100" s="886"/>
      <c r="G100" s="886"/>
    </row>
    <row r="101" spans="1:7">
      <c r="A101" s="886"/>
      <c r="B101" s="886"/>
      <c r="C101" s="886"/>
      <c r="D101" s="886"/>
      <c r="E101" s="886"/>
      <c r="F101" s="886"/>
      <c r="G101" s="886"/>
    </row>
    <row r="102" spans="1:7" ht="18.45">
      <c r="A102" s="661" t="s">
        <v>4946</v>
      </c>
      <c r="B102" s="661" t="s">
        <v>4947</v>
      </c>
      <c r="C102" s="661" t="s">
        <v>4948</v>
      </c>
      <c r="D102" s="661" t="s">
        <v>4949</v>
      </c>
      <c r="E102" s="661" t="s">
        <v>4950</v>
      </c>
      <c r="F102" s="661" t="s">
        <v>4951</v>
      </c>
      <c r="G102" s="661" t="s">
        <v>4952</v>
      </c>
    </row>
    <row r="103" spans="1:7" ht="15.9">
      <c r="A103" s="476" t="s">
        <v>4953</v>
      </c>
      <c r="B103" s="476" t="s">
        <v>4953</v>
      </c>
      <c r="C103" s="476" t="s">
        <v>4953</v>
      </c>
      <c r="D103" s="476" t="s">
        <v>4953</v>
      </c>
      <c r="E103" s="476" t="s">
        <v>4953</v>
      </c>
      <c r="F103" s="476" t="s">
        <v>4953</v>
      </c>
      <c r="G103" s="476" t="s">
        <v>4953</v>
      </c>
    </row>
    <row r="104" spans="1:7" ht="15.9">
      <c r="A104" s="476" t="s">
        <v>4954</v>
      </c>
      <c r="B104" s="476" t="s">
        <v>4954</v>
      </c>
      <c r="C104" s="476" t="s">
        <v>4954</v>
      </c>
      <c r="D104" s="476" t="s">
        <v>4954</v>
      </c>
      <c r="E104" s="476" t="s">
        <v>4954</v>
      </c>
      <c r="F104" s="476" t="s">
        <v>4954</v>
      </c>
      <c r="G104" s="476" t="s">
        <v>4954</v>
      </c>
    </row>
    <row r="105" spans="1:7" ht="15.9">
      <c r="A105" s="476" t="s">
        <v>4892</v>
      </c>
      <c r="B105" s="476" t="s">
        <v>4892</v>
      </c>
      <c r="C105" s="476" t="s">
        <v>4892</v>
      </c>
      <c r="D105" s="476" t="s">
        <v>4892</v>
      </c>
      <c r="E105" s="476" t="s">
        <v>4892</v>
      </c>
      <c r="F105" s="476" t="s">
        <v>4892</v>
      </c>
      <c r="G105" s="476" t="s">
        <v>4892</v>
      </c>
    </row>
    <row r="106" spans="1:7" ht="15.9">
      <c r="A106" s="641" t="s">
        <v>4955</v>
      </c>
      <c r="B106" s="641" t="s">
        <v>4955</v>
      </c>
      <c r="C106" s="641" t="s">
        <v>4956</v>
      </c>
      <c r="D106" s="641" t="s">
        <v>4955</v>
      </c>
      <c r="E106" s="641" t="s">
        <v>4955</v>
      </c>
      <c r="F106" s="641" t="s">
        <v>4955</v>
      </c>
      <c r="G106" s="641" t="s">
        <v>4955</v>
      </c>
    </row>
    <row r="107" spans="1:7" ht="15.9">
      <c r="A107" s="642" t="s">
        <v>4957</v>
      </c>
      <c r="B107" s="642" t="s">
        <v>4957</v>
      </c>
      <c r="C107" s="642" t="s">
        <v>4958</v>
      </c>
      <c r="D107" s="642" t="s">
        <v>4957</v>
      </c>
      <c r="E107" s="642" t="s">
        <v>4957</v>
      </c>
      <c r="F107" s="642" t="s">
        <v>4957</v>
      </c>
      <c r="G107" s="642" t="s">
        <v>4957</v>
      </c>
    </row>
    <row r="108" spans="1:7" ht="15.9">
      <c r="A108" s="643" t="s">
        <v>4959</v>
      </c>
      <c r="B108" s="643" t="s">
        <v>4959</v>
      </c>
      <c r="C108" s="643" t="s">
        <v>4960</v>
      </c>
      <c r="D108" s="643" t="s">
        <v>4959</v>
      </c>
      <c r="E108" s="643" t="s">
        <v>4959</v>
      </c>
      <c r="F108" s="643" t="s">
        <v>4959</v>
      </c>
      <c r="G108" s="643" t="s">
        <v>4959</v>
      </c>
    </row>
    <row r="109" spans="1:7" ht="15.9">
      <c r="A109" s="644" t="s">
        <v>4961</v>
      </c>
      <c r="B109" s="644" t="s">
        <v>4961</v>
      </c>
      <c r="C109" s="644" t="s">
        <v>4962</v>
      </c>
      <c r="D109" s="644" t="s">
        <v>4961</v>
      </c>
      <c r="E109" s="644" t="s">
        <v>4961</v>
      </c>
      <c r="F109" s="644" t="s">
        <v>4961</v>
      </c>
      <c r="G109" s="644" t="s">
        <v>4961</v>
      </c>
    </row>
    <row r="110" spans="1:7" ht="15.9">
      <c r="A110" s="645" t="s">
        <v>4963</v>
      </c>
      <c r="B110" s="645" t="s">
        <v>4963</v>
      </c>
      <c r="C110" s="645" t="s">
        <v>4963</v>
      </c>
      <c r="D110" s="645" t="s">
        <v>4963</v>
      </c>
      <c r="E110" s="645" t="s">
        <v>4963</v>
      </c>
      <c r="F110" s="645" t="s">
        <v>4963</v>
      </c>
      <c r="G110" s="645" t="s">
        <v>4963</v>
      </c>
    </row>
    <row r="111" spans="1:7" ht="15.9">
      <c r="A111" s="646" t="s">
        <v>4902</v>
      </c>
      <c r="B111" s="646" t="s">
        <v>4902</v>
      </c>
      <c r="C111" s="646" t="s">
        <v>4902</v>
      </c>
      <c r="D111" s="646" t="s">
        <v>4902</v>
      </c>
      <c r="E111" s="646" t="s">
        <v>4902</v>
      </c>
      <c r="F111" s="646" t="s">
        <v>4902</v>
      </c>
      <c r="G111" s="646" t="s">
        <v>4902</v>
      </c>
    </row>
    <row r="112" spans="1:7" ht="15.9">
      <c r="A112" s="647" t="s">
        <v>4813</v>
      </c>
      <c r="B112" s="647" t="s">
        <v>4813</v>
      </c>
      <c r="C112" s="647" t="s">
        <v>4813</v>
      </c>
      <c r="D112" s="647" t="s">
        <v>4813</v>
      </c>
      <c r="E112" s="647" t="s">
        <v>4813</v>
      </c>
      <c r="F112" s="647" t="s">
        <v>4813</v>
      </c>
      <c r="G112" s="647" t="s">
        <v>4813</v>
      </c>
    </row>
    <row r="113" spans="1:7" ht="15.9">
      <c r="A113" s="648" t="s">
        <v>4964</v>
      </c>
      <c r="B113" s="648" t="s">
        <v>4964</v>
      </c>
      <c r="C113" s="648" t="s">
        <v>4965</v>
      </c>
      <c r="D113" s="648" t="s">
        <v>4964</v>
      </c>
      <c r="E113" s="648" t="s">
        <v>4964</v>
      </c>
      <c r="F113" s="648" t="s">
        <v>4964</v>
      </c>
      <c r="G113" s="648" t="s">
        <v>4964</v>
      </c>
    </row>
    <row r="114" spans="1:7" ht="15.9">
      <c r="A114" s="454" t="s">
        <v>4966</v>
      </c>
      <c r="B114" s="454" t="s">
        <v>4966</v>
      </c>
      <c r="C114" s="454" t="s">
        <v>4967</v>
      </c>
      <c r="D114" s="454" t="s">
        <v>4966</v>
      </c>
      <c r="E114" s="454" t="s">
        <v>4966</v>
      </c>
      <c r="F114" s="454" t="s">
        <v>4966</v>
      </c>
      <c r="G114" s="454" t="s">
        <v>4966</v>
      </c>
    </row>
    <row r="115" spans="1:7" ht="15.9">
      <c r="A115" s="649" t="s">
        <v>4968</v>
      </c>
      <c r="B115" s="649" t="s">
        <v>4968</v>
      </c>
      <c r="C115" s="649" t="s">
        <v>4969</v>
      </c>
      <c r="D115" s="649" t="s">
        <v>4968</v>
      </c>
      <c r="E115" s="649" t="s">
        <v>4968</v>
      </c>
      <c r="F115" s="649" t="s">
        <v>4968</v>
      </c>
      <c r="G115" s="649" t="s">
        <v>4968</v>
      </c>
    </row>
    <row r="116" spans="1:7" ht="15.9">
      <c r="A116" s="650" t="s">
        <v>4970</v>
      </c>
      <c r="B116" s="650" t="s">
        <v>4970</v>
      </c>
      <c r="C116" s="650" t="s">
        <v>4971</v>
      </c>
      <c r="D116" s="650" t="s">
        <v>4970</v>
      </c>
      <c r="E116" s="650" t="s">
        <v>4970</v>
      </c>
      <c r="F116" s="650" t="s">
        <v>4970</v>
      </c>
      <c r="G116" s="650" t="s">
        <v>4970</v>
      </c>
    </row>
    <row r="117" spans="1:7" ht="15.9">
      <c r="A117" s="651" t="s">
        <v>4972</v>
      </c>
      <c r="B117" s="651" t="s">
        <v>4972</v>
      </c>
      <c r="C117" s="651" t="s">
        <v>4973</v>
      </c>
      <c r="D117" s="651" t="s">
        <v>4972</v>
      </c>
      <c r="E117" s="651" t="s">
        <v>4972</v>
      </c>
      <c r="F117" s="651" t="s">
        <v>4972</v>
      </c>
      <c r="G117" s="651" t="s">
        <v>4972</v>
      </c>
    </row>
    <row r="118" spans="1:7" ht="15.9">
      <c r="A118" s="652" t="s">
        <v>4974</v>
      </c>
      <c r="B118" s="652" t="s">
        <v>4974</v>
      </c>
      <c r="C118" s="652" t="s">
        <v>4975</v>
      </c>
      <c r="D118" s="652" t="s">
        <v>4974</v>
      </c>
      <c r="E118" s="652" t="s">
        <v>4974</v>
      </c>
      <c r="F118" s="652" t="s">
        <v>4974</v>
      </c>
      <c r="G118" s="652" t="s">
        <v>4974</v>
      </c>
    </row>
    <row r="119" spans="1:7" ht="15.9">
      <c r="A119" s="653" t="s">
        <v>4976</v>
      </c>
      <c r="B119" s="653" t="s">
        <v>4976</v>
      </c>
      <c r="C119" s="653" t="s">
        <v>4977</v>
      </c>
      <c r="D119" s="653" t="s">
        <v>4976</v>
      </c>
      <c r="E119" s="653" t="s">
        <v>4976</v>
      </c>
      <c r="F119" s="653" t="s">
        <v>4976</v>
      </c>
      <c r="G119" s="653" t="s">
        <v>4976</v>
      </c>
    </row>
    <row r="120" spans="1:7" ht="15.9">
      <c r="A120" s="646" t="s">
        <v>4978</v>
      </c>
      <c r="B120" s="646" t="s">
        <v>4978</v>
      </c>
      <c r="C120" s="646" t="s">
        <v>4979</v>
      </c>
      <c r="D120" s="646" t="s">
        <v>4978</v>
      </c>
      <c r="E120" s="646" t="s">
        <v>4978</v>
      </c>
      <c r="F120" s="646" t="s">
        <v>4978</v>
      </c>
      <c r="G120" s="646" t="s">
        <v>4978</v>
      </c>
    </row>
    <row r="121" spans="1:7" ht="15.9">
      <c r="A121" s="654" t="s">
        <v>4840</v>
      </c>
      <c r="B121" s="654" t="s">
        <v>4840</v>
      </c>
      <c r="C121" s="654" t="s">
        <v>4980</v>
      </c>
      <c r="D121" s="654" t="s">
        <v>4840</v>
      </c>
      <c r="E121" s="654" t="s">
        <v>4840</v>
      </c>
      <c r="F121" s="654" t="s">
        <v>4840</v>
      </c>
      <c r="G121" s="654" t="s">
        <v>4840</v>
      </c>
    </row>
    <row r="122" spans="1:7" ht="15.9">
      <c r="A122" s="655" t="s">
        <v>4981</v>
      </c>
      <c r="B122" s="655" t="s">
        <v>4981</v>
      </c>
      <c r="C122" s="655" t="s">
        <v>4982</v>
      </c>
      <c r="D122" s="655" t="s">
        <v>4981</v>
      </c>
      <c r="E122" s="655" t="s">
        <v>4981</v>
      </c>
      <c r="F122" s="655" t="s">
        <v>4981</v>
      </c>
      <c r="G122" s="655" t="s">
        <v>4981</v>
      </c>
    </row>
    <row r="123" spans="1:7" ht="15.9">
      <c r="A123" s="482" t="s">
        <v>4983</v>
      </c>
      <c r="B123" s="482" t="s">
        <v>4983</v>
      </c>
      <c r="C123" s="482" t="s">
        <v>4984</v>
      </c>
      <c r="D123" s="482" t="s">
        <v>4983</v>
      </c>
      <c r="E123" s="482" t="s">
        <v>4983</v>
      </c>
      <c r="F123" s="482" t="s">
        <v>4983</v>
      </c>
      <c r="G123" s="482" t="s">
        <v>4983</v>
      </c>
    </row>
    <row r="124" spans="1:7" ht="15.9">
      <c r="A124" s="656" t="s">
        <v>4985</v>
      </c>
      <c r="B124" s="656" t="s">
        <v>4985</v>
      </c>
      <c r="C124" s="656" t="s">
        <v>4986</v>
      </c>
      <c r="D124" s="656" t="s">
        <v>4985</v>
      </c>
      <c r="E124" s="656" t="s">
        <v>4985</v>
      </c>
      <c r="F124" s="656" t="s">
        <v>4985</v>
      </c>
      <c r="G124" s="656" t="s">
        <v>4985</v>
      </c>
    </row>
    <row r="125" spans="1:7" ht="15.9">
      <c r="A125" s="657" t="s">
        <v>4848</v>
      </c>
      <c r="B125" s="657" t="s">
        <v>4848</v>
      </c>
      <c r="C125" s="657" t="s">
        <v>4987</v>
      </c>
      <c r="D125" s="657" t="s">
        <v>4848</v>
      </c>
      <c r="E125" s="657" t="s">
        <v>4848</v>
      </c>
      <c r="F125" s="657" t="s">
        <v>4848</v>
      </c>
      <c r="G125" s="657" t="s">
        <v>4848</v>
      </c>
    </row>
    <row r="126" spans="1:7" ht="15.9">
      <c r="A126" s="658" t="s">
        <v>4852</v>
      </c>
      <c r="B126" s="658" t="s">
        <v>4852</v>
      </c>
      <c r="C126" s="658" t="s">
        <v>4988</v>
      </c>
      <c r="D126" s="658" t="s">
        <v>4852</v>
      </c>
      <c r="E126" s="658" t="s">
        <v>4852</v>
      </c>
      <c r="F126" s="658" t="s">
        <v>4852</v>
      </c>
      <c r="G126" s="658" t="s">
        <v>4852</v>
      </c>
    </row>
    <row r="127" spans="1:7" ht="15.9">
      <c r="A127" s="659" t="s">
        <v>4989</v>
      </c>
      <c r="B127" s="659" t="s">
        <v>4989</v>
      </c>
      <c r="C127" s="659" t="s">
        <v>655</v>
      </c>
      <c r="D127" s="659" t="s">
        <v>4989</v>
      </c>
      <c r="E127" s="659" t="s">
        <v>4989</v>
      </c>
      <c r="F127" s="659" t="s">
        <v>4989</v>
      </c>
      <c r="G127" s="659" t="s">
        <v>4989</v>
      </c>
    </row>
    <row r="128" spans="1:7" ht="31.75">
      <c r="A128" s="662" t="s">
        <v>4990</v>
      </c>
      <c r="B128" s="662" t="s">
        <v>4990</v>
      </c>
      <c r="C128" s="659" t="s">
        <v>655</v>
      </c>
      <c r="D128" s="659" t="s">
        <v>4990</v>
      </c>
      <c r="E128" s="659" t="s">
        <v>4990</v>
      </c>
      <c r="F128" s="659" t="s">
        <v>4990</v>
      </c>
      <c r="G128" s="659" t="s">
        <v>4990</v>
      </c>
    </row>
    <row r="129" spans="1:7" ht="15.9">
      <c r="A129" s="659" t="s">
        <v>4991</v>
      </c>
      <c r="B129" s="659" t="s">
        <v>4991</v>
      </c>
      <c r="C129" s="659" t="s">
        <v>655</v>
      </c>
      <c r="D129" s="659" t="s">
        <v>4991</v>
      </c>
      <c r="E129" s="659" t="s">
        <v>4991</v>
      </c>
      <c r="F129" s="659" t="s">
        <v>4991</v>
      </c>
      <c r="G129" s="659" t="s">
        <v>4991</v>
      </c>
    </row>
    <row r="130" spans="1:7" ht="31.75">
      <c r="A130" s="662" t="s">
        <v>4992</v>
      </c>
      <c r="B130" s="659" t="s">
        <v>4992</v>
      </c>
      <c r="C130" s="659" t="s">
        <v>655</v>
      </c>
      <c r="D130" s="659" t="s">
        <v>4992</v>
      </c>
      <c r="E130" s="659" t="s">
        <v>4992</v>
      </c>
      <c r="F130" s="659" t="s">
        <v>4992</v>
      </c>
      <c r="G130" s="659" t="s">
        <v>4992</v>
      </c>
    </row>
    <row r="131" spans="1:7" ht="31.75">
      <c r="A131" s="662" t="s">
        <v>4993</v>
      </c>
      <c r="B131" s="659" t="s">
        <v>4993</v>
      </c>
      <c r="C131" s="659" t="s">
        <v>655</v>
      </c>
      <c r="D131" s="659" t="s">
        <v>4993</v>
      </c>
      <c r="E131" s="659" t="s">
        <v>4993</v>
      </c>
      <c r="F131" s="659" t="s">
        <v>4993</v>
      </c>
      <c r="G131" s="659" t="s">
        <v>4993</v>
      </c>
    </row>
    <row r="132" spans="1:7" ht="18" customHeight="1">
      <c r="A132" s="657" t="s">
        <v>4994</v>
      </c>
      <c r="B132" s="657" t="s">
        <v>4994</v>
      </c>
      <c r="C132" s="657" t="s">
        <v>4994</v>
      </c>
      <c r="D132" s="657" t="s">
        <v>4994</v>
      </c>
      <c r="E132" s="657" t="s">
        <v>4994</v>
      </c>
      <c r="F132" s="657" t="s">
        <v>4994</v>
      </c>
      <c r="G132" s="657" t="s">
        <v>4994</v>
      </c>
    </row>
    <row r="133" spans="1:7" ht="15.9">
      <c r="A133" s="657" t="s">
        <v>4871</v>
      </c>
      <c r="B133" s="657" t="s">
        <v>4871</v>
      </c>
      <c r="C133" s="657" t="s">
        <v>4871</v>
      </c>
      <c r="D133" s="657" t="s">
        <v>4871</v>
      </c>
      <c r="E133" s="657" t="s">
        <v>4871</v>
      </c>
      <c r="F133" s="657" t="s">
        <v>4871</v>
      </c>
      <c r="G133" s="657" t="s">
        <v>4871</v>
      </c>
    </row>
    <row r="134" spans="1:7" ht="15.9">
      <c r="A134" s="657" t="s">
        <v>4872</v>
      </c>
      <c r="B134" s="657" t="s">
        <v>4872</v>
      </c>
      <c r="C134" s="657" t="s">
        <v>4872</v>
      </c>
      <c r="D134" s="657" t="s">
        <v>4872</v>
      </c>
      <c r="E134" s="657" t="s">
        <v>4872</v>
      </c>
      <c r="F134" s="657" t="s">
        <v>4872</v>
      </c>
      <c r="G134" s="657" t="s">
        <v>4872</v>
      </c>
    </row>
    <row r="135" spans="1:7" ht="16.5" customHeight="1">
      <c r="A135" s="657" t="s">
        <v>4995</v>
      </c>
      <c r="B135" s="657" t="s">
        <v>4995</v>
      </c>
      <c r="C135" s="657" t="s">
        <v>4873</v>
      </c>
      <c r="D135" s="657" t="s">
        <v>4995</v>
      </c>
      <c r="E135" s="657" t="s">
        <v>4995</v>
      </c>
      <c r="F135" s="657" t="s">
        <v>4995</v>
      </c>
      <c r="G135" s="657" t="s">
        <v>4995</v>
      </c>
    </row>
    <row r="136" spans="1:7" ht="15.9">
      <c r="A136" s="657" t="s">
        <v>4874</v>
      </c>
      <c r="B136" s="657" t="s">
        <v>4874</v>
      </c>
      <c r="C136" s="657" t="s">
        <v>4874</v>
      </c>
      <c r="D136" s="657" t="s">
        <v>4874</v>
      </c>
      <c r="E136" s="657" t="s">
        <v>4874</v>
      </c>
      <c r="F136" s="657" t="s">
        <v>4874</v>
      </c>
      <c r="G136" s="657" t="s">
        <v>4874</v>
      </c>
    </row>
    <row r="137" spans="1:7" ht="15.9">
      <c r="A137" s="657" t="s">
        <v>4875</v>
      </c>
      <c r="B137" s="657" t="s">
        <v>4875</v>
      </c>
      <c r="C137" s="657" t="s">
        <v>4875</v>
      </c>
      <c r="D137" s="657" t="s">
        <v>4875</v>
      </c>
      <c r="E137" s="657" t="s">
        <v>4875</v>
      </c>
      <c r="F137" s="657" t="s">
        <v>4875</v>
      </c>
      <c r="G137" s="657" t="s">
        <v>4875</v>
      </c>
    </row>
    <row r="138" spans="1:7" ht="15.9">
      <c r="A138" s="657" t="s">
        <v>4876</v>
      </c>
      <c r="B138" s="657" t="s">
        <v>4876</v>
      </c>
      <c r="C138" s="657" t="s">
        <v>4876</v>
      </c>
      <c r="D138" s="657" t="s">
        <v>4876</v>
      </c>
      <c r="E138" s="657" t="s">
        <v>4876</v>
      </c>
      <c r="F138" s="657" t="s">
        <v>4876</v>
      </c>
      <c r="G138" s="657" t="s">
        <v>4876</v>
      </c>
    </row>
    <row r="139" spans="1:7" ht="15.9">
      <c r="A139" s="657" t="s">
        <v>4877</v>
      </c>
      <c r="B139" s="657" t="s">
        <v>4877</v>
      </c>
      <c r="C139" s="657" t="s">
        <v>4877</v>
      </c>
      <c r="D139" s="657" t="s">
        <v>4877</v>
      </c>
      <c r="E139" s="657" t="s">
        <v>4877</v>
      </c>
      <c r="F139" s="657" t="s">
        <v>4877</v>
      </c>
      <c r="G139" s="657" t="s">
        <v>4877</v>
      </c>
    </row>
    <row r="140" spans="1:7" ht="15.9">
      <c r="A140" s="657" t="s">
        <v>4878</v>
      </c>
      <c r="B140" s="657" t="s">
        <v>4878</v>
      </c>
      <c r="C140" s="657" t="s">
        <v>4878</v>
      </c>
      <c r="D140" s="657" t="s">
        <v>4878</v>
      </c>
      <c r="E140" s="657" t="s">
        <v>4878</v>
      </c>
      <c r="F140" s="657" t="s">
        <v>4878</v>
      </c>
      <c r="G140" s="657" t="s">
        <v>4878</v>
      </c>
    </row>
    <row r="141" spans="1:7" ht="15.9">
      <c r="A141" s="657" t="s">
        <v>4879</v>
      </c>
      <c r="B141" s="657" t="s">
        <v>4879</v>
      </c>
      <c r="C141" s="657" t="s">
        <v>4879</v>
      </c>
      <c r="D141" s="657" t="s">
        <v>4879</v>
      </c>
      <c r="E141" s="657" t="s">
        <v>4879</v>
      </c>
      <c r="F141" s="657" t="s">
        <v>4879</v>
      </c>
      <c r="G141" s="657" t="s">
        <v>4879</v>
      </c>
    </row>
    <row r="142" spans="1:7" ht="16.5" customHeight="1">
      <c r="A142" s="657" t="s">
        <v>4996</v>
      </c>
      <c r="B142" s="657" t="s">
        <v>4997</v>
      </c>
      <c r="C142" s="657" t="s">
        <v>4880</v>
      </c>
      <c r="D142" s="657" t="s">
        <v>4997</v>
      </c>
      <c r="E142" s="657" t="s">
        <v>4997</v>
      </c>
      <c r="F142" s="657" t="s">
        <v>4997</v>
      </c>
      <c r="G142" s="657" t="s">
        <v>4997</v>
      </c>
    </row>
    <row r="143" spans="1:7" ht="15.9">
      <c r="A143" s="657" t="s">
        <v>4881</v>
      </c>
      <c r="B143" s="657" t="s">
        <v>4881</v>
      </c>
      <c r="C143" s="657" t="s">
        <v>4881</v>
      </c>
      <c r="D143" s="657" t="s">
        <v>4881</v>
      </c>
      <c r="E143" s="657" t="s">
        <v>4881</v>
      </c>
      <c r="F143" s="657" t="s">
        <v>4881</v>
      </c>
      <c r="G143" s="657" t="s">
        <v>4881</v>
      </c>
    </row>
    <row r="144" spans="1:7" ht="15.9">
      <c r="A144" s="657" t="s">
        <v>4944</v>
      </c>
      <c r="B144" s="657" t="s">
        <v>4944</v>
      </c>
      <c r="C144" s="657" t="s">
        <v>4944</v>
      </c>
      <c r="D144" s="657" t="s">
        <v>4944</v>
      </c>
      <c r="E144" s="657" t="s">
        <v>4944</v>
      </c>
      <c r="F144" s="657" t="s">
        <v>4944</v>
      </c>
      <c r="G144" s="657" t="s">
        <v>4944</v>
      </c>
    </row>
    <row r="145" spans="1:7">
      <c r="A145" s="887" t="s">
        <v>4998</v>
      </c>
      <c r="B145" s="887"/>
      <c r="C145" s="887"/>
      <c r="D145" s="887"/>
      <c r="E145" s="887"/>
      <c r="F145" s="887"/>
      <c r="G145" s="887"/>
    </row>
    <row r="146" spans="1:7">
      <c r="A146" s="887"/>
      <c r="B146" s="887"/>
      <c r="C146" s="887"/>
      <c r="D146" s="887"/>
      <c r="E146" s="887"/>
      <c r="F146" s="887"/>
      <c r="G146" s="887"/>
    </row>
    <row r="147" spans="1:7">
      <c r="A147" s="887"/>
      <c r="B147" s="887"/>
      <c r="C147" s="887"/>
      <c r="D147" s="887"/>
      <c r="E147" s="887"/>
      <c r="F147" s="887"/>
      <c r="G147" s="887"/>
    </row>
    <row r="148" spans="1:7">
      <c r="A148" s="887"/>
      <c r="B148" s="887"/>
      <c r="C148" s="887"/>
      <c r="D148" s="887"/>
      <c r="E148" s="887"/>
      <c r="F148" s="887"/>
      <c r="G148" s="887"/>
    </row>
    <row r="149" spans="1:7">
      <c r="A149" s="887"/>
      <c r="B149" s="887"/>
      <c r="C149" s="887"/>
      <c r="D149" s="887"/>
      <c r="E149" s="887"/>
      <c r="F149" s="887"/>
      <c r="G149" s="887"/>
    </row>
    <row r="150" spans="1:7">
      <c r="A150" s="887"/>
      <c r="B150" s="887"/>
      <c r="C150" s="887"/>
      <c r="D150" s="887"/>
      <c r="E150" s="887"/>
      <c r="F150" s="887"/>
      <c r="G150" s="887"/>
    </row>
    <row r="151" spans="1:7" ht="14.6" thickBot="1">
      <c r="A151" s="887"/>
      <c r="B151" s="887"/>
      <c r="C151" s="887"/>
      <c r="D151" s="887"/>
      <c r="E151" s="887"/>
      <c r="F151" s="887"/>
      <c r="G151" s="887"/>
    </row>
    <row r="152" spans="1:7" ht="19.3" thickTop="1" thickBot="1">
      <c r="A152" s="663" t="s">
        <v>4999</v>
      </c>
      <c r="B152" s="663" t="s">
        <v>5000</v>
      </c>
      <c r="C152" s="663" t="s">
        <v>5001</v>
      </c>
      <c r="D152" s="663" t="s">
        <v>5920</v>
      </c>
    </row>
    <row r="153" spans="1:7" ht="16.3" thickTop="1">
      <c r="A153" s="476" t="s">
        <v>5002</v>
      </c>
      <c r="B153" s="476" t="s">
        <v>5003</v>
      </c>
      <c r="C153" s="476" t="s">
        <v>5002</v>
      </c>
      <c r="D153" s="476" t="s">
        <v>5003</v>
      </c>
    </row>
    <row r="154" spans="1:7" ht="15.9">
      <c r="A154" s="476" t="s">
        <v>4954</v>
      </c>
      <c r="B154" s="476" t="s">
        <v>4954</v>
      </c>
      <c r="C154" s="476" t="s">
        <v>4954</v>
      </c>
      <c r="D154" s="476" t="s">
        <v>4954</v>
      </c>
    </row>
    <row r="155" spans="1:7" ht="15.9">
      <c r="A155" s="476" t="s">
        <v>4892</v>
      </c>
      <c r="B155" s="476" t="s">
        <v>4892</v>
      </c>
      <c r="C155" s="476" t="s">
        <v>4892</v>
      </c>
      <c r="D155" s="476" t="s">
        <v>4892</v>
      </c>
    </row>
    <row r="156" spans="1:7" ht="15.9">
      <c r="A156" s="641" t="s">
        <v>5004</v>
      </c>
      <c r="B156" s="641" t="s">
        <v>5005</v>
      </c>
      <c r="C156" s="641" t="s">
        <v>5004</v>
      </c>
      <c r="D156" s="641" t="s">
        <v>5921</v>
      </c>
    </row>
    <row r="157" spans="1:7" ht="15.9">
      <c r="A157" s="642" t="s">
        <v>5006</v>
      </c>
      <c r="B157" s="642" t="s">
        <v>5007</v>
      </c>
      <c r="C157" s="642" t="s">
        <v>5006</v>
      </c>
      <c r="D157" s="642" t="s">
        <v>5922</v>
      </c>
    </row>
    <row r="158" spans="1:7" ht="15.9">
      <c r="A158" s="643" t="s">
        <v>4959</v>
      </c>
      <c r="B158" s="643" t="s">
        <v>4805</v>
      </c>
      <c r="C158" s="643" t="s">
        <v>5008</v>
      </c>
      <c r="D158" s="643" t="s">
        <v>4959</v>
      </c>
    </row>
    <row r="159" spans="1:7" ht="15.9">
      <c r="A159" s="644" t="s">
        <v>4961</v>
      </c>
      <c r="B159" s="644" t="s">
        <v>4961</v>
      </c>
      <c r="C159" s="644" t="s">
        <v>5009</v>
      </c>
      <c r="D159" s="644" t="s">
        <v>5059</v>
      </c>
    </row>
    <row r="160" spans="1:7" ht="15.9">
      <c r="A160" s="645" t="s">
        <v>5010</v>
      </c>
      <c r="B160" s="645" t="s">
        <v>5011</v>
      </c>
      <c r="C160" s="645" t="s">
        <v>5012</v>
      </c>
      <c r="D160" s="645" t="s">
        <v>5923</v>
      </c>
    </row>
    <row r="161" spans="1:4" ht="15.9">
      <c r="A161" s="646" t="s">
        <v>5013</v>
      </c>
      <c r="B161" s="646" t="s">
        <v>5014</v>
      </c>
      <c r="C161" s="646" t="s">
        <v>5015</v>
      </c>
      <c r="D161" s="646" t="s">
        <v>5924</v>
      </c>
    </row>
    <row r="162" spans="1:4" ht="15.9">
      <c r="A162" s="647" t="s">
        <v>5016</v>
      </c>
      <c r="B162" s="647" t="s">
        <v>5017</v>
      </c>
      <c r="C162" s="647" t="s">
        <v>4815</v>
      </c>
      <c r="D162" s="647" t="s">
        <v>5925</v>
      </c>
    </row>
    <row r="163" spans="1:4" ht="15.9">
      <c r="A163" s="648" t="s">
        <v>5018</v>
      </c>
      <c r="B163" s="648" t="s">
        <v>5019</v>
      </c>
      <c r="C163" s="648" t="s">
        <v>4818</v>
      </c>
      <c r="D163" s="648" t="s">
        <v>5926</v>
      </c>
    </row>
    <row r="164" spans="1:4" ht="15.9">
      <c r="A164" s="454" t="s">
        <v>5020</v>
      </c>
      <c r="B164" s="454" t="s">
        <v>5021</v>
      </c>
      <c r="C164" s="454" t="s">
        <v>4820</v>
      </c>
      <c r="D164" s="454" t="s">
        <v>5927</v>
      </c>
    </row>
    <row r="165" spans="1:4" ht="15.9">
      <c r="A165" s="649" t="s">
        <v>5022</v>
      </c>
      <c r="B165" s="649" t="s">
        <v>5023</v>
      </c>
      <c r="C165" s="649" t="s">
        <v>5024</v>
      </c>
      <c r="D165" s="649" t="s">
        <v>5928</v>
      </c>
    </row>
    <row r="166" spans="1:4" ht="15.9">
      <c r="A166" s="650" t="s">
        <v>5025</v>
      </c>
      <c r="B166" s="650" t="s">
        <v>5026</v>
      </c>
      <c r="C166" s="650" t="s">
        <v>5027</v>
      </c>
      <c r="D166" s="650" t="s">
        <v>5929</v>
      </c>
    </row>
    <row r="167" spans="1:4" ht="15.9">
      <c r="A167" s="651" t="s">
        <v>5028</v>
      </c>
      <c r="B167" s="651" t="s">
        <v>5029</v>
      </c>
      <c r="C167" s="651" t="s">
        <v>4916</v>
      </c>
      <c r="D167" s="651" t="s">
        <v>5930</v>
      </c>
    </row>
    <row r="168" spans="1:4" ht="15.9">
      <c r="A168" s="652" t="s">
        <v>5030</v>
      </c>
      <c r="B168" s="652" t="s">
        <v>5031</v>
      </c>
      <c r="C168" s="652" t="s">
        <v>4918</v>
      </c>
      <c r="D168" s="652" t="s">
        <v>5931</v>
      </c>
    </row>
    <row r="169" spans="1:4" ht="15.9">
      <c r="A169" s="653" t="s">
        <v>5032</v>
      </c>
      <c r="B169" s="653" t="s">
        <v>4834</v>
      </c>
      <c r="C169" s="653" t="s">
        <v>4834</v>
      </c>
      <c r="D169" s="653" t="s">
        <v>5932</v>
      </c>
    </row>
    <row r="170" spans="1:4" ht="15.9">
      <c r="A170" s="646" t="s">
        <v>4978</v>
      </c>
      <c r="B170" s="646" t="s">
        <v>4837</v>
      </c>
      <c r="C170" s="646" t="s">
        <v>5033</v>
      </c>
      <c r="D170" s="646" t="s">
        <v>4838</v>
      </c>
    </row>
    <row r="171" spans="1:4" ht="15.9">
      <c r="A171" s="654" t="s">
        <v>5034</v>
      </c>
      <c r="B171" s="654" t="s">
        <v>5035</v>
      </c>
      <c r="C171" s="654" t="s">
        <v>5036</v>
      </c>
      <c r="D171" s="654" t="s">
        <v>5933</v>
      </c>
    </row>
    <row r="172" spans="1:4" ht="15.9">
      <c r="A172" s="655" t="s">
        <v>4842</v>
      </c>
      <c r="B172" s="655" t="s">
        <v>4841</v>
      </c>
      <c r="C172" s="655" t="s">
        <v>4924</v>
      </c>
      <c r="D172" s="655" t="s">
        <v>4841</v>
      </c>
    </row>
    <row r="173" spans="1:4" ht="15.9">
      <c r="A173" s="482" t="s">
        <v>5037</v>
      </c>
      <c r="B173" s="482" t="s">
        <v>5038</v>
      </c>
      <c r="C173" s="482" t="s">
        <v>5039</v>
      </c>
      <c r="D173" s="482" t="s">
        <v>5934</v>
      </c>
    </row>
    <row r="174" spans="1:4" ht="15.9">
      <c r="A174" s="656" t="s">
        <v>5040</v>
      </c>
      <c r="B174" s="656" t="s">
        <v>5040</v>
      </c>
      <c r="C174" s="656" t="s">
        <v>5040</v>
      </c>
      <c r="D174" s="656" t="s">
        <v>5935</v>
      </c>
    </row>
    <row r="175" spans="1:4" ht="15.9">
      <c r="A175" s="657" t="s">
        <v>4847</v>
      </c>
      <c r="B175" s="657" t="s">
        <v>4847</v>
      </c>
      <c r="C175" s="657" t="s">
        <v>4847</v>
      </c>
      <c r="D175" s="657" t="s">
        <v>5936</v>
      </c>
    </row>
    <row r="176" spans="1:4" ht="15.9">
      <c r="A176" s="658" t="s">
        <v>4852</v>
      </c>
      <c r="B176" s="658" t="s">
        <v>4852</v>
      </c>
      <c r="C176" s="658" t="s">
        <v>4852</v>
      </c>
      <c r="D176" s="658" t="s">
        <v>4852</v>
      </c>
    </row>
    <row r="177" spans="1:4" ht="47.6">
      <c r="A177" s="482" t="s">
        <v>5041</v>
      </c>
      <c r="B177" s="482" t="s">
        <v>5042</v>
      </c>
      <c r="C177" s="482" t="s">
        <v>5043</v>
      </c>
      <c r="D177" s="482" t="s">
        <v>5937</v>
      </c>
    </row>
    <row r="178" spans="1:4" ht="31.75">
      <c r="A178" s="482" t="s">
        <v>5044</v>
      </c>
      <c r="B178" s="482" t="s">
        <v>5045</v>
      </c>
      <c r="C178" s="482" t="s">
        <v>5046</v>
      </c>
      <c r="D178" s="482" t="s">
        <v>5938</v>
      </c>
    </row>
    <row r="179" spans="1:4" ht="31.75">
      <c r="A179" s="482" t="s">
        <v>5047</v>
      </c>
      <c r="B179" s="482" t="s">
        <v>5048</v>
      </c>
      <c r="C179" s="482" t="s">
        <v>5049</v>
      </c>
      <c r="D179" s="482" t="s">
        <v>5048</v>
      </c>
    </row>
    <row r="180" spans="1:4" ht="31.75">
      <c r="A180" s="482" t="s">
        <v>5050</v>
      </c>
      <c r="B180" s="482" t="s">
        <v>5051</v>
      </c>
      <c r="C180" s="482" t="s">
        <v>5052</v>
      </c>
      <c r="D180" s="482" t="s">
        <v>5939</v>
      </c>
    </row>
    <row r="181" spans="1:4" ht="47.6">
      <c r="A181" s="482" t="s">
        <v>5053</v>
      </c>
      <c r="B181" s="482" t="s">
        <v>5054</v>
      </c>
      <c r="C181" s="482" t="s">
        <v>5055</v>
      </c>
      <c r="D181" s="482" t="s">
        <v>5940</v>
      </c>
    </row>
    <row r="194" ht="16.5" customHeight="1"/>
    <row r="293" spans="1:1" ht="18.45">
      <c r="A293" s="663" t="s">
        <v>5056</v>
      </c>
    </row>
    <row r="294" spans="1:1" ht="15.9">
      <c r="A294" s="476" t="s">
        <v>5002</v>
      </c>
    </row>
    <row r="295" spans="1:1" ht="15.9">
      <c r="A295" s="476" t="s">
        <v>4954</v>
      </c>
    </row>
    <row r="296" spans="1:1" ht="15.9">
      <c r="A296" s="476" t="s">
        <v>4892</v>
      </c>
    </row>
    <row r="297" spans="1:1" ht="15.9">
      <c r="A297" s="641" t="s">
        <v>5057</v>
      </c>
    </row>
    <row r="298" spans="1:1" ht="15.9">
      <c r="A298" s="642" t="s">
        <v>5006</v>
      </c>
    </row>
    <row r="299" spans="1:1" ht="15.9">
      <c r="A299" s="643" t="s">
        <v>5058</v>
      </c>
    </row>
    <row r="300" spans="1:1" ht="15.9">
      <c r="A300" s="644" t="s">
        <v>5059</v>
      </c>
    </row>
    <row r="301" spans="1:1" ht="15.9">
      <c r="A301" s="645" t="s">
        <v>5010</v>
      </c>
    </row>
    <row r="302" spans="1:1" ht="15.9">
      <c r="A302" s="646" t="s">
        <v>5013</v>
      </c>
    </row>
    <row r="303" spans="1:1" ht="15.9">
      <c r="A303" s="647" t="s">
        <v>5016</v>
      </c>
    </row>
    <row r="304" spans="1:1" ht="15.9">
      <c r="A304" s="648" t="s">
        <v>5018</v>
      </c>
    </row>
    <row r="305" spans="1:1" ht="15.9">
      <c r="A305" s="454" t="s">
        <v>5020</v>
      </c>
    </row>
    <row r="306" spans="1:1" ht="15.9">
      <c r="A306" s="649" t="s">
        <v>5022</v>
      </c>
    </row>
    <row r="307" spans="1:1" ht="15.9">
      <c r="A307" s="650" t="s">
        <v>5025</v>
      </c>
    </row>
    <row r="308" spans="1:1" ht="15.9">
      <c r="A308" s="651" t="s">
        <v>5028</v>
      </c>
    </row>
    <row r="309" spans="1:1" ht="15.9">
      <c r="A309" s="652" t="s">
        <v>5030</v>
      </c>
    </row>
    <row r="310" spans="1:1" ht="15.9">
      <c r="A310" s="653" t="s">
        <v>5032</v>
      </c>
    </row>
    <row r="311" spans="1:1" ht="15.9">
      <c r="A311" s="646" t="s">
        <v>4978</v>
      </c>
    </row>
    <row r="312" spans="1:1" ht="15.9">
      <c r="A312" s="654" t="s">
        <v>5034</v>
      </c>
    </row>
    <row r="313" spans="1:1" ht="15.9">
      <c r="A313" s="655" t="s">
        <v>4842</v>
      </c>
    </row>
    <row r="314" spans="1:1" ht="15.9">
      <c r="A314" s="482" t="s">
        <v>5060</v>
      </c>
    </row>
    <row r="315" spans="1:1" ht="15.9">
      <c r="A315" s="656" t="s">
        <v>5040</v>
      </c>
    </row>
    <row r="316" spans="1:1" ht="15.9">
      <c r="A316" s="657" t="s">
        <v>4847</v>
      </c>
    </row>
    <row r="317" spans="1:1" ht="15.9">
      <c r="A317" s="658" t="s">
        <v>4852</v>
      </c>
    </row>
    <row r="318" spans="1:1" ht="31.75">
      <c r="A318" s="482" t="s">
        <v>5041</v>
      </c>
    </row>
    <row r="319" spans="1:1" ht="15.9">
      <c r="A319" s="482" t="s">
        <v>5061</v>
      </c>
    </row>
    <row r="320" spans="1:1" ht="15.9">
      <c r="A320" s="482" t="s">
        <v>5047</v>
      </c>
    </row>
    <row r="321" spans="1:1" ht="15.9">
      <c r="A321" s="482" t="s">
        <v>5050</v>
      </c>
    </row>
    <row r="322" spans="1:1" ht="31.75">
      <c r="A322" s="482" t="s">
        <v>5053</v>
      </c>
    </row>
  </sheetData>
  <mergeCells count="3">
    <mergeCell ref="A1:G7"/>
    <mergeCell ref="A95:G101"/>
    <mergeCell ref="A145:G151"/>
  </mergeCells>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B1" zoomScaleNormal="100" workbookViewId="0">
      <selection activeCell="B21" sqref="B21"/>
    </sheetView>
  </sheetViews>
  <sheetFormatPr defaultColWidth="9" defaultRowHeight="14.15"/>
  <cols>
    <col min="1" max="1" width="155.85546875" style="21" bestFit="1" customWidth="1"/>
    <col min="2" max="2" width="208.5" style="21" bestFit="1" customWidth="1"/>
    <col min="3" max="3" width="192" style="21" customWidth="1"/>
    <col min="4" max="4" width="212" style="21" customWidth="1"/>
    <col min="5" max="12" width="9" style="21"/>
    <col min="14" max="16384" width="9" style="21"/>
  </cols>
  <sheetData>
    <row r="1" spans="1:4" ht="17.600000000000001">
      <c r="A1" s="667" t="s">
        <v>5065</v>
      </c>
      <c r="B1" s="666" t="s">
        <v>5064</v>
      </c>
      <c r="C1" s="664" t="s">
        <v>5062</v>
      </c>
      <c r="D1" s="665" t="s">
        <v>5063</v>
      </c>
    </row>
    <row r="2" spans="1:4" ht="14.25" customHeight="1">
      <c r="A2" s="669" t="s">
        <v>5069</v>
      </c>
      <c r="B2" s="669" t="s">
        <v>5068</v>
      </c>
      <c r="C2" s="668" t="s">
        <v>5066</v>
      </c>
      <c r="D2" s="532" t="s">
        <v>5067</v>
      </c>
    </row>
    <row r="3" spans="1:4" ht="15.45">
      <c r="A3" s="669" t="s">
        <v>5073</v>
      </c>
      <c r="B3" s="669" t="s">
        <v>5072</v>
      </c>
      <c r="C3" s="668" t="s">
        <v>5070</v>
      </c>
      <c r="D3" s="532" t="s">
        <v>5071</v>
      </c>
    </row>
    <row r="4" spans="1:4" ht="15.45">
      <c r="A4" s="669" t="s">
        <v>5077</v>
      </c>
      <c r="B4" s="669" t="s">
        <v>5076</v>
      </c>
      <c r="C4" s="668" t="s">
        <v>5074</v>
      </c>
      <c r="D4" s="669" t="s">
        <v>5075</v>
      </c>
    </row>
    <row r="5" spans="1:4" ht="15.45">
      <c r="A5" s="669" t="s">
        <v>5081</v>
      </c>
      <c r="B5" s="669" t="s">
        <v>5080</v>
      </c>
      <c r="C5" s="668" t="s">
        <v>5078</v>
      </c>
      <c r="D5" s="669" t="s">
        <v>5079</v>
      </c>
    </row>
    <row r="6" spans="1:4" ht="15.45">
      <c r="A6" s="669" t="s">
        <v>5085</v>
      </c>
      <c r="B6" s="669" t="s">
        <v>5084</v>
      </c>
      <c r="C6" s="668" t="s">
        <v>5082</v>
      </c>
      <c r="D6" s="669" t="s">
        <v>5083</v>
      </c>
    </row>
    <row r="7" spans="1:4" ht="15.45">
      <c r="A7" s="669" t="s">
        <v>5089</v>
      </c>
      <c r="B7" s="669" t="s">
        <v>5088</v>
      </c>
      <c r="C7" s="668" t="s">
        <v>5086</v>
      </c>
      <c r="D7" s="532" t="s">
        <v>5087</v>
      </c>
    </row>
    <row r="8" spans="1:4" ht="15.45">
      <c r="A8" s="669" t="s">
        <v>5093</v>
      </c>
      <c r="B8" s="669" t="s">
        <v>5092</v>
      </c>
      <c r="C8" s="668" t="s">
        <v>5090</v>
      </c>
      <c r="D8" s="532" t="s">
        <v>5091</v>
      </c>
    </row>
    <row r="9" spans="1:4" ht="15.45">
      <c r="A9" s="669" t="s">
        <v>5096</v>
      </c>
      <c r="B9" s="669" t="s">
        <v>5095</v>
      </c>
      <c r="C9" s="668" t="s">
        <v>5097</v>
      </c>
      <c r="D9" s="669" t="s">
        <v>5094</v>
      </c>
    </row>
    <row r="10" spans="1:4" ht="15.45">
      <c r="A10" s="669" t="s">
        <v>5100</v>
      </c>
      <c r="B10" s="669" t="s">
        <v>5099</v>
      </c>
      <c r="C10" s="668" t="s">
        <v>5101</v>
      </c>
      <c r="D10" s="669" t="s">
        <v>5098</v>
      </c>
    </row>
    <row r="11" spans="1:4" ht="15.45">
      <c r="A11" s="669" t="s">
        <v>5104</v>
      </c>
      <c r="B11" s="669" t="s">
        <v>5103</v>
      </c>
      <c r="C11" s="668" t="s">
        <v>5105</v>
      </c>
      <c r="D11" s="669" t="s">
        <v>5102</v>
      </c>
    </row>
    <row r="12" spans="1:4" ht="30.9">
      <c r="A12" s="669" t="s">
        <v>5108</v>
      </c>
      <c r="B12" s="669" t="s">
        <v>5107</v>
      </c>
      <c r="C12" s="668" t="s">
        <v>5109</v>
      </c>
      <c r="D12" s="532" t="s">
        <v>5106</v>
      </c>
    </row>
    <row r="13" spans="1:4" ht="15.45">
      <c r="A13" s="669" t="s">
        <v>5112</v>
      </c>
      <c r="B13" s="669" t="s">
        <v>5111</v>
      </c>
      <c r="C13" s="668" t="s">
        <v>6616</v>
      </c>
      <c r="D13" s="532" t="s">
        <v>5110</v>
      </c>
    </row>
    <row r="14" spans="1:4" ht="15.45">
      <c r="A14" s="669" t="s">
        <v>5114</v>
      </c>
      <c r="B14" s="669" t="s">
        <v>5113</v>
      </c>
      <c r="C14" s="668" t="s">
        <v>6617</v>
      </c>
      <c r="D14" s="12"/>
    </row>
    <row r="15" spans="1:4" ht="15.45">
      <c r="A15" s="669" t="s">
        <v>5116</v>
      </c>
      <c r="B15" s="669" t="s">
        <v>5115</v>
      </c>
      <c r="C15" s="668" t="s">
        <v>5117</v>
      </c>
    </row>
    <row r="16" spans="1:4" ht="15.45">
      <c r="A16" s="669" t="s">
        <v>5119</v>
      </c>
      <c r="B16" s="669" t="s">
        <v>5118</v>
      </c>
      <c r="C16" s="668" t="s">
        <v>5120</v>
      </c>
    </row>
    <row r="17" spans="1:3" ht="15.45">
      <c r="A17" s="669" t="s">
        <v>5122</v>
      </c>
      <c r="B17" s="669" t="s">
        <v>5121</v>
      </c>
      <c r="C17" s="668" t="s">
        <v>5123</v>
      </c>
    </row>
    <row r="18" spans="1:3" ht="15.45">
      <c r="A18" s="669" t="s">
        <v>5125</v>
      </c>
      <c r="B18" s="669" t="s">
        <v>5124</v>
      </c>
      <c r="C18" s="668" t="s">
        <v>6618</v>
      </c>
    </row>
    <row r="19" spans="1:3" ht="15.45">
      <c r="A19" s="669" t="s">
        <v>5127</v>
      </c>
      <c r="B19" s="669" t="s">
        <v>5126</v>
      </c>
      <c r="C19" s="668" t="s">
        <v>5128</v>
      </c>
    </row>
    <row r="20" spans="1:3" ht="15.45">
      <c r="A20" s="669" t="s">
        <v>5130</v>
      </c>
      <c r="B20" s="669" t="s">
        <v>5129</v>
      </c>
      <c r="C20" s="668" t="s">
        <v>5131</v>
      </c>
    </row>
    <row r="21" spans="1:3" ht="15.45">
      <c r="A21" s="669" t="s">
        <v>5133</v>
      </c>
      <c r="B21" s="669" t="s">
        <v>5132</v>
      </c>
      <c r="C21" s="668" t="s">
        <v>5134</v>
      </c>
    </row>
    <row r="22" spans="1:3" ht="15.45">
      <c r="A22" s="669" t="s">
        <v>5136</v>
      </c>
      <c r="B22" s="669" t="s">
        <v>5135</v>
      </c>
      <c r="C22" s="668" t="s">
        <v>5137</v>
      </c>
    </row>
    <row r="23" spans="1:3" ht="15.45">
      <c r="A23" s="669" t="s">
        <v>5139</v>
      </c>
      <c r="B23" s="669" t="s">
        <v>5138</v>
      </c>
      <c r="C23" s="668" t="s">
        <v>5140</v>
      </c>
    </row>
    <row r="24" spans="1:3" ht="15.45">
      <c r="A24" s="669" t="s">
        <v>5142</v>
      </c>
      <c r="B24" s="669" t="s">
        <v>5141</v>
      </c>
      <c r="C24" s="668" t="s">
        <v>5143</v>
      </c>
    </row>
    <row r="25" spans="1:3" ht="15.45">
      <c r="A25" s="669" t="s">
        <v>6620</v>
      </c>
      <c r="B25" s="669" t="s">
        <v>5144</v>
      </c>
      <c r="C25" s="668" t="s">
        <v>5145</v>
      </c>
    </row>
    <row r="26" spans="1:3" ht="15.45">
      <c r="A26" s="669" t="s">
        <v>5147</v>
      </c>
      <c r="B26" s="669" t="s">
        <v>5146</v>
      </c>
      <c r="C26" s="668" t="s">
        <v>6619</v>
      </c>
    </row>
    <row r="27" spans="1:3" ht="15.45">
      <c r="A27" s="669" t="s">
        <v>5149</v>
      </c>
      <c r="B27" s="532" t="s">
        <v>5148</v>
      </c>
      <c r="C27" s="668" t="s">
        <v>5154</v>
      </c>
    </row>
    <row r="28" spans="1:3" ht="15.45">
      <c r="A28" s="669" t="s">
        <v>5151</v>
      </c>
      <c r="B28" s="669" t="s">
        <v>5150</v>
      </c>
    </row>
    <row r="29" spans="1:3" ht="15.45">
      <c r="A29" s="669" t="s">
        <v>5153</v>
      </c>
      <c r="B29" s="669" t="s">
        <v>5152</v>
      </c>
    </row>
    <row r="30" spans="1:3" ht="15.45">
      <c r="A30" s="669" t="s">
        <v>5156</v>
      </c>
      <c r="B30" s="669" t="s">
        <v>5155</v>
      </c>
    </row>
    <row r="31" spans="1:3" ht="30.9">
      <c r="A31" s="669" t="s">
        <v>5158</v>
      </c>
      <c r="B31" s="532" t="s">
        <v>5157</v>
      </c>
    </row>
    <row r="32" spans="1:3" ht="15.45">
      <c r="A32" s="669" t="s">
        <v>5160</v>
      </c>
      <c r="B32" s="669" t="s">
        <v>5159</v>
      </c>
    </row>
    <row r="33" spans="1:2" ht="30.9">
      <c r="A33" s="669" t="s">
        <v>5162</v>
      </c>
      <c r="B33" s="532" t="s">
        <v>5161</v>
      </c>
    </row>
    <row r="34" spans="1:2" ht="15.45">
      <c r="A34" s="669" t="s">
        <v>5164</v>
      </c>
      <c r="B34" s="669" t="s">
        <v>5163</v>
      </c>
    </row>
    <row r="35" spans="1:2" ht="15.45">
      <c r="A35" s="669" t="s">
        <v>5166</v>
      </c>
      <c r="B35" s="669" t="s">
        <v>5165</v>
      </c>
    </row>
    <row r="36" spans="1:2" ht="15.45">
      <c r="A36" s="669" t="s">
        <v>5168</v>
      </c>
      <c r="B36" s="669" t="s">
        <v>5167</v>
      </c>
    </row>
    <row r="37" spans="1:2" ht="15.45">
      <c r="A37" s="669" t="s">
        <v>5170</v>
      </c>
      <c r="B37" s="669" t="s">
        <v>5169</v>
      </c>
    </row>
    <row r="38" spans="1:2" ht="15.45">
      <c r="A38" s="669" t="s">
        <v>5172</v>
      </c>
      <c r="B38" s="669" t="s">
        <v>5171</v>
      </c>
    </row>
    <row r="39" spans="1:2" ht="15.45">
      <c r="A39" s="669" t="s">
        <v>5173</v>
      </c>
      <c r="B39" s="669" t="s">
        <v>6614</v>
      </c>
    </row>
    <row r="40" spans="1:2" ht="15.45">
      <c r="A40" s="669" t="s">
        <v>5175</v>
      </c>
      <c r="B40" s="669" t="s">
        <v>5174</v>
      </c>
    </row>
    <row r="41" spans="1:2" ht="15.45">
      <c r="A41" s="669" t="s">
        <v>5176</v>
      </c>
      <c r="B41" s="669"/>
    </row>
    <row r="42" spans="1:2" ht="15.45">
      <c r="A42" s="669" t="s">
        <v>5178</v>
      </c>
      <c r="B42" s="669" t="s">
        <v>5177</v>
      </c>
    </row>
    <row r="43" spans="1:2" ht="15.45">
      <c r="A43" s="669" t="s">
        <v>5181</v>
      </c>
      <c r="B43" s="669" t="s">
        <v>5179</v>
      </c>
    </row>
    <row r="44" spans="1:2" ht="15.45">
      <c r="A44" s="532" t="s">
        <v>5184</v>
      </c>
      <c r="B44" s="669" t="s">
        <v>6615</v>
      </c>
    </row>
    <row r="45" spans="1:2" ht="15.45">
      <c r="A45" s="532" t="s">
        <v>5186</v>
      </c>
      <c r="B45" s="669" t="s">
        <v>5180</v>
      </c>
    </row>
    <row r="46" spans="1:2" ht="15.45">
      <c r="A46" s="669" t="s">
        <v>5187</v>
      </c>
      <c r="B46" s="669" t="s">
        <v>5182</v>
      </c>
    </row>
    <row r="47" spans="1:2" ht="15.45">
      <c r="A47" s="532" t="s">
        <v>5188</v>
      </c>
      <c r="B47" s="669" t="s">
        <v>5183</v>
      </c>
    </row>
    <row r="48" spans="1:2" ht="15.45">
      <c r="A48" s="532" t="s">
        <v>5189</v>
      </c>
      <c r="B48" s="669" t="s">
        <v>5185</v>
      </c>
    </row>
    <row r="49" spans="1:2" ht="15.45">
      <c r="A49" s="532" t="s">
        <v>5190</v>
      </c>
      <c r="B49" s="669" t="s">
        <v>5948</v>
      </c>
    </row>
    <row r="50" spans="1:2" ht="15.45">
      <c r="A50" s="532" t="s">
        <v>5191</v>
      </c>
    </row>
    <row r="51" spans="1:2" ht="30.9">
      <c r="A51" s="532" t="s">
        <v>6621</v>
      </c>
    </row>
    <row r="52" spans="1:2" ht="15.45">
      <c r="A52" s="768" t="s">
        <v>5947</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opLeftCell="A25" workbookViewId="0">
      <selection activeCell="C52" sqref="C52"/>
    </sheetView>
  </sheetViews>
  <sheetFormatPr defaultRowHeight="14.15"/>
  <cols>
    <col min="1" max="1" width="46.85546875" customWidth="1"/>
    <col min="2" max="2" width="77.640625" customWidth="1"/>
    <col min="3" max="3" width="48.2109375" style="670" customWidth="1"/>
    <col min="4" max="4" width="28" customWidth="1"/>
  </cols>
  <sheetData>
    <row r="1" spans="1:4">
      <c r="A1" s="671" t="s">
        <v>5192</v>
      </c>
      <c r="B1" s="672" t="s">
        <v>5193</v>
      </c>
      <c r="C1" s="672" t="s">
        <v>5194</v>
      </c>
      <c r="D1" s="672" t="s">
        <v>5195</v>
      </c>
    </row>
    <row r="2" spans="1:4">
      <c r="A2" s="673" t="s">
        <v>5196</v>
      </c>
      <c r="B2" s="674" t="s">
        <v>5197</v>
      </c>
      <c r="C2" s="675" t="s">
        <v>5198</v>
      </c>
      <c r="D2" s="676" t="s">
        <v>5199</v>
      </c>
    </row>
    <row r="3" spans="1:4">
      <c r="A3" s="677" t="s">
        <v>5200</v>
      </c>
      <c r="B3" s="678" t="s">
        <v>5201</v>
      </c>
      <c r="C3" s="679" t="s">
        <v>5202</v>
      </c>
      <c r="D3" s="676" t="s">
        <v>5199</v>
      </c>
    </row>
    <row r="4" spans="1:4">
      <c r="A4" s="677" t="s">
        <v>5203</v>
      </c>
      <c r="B4" s="678" t="s">
        <v>5204</v>
      </c>
      <c r="C4" s="679" t="s">
        <v>5205</v>
      </c>
      <c r="D4" s="676" t="s">
        <v>5199</v>
      </c>
    </row>
    <row r="5" spans="1:4">
      <c r="A5" s="677" t="s">
        <v>5206</v>
      </c>
      <c r="B5" s="678" t="s">
        <v>5207</v>
      </c>
      <c r="C5" s="679" t="s">
        <v>5208</v>
      </c>
      <c r="D5" s="676" t="s">
        <v>5199</v>
      </c>
    </row>
    <row r="6" spans="1:4">
      <c r="A6" s="677" t="s">
        <v>5209</v>
      </c>
      <c r="B6" s="678" t="s">
        <v>5210</v>
      </c>
      <c r="C6" s="679" t="s">
        <v>5211</v>
      </c>
      <c r="D6" s="676" t="s">
        <v>5199</v>
      </c>
    </row>
    <row r="7" spans="1:4">
      <c r="A7" s="677" t="s">
        <v>5212</v>
      </c>
      <c r="B7" s="678" t="s">
        <v>5213</v>
      </c>
      <c r="C7" s="679" t="s">
        <v>5214</v>
      </c>
      <c r="D7" s="676" t="s">
        <v>5199</v>
      </c>
    </row>
    <row r="8" spans="1:4">
      <c r="A8" s="677" t="s">
        <v>5215</v>
      </c>
      <c r="B8" s="678" t="s">
        <v>5216</v>
      </c>
      <c r="C8" s="679" t="s">
        <v>5217</v>
      </c>
      <c r="D8" s="676" t="s">
        <v>5199</v>
      </c>
    </row>
    <row r="9" spans="1:4">
      <c r="A9" s="677" t="s">
        <v>5218</v>
      </c>
      <c r="B9" s="678" t="s">
        <v>5219</v>
      </c>
      <c r="C9" s="679" t="s">
        <v>5220</v>
      </c>
      <c r="D9" s="676" t="s">
        <v>5199</v>
      </c>
    </row>
    <row r="10" spans="1:4">
      <c r="A10" s="677" t="s">
        <v>5221</v>
      </c>
      <c r="B10" s="678" t="s">
        <v>5222</v>
      </c>
      <c r="C10" s="679" t="s">
        <v>5223</v>
      </c>
      <c r="D10" s="676" t="s">
        <v>5199</v>
      </c>
    </row>
    <row r="11" spans="1:4">
      <c r="A11" s="677" t="s">
        <v>5224</v>
      </c>
      <c r="B11" s="678" t="s">
        <v>5225</v>
      </c>
      <c r="C11" s="679" t="s">
        <v>5226</v>
      </c>
      <c r="D11" s="676" t="s">
        <v>5199</v>
      </c>
    </row>
    <row r="12" spans="1:4">
      <c r="A12" s="677" t="s">
        <v>5227</v>
      </c>
      <c r="B12" s="678" t="s">
        <v>5228</v>
      </c>
      <c r="C12" s="679" t="s">
        <v>5229</v>
      </c>
      <c r="D12" s="676" t="s">
        <v>5199</v>
      </c>
    </row>
    <row r="13" spans="1:4">
      <c r="A13" s="677" t="s">
        <v>5230</v>
      </c>
      <c r="B13" s="678" t="s">
        <v>5231</v>
      </c>
      <c r="C13" s="679" t="s">
        <v>5232</v>
      </c>
      <c r="D13" s="676" t="s">
        <v>5199</v>
      </c>
    </row>
    <row r="14" spans="1:4">
      <c r="A14" s="677" t="s">
        <v>5233</v>
      </c>
      <c r="B14" s="678" t="s">
        <v>5234</v>
      </c>
      <c r="C14" s="679" t="s">
        <v>5235</v>
      </c>
      <c r="D14" s="676" t="s">
        <v>5199</v>
      </c>
    </row>
    <row r="15" spans="1:4">
      <c r="A15" s="677" t="s">
        <v>5236</v>
      </c>
      <c r="B15" s="678" t="s">
        <v>5237</v>
      </c>
      <c r="C15" s="679" t="s">
        <v>5238</v>
      </c>
      <c r="D15" s="676" t="s">
        <v>5199</v>
      </c>
    </row>
    <row r="16" spans="1:4">
      <c r="A16" s="677" t="s">
        <v>5239</v>
      </c>
      <c r="B16" s="678" t="s">
        <v>5240</v>
      </c>
      <c r="C16" s="679" t="s">
        <v>5220</v>
      </c>
      <c r="D16" s="676" t="s">
        <v>5199</v>
      </c>
    </row>
    <row r="17" spans="1:4">
      <c r="A17" s="677" t="s">
        <v>5241</v>
      </c>
      <c r="B17" s="678" t="s">
        <v>5242</v>
      </c>
      <c r="C17" s="679" t="s">
        <v>5217</v>
      </c>
      <c r="D17" s="676" t="s">
        <v>5199</v>
      </c>
    </row>
    <row r="18" spans="1:4">
      <c r="A18" s="677" t="s">
        <v>5243</v>
      </c>
      <c r="B18" s="678" t="s">
        <v>5244</v>
      </c>
      <c r="C18" s="679" t="s">
        <v>5245</v>
      </c>
      <c r="D18" s="676" t="s">
        <v>5199</v>
      </c>
    </row>
    <row r="19" spans="1:4">
      <c r="A19" s="677" t="s">
        <v>5246</v>
      </c>
      <c r="B19" s="678" t="s">
        <v>5247</v>
      </c>
      <c r="C19" s="679" t="s">
        <v>5248</v>
      </c>
      <c r="D19" s="676" t="s">
        <v>5199</v>
      </c>
    </row>
    <row r="20" spans="1:4">
      <c r="A20" s="677" t="s">
        <v>5249</v>
      </c>
      <c r="B20" s="678" t="s">
        <v>5250</v>
      </c>
      <c r="C20" s="679" t="s">
        <v>5251</v>
      </c>
      <c r="D20" s="676" t="s">
        <v>5199</v>
      </c>
    </row>
    <row r="21" spans="1:4">
      <c r="A21" s="680" t="s">
        <v>5252</v>
      </c>
      <c r="B21" s="681" t="s">
        <v>5253</v>
      </c>
      <c r="C21" s="682" t="s">
        <v>5220</v>
      </c>
      <c r="D21" s="676" t="s">
        <v>5199</v>
      </c>
    </row>
    <row r="22" spans="1:4">
      <c r="A22" s="683" t="s">
        <v>5254</v>
      </c>
      <c r="B22" s="684" t="s">
        <v>5255</v>
      </c>
      <c r="C22" s="685" t="s">
        <v>5256</v>
      </c>
      <c r="D22" s="686" t="s">
        <v>5257</v>
      </c>
    </row>
    <row r="23" spans="1:4">
      <c r="A23" s="687" t="s">
        <v>5258</v>
      </c>
      <c r="B23" s="688" t="s">
        <v>5259</v>
      </c>
      <c r="C23" s="689" t="s">
        <v>5260</v>
      </c>
      <c r="D23" s="686" t="s">
        <v>5257</v>
      </c>
    </row>
    <row r="24" spans="1:4">
      <c r="A24" s="687" t="s">
        <v>5261</v>
      </c>
      <c r="B24" s="688" t="s">
        <v>5262</v>
      </c>
      <c r="C24" s="689" t="s">
        <v>5263</v>
      </c>
      <c r="D24" s="686" t="s">
        <v>5257</v>
      </c>
    </row>
    <row r="25" spans="1:4">
      <c r="A25" s="687" t="s">
        <v>5264</v>
      </c>
      <c r="B25" s="688" t="s">
        <v>5265</v>
      </c>
      <c r="C25" s="689" t="s">
        <v>5266</v>
      </c>
      <c r="D25" s="686" t="s">
        <v>5257</v>
      </c>
    </row>
    <row r="26" spans="1:4">
      <c r="A26" s="687" t="s">
        <v>5267</v>
      </c>
      <c r="B26" s="688" t="s">
        <v>5268</v>
      </c>
      <c r="C26" s="689" t="s">
        <v>5269</v>
      </c>
      <c r="D26" s="686" t="s">
        <v>5257</v>
      </c>
    </row>
    <row r="27" spans="1:4">
      <c r="A27" s="687" t="s">
        <v>5270</v>
      </c>
      <c r="B27" s="688" t="s">
        <v>5271</v>
      </c>
      <c r="C27" s="689" t="s">
        <v>5272</v>
      </c>
      <c r="D27" s="686" t="s">
        <v>5257</v>
      </c>
    </row>
    <row r="28" spans="1:4">
      <c r="A28" s="687" t="s">
        <v>5273</v>
      </c>
      <c r="B28" s="688" t="s">
        <v>5274</v>
      </c>
      <c r="C28" s="689" t="s">
        <v>5275</v>
      </c>
      <c r="D28" s="686" t="s">
        <v>5257</v>
      </c>
    </row>
    <row r="29" spans="1:4">
      <c r="A29" s="687" t="s">
        <v>5276</v>
      </c>
      <c r="B29" s="688" t="s">
        <v>5277</v>
      </c>
      <c r="C29" s="689" t="s">
        <v>5278</v>
      </c>
      <c r="D29" s="686" t="s">
        <v>5257</v>
      </c>
    </row>
    <row r="30" spans="1:4">
      <c r="A30" s="687" t="s">
        <v>5279</v>
      </c>
      <c r="B30" s="688" t="s">
        <v>5280</v>
      </c>
      <c r="C30" s="689" t="s">
        <v>5281</v>
      </c>
      <c r="D30" s="686" t="s">
        <v>5257</v>
      </c>
    </row>
    <row r="31" spans="1:4">
      <c r="A31" s="687" t="s">
        <v>5282</v>
      </c>
      <c r="B31" s="688" t="s">
        <v>5283</v>
      </c>
      <c r="C31" s="689" t="s">
        <v>5284</v>
      </c>
      <c r="D31" s="686" t="s">
        <v>5257</v>
      </c>
    </row>
    <row r="32" spans="1:4">
      <c r="A32" s="687" t="s">
        <v>5285</v>
      </c>
      <c r="B32" s="688" t="s">
        <v>5286</v>
      </c>
      <c r="C32" s="689" t="s">
        <v>5287</v>
      </c>
      <c r="D32" s="686" t="s">
        <v>5257</v>
      </c>
    </row>
    <row r="33" spans="1:4">
      <c r="A33" s="687" t="s">
        <v>5288</v>
      </c>
      <c r="B33" s="688" t="s">
        <v>5289</v>
      </c>
      <c r="C33" s="689" t="s">
        <v>5290</v>
      </c>
      <c r="D33" s="686" t="s">
        <v>5257</v>
      </c>
    </row>
    <row r="34" spans="1:4">
      <c r="A34" s="687" t="s">
        <v>5291</v>
      </c>
      <c r="B34" s="688" t="s">
        <v>5292</v>
      </c>
      <c r="C34" s="689" t="s">
        <v>5293</v>
      </c>
      <c r="D34" s="686" t="s">
        <v>5257</v>
      </c>
    </row>
    <row r="35" spans="1:4">
      <c r="A35" s="687" t="s">
        <v>5294</v>
      </c>
      <c r="B35" s="688" t="s">
        <v>5295</v>
      </c>
      <c r="C35" s="689" t="s">
        <v>5296</v>
      </c>
      <c r="D35" s="686" t="s">
        <v>5257</v>
      </c>
    </row>
    <row r="36" spans="1:4">
      <c r="A36" s="687" t="s">
        <v>5297</v>
      </c>
      <c r="B36" s="688" t="s">
        <v>5298</v>
      </c>
      <c r="C36" s="689" t="s">
        <v>5299</v>
      </c>
      <c r="D36" s="686" t="s">
        <v>5257</v>
      </c>
    </row>
    <row r="37" spans="1:4" ht="28.3">
      <c r="A37" s="687" t="s">
        <v>5300</v>
      </c>
      <c r="B37" s="690" t="s">
        <v>5301</v>
      </c>
      <c r="C37" s="689" t="s">
        <v>3455</v>
      </c>
      <c r="D37" s="686" t="s">
        <v>5257</v>
      </c>
    </row>
    <row r="38" spans="1:4" ht="16.5" customHeight="1">
      <c r="A38" s="687" t="s">
        <v>5302</v>
      </c>
      <c r="B38" s="688" t="s">
        <v>5303</v>
      </c>
      <c r="C38" s="689" t="s">
        <v>5304</v>
      </c>
      <c r="D38" s="686" t="s">
        <v>5257</v>
      </c>
    </row>
    <row r="39" spans="1:4">
      <c r="A39" s="687" t="s">
        <v>5305</v>
      </c>
      <c r="B39" s="688" t="s">
        <v>5306</v>
      </c>
      <c r="C39" s="689" t="s">
        <v>5307</v>
      </c>
      <c r="D39" s="686" t="s">
        <v>5257</v>
      </c>
    </row>
    <row r="40" spans="1:4">
      <c r="A40" s="687" t="s">
        <v>5308</v>
      </c>
      <c r="B40" s="688" t="s">
        <v>5309</v>
      </c>
      <c r="C40" s="689" t="s">
        <v>5256</v>
      </c>
      <c r="D40" s="686" t="s">
        <v>5257</v>
      </c>
    </row>
    <row r="41" spans="1:4">
      <c r="A41" s="691" t="s">
        <v>5310</v>
      </c>
      <c r="B41" s="692" t="s">
        <v>5311</v>
      </c>
      <c r="C41" s="693" t="s">
        <v>5269</v>
      </c>
      <c r="D41" s="686" t="s">
        <v>5257</v>
      </c>
    </row>
    <row r="42" spans="1:4">
      <c r="A42" s="694" t="s">
        <v>5312</v>
      </c>
      <c r="B42" s="695" t="s">
        <v>5313</v>
      </c>
      <c r="C42" s="696" t="s">
        <v>5314</v>
      </c>
      <c r="D42" s="697" t="s">
        <v>5315</v>
      </c>
    </row>
    <row r="43" spans="1:4">
      <c r="A43" s="698" t="s">
        <v>5316</v>
      </c>
      <c r="B43" s="699" t="s">
        <v>5317</v>
      </c>
      <c r="C43" s="700" t="s">
        <v>5318</v>
      </c>
      <c r="D43" s="697" t="s">
        <v>5315</v>
      </c>
    </row>
    <row r="44" spans="1:4">
      <c r="A44" s="698" t="s">
        <v>5319</v>
      </c>
      <c r="B44" s="699" t="s">
        <v>5320</v>
      </c>
      <c r="C44" s="700" t="s">
        <v>5321</v>
      </c>
      <c r="D44" s="697" t="s">
        <v>5315</v>
      </c>
    </row>
    <row r="45" spans="1:4" ht="28.3">
      <c r="A45" s="698" t="s">
        <v>5322</v>
      </c>
      <c r="B45" s="701" t="s">
        <v>5323</v>
      </c>
      <c r="C45" s="700" t="s">
        <v>5324</v>
      </c>
      <c r="D45" s="697" t="s">
        <v>5315</v>
      </c>
    </row>
    <row r="46" spans="1:4" ht="15" customHeight="1">
      <c r="A46" s="698" t="s">
        <v>5325</v>
      </c>
      <c r="B46" s="699" t="s">
        <v>5326</v>
      </c>
      <c r="C46" s="700" t="s">
        <v>5327</v>
      </c>
      <c r="D46" s="697" t="s">
        <v>5315</v>
      </c>
    </row>
    <row r="47" spans="1:4">
      <c r="A47" s="698" t="s">
        <v>5328</v>
      </c>
      <c r="B47" s="699" t="s">
        <v>5329</v>
      </c>
      <c r="C47" s="700" t="s">
        <v>5330</v>
      </c>
      <c r="D47" s="697" t="s">
        <v>5315</v>
      </c>
    </row>
    <row r="48" spans="1:4">
      <c r="A48" s="698" t="s">
        <v>5331</v>
      </c>
      <c r="B48" s="699" t="s">
        <v>5332</v>
      </c>
      <c r="C48" s="700" t="s">
        <v>5333</v>
      </c>
      <c r="D48" s="697" t="s">
        <v>5315</v>
      </c>
    </row>
    <row r="49" spans="1:4">
      <c r="A49" s="698" t="s">
        <v>5334</v>
      </c>
      <c r="B49" s="699" t="s">
        <v>5335</v>
      </c>
      <c r="C49" s="700" t="s">
        <v>5336</v>
      </c>
      <c r="D49" s="697" t="s">
        <v>5315</v>
      </c>
    </row>
    <row r="50" spans="1:4">
      <c r="A50" s="698" t="s">
        <v>5337</v>
      </c>
      <c r="B50" s="701" t="s">
        <v>5338</v>
      </c>
      <c r="C50" s="700" t="s">
        <v>3599</v>
      </c>
      <c r="D50" s="697" t="s">
        <v>5315</v>
      </c>
    </row>
    <row r="51" spans="1:4">
      <c r="A51" s="698" t="s">
        <v>5339</v>
      </c>
      <c r="B51" s="699" t="s">
        <v>5340</v>
      </c>
      <c r="C51" s="700" t="s">
        <v>5341</v>
      </c>
      <c r="D51" s="697" t="s">
        <v>5315</v>
      </c>
    </row>
    <row r="52" spans="1:4">
      <c r="A52" s="698" t="s">
        <v>5342</v>
      </c>
      <c r="B52" s="699" t="s">
        <v>5343</v>
      </c>
      <c r="C52" s="700" t="s">
        <v>6628</v>
      </c>
      <c r="D52" s="697" t="s">
        <v>5315</v>
      </c>
    </row>
    <row r="53" spans="1:4">
      <c r="A53" s="698" t="s">
        <v>5344</v>
      </c>
      <c r="B53" s="699" t="s">
        <v>5345</v>
      </c>
      <c r="C53" s="700" t="s">
        <v>5346</v>
      </c>
      <c r="D53" s="697" t="s">
        <v>5315</v>
      </c>
    </row>
    <row r="54" spans="1:4">
      <c r="A54" s="698" t="s">
        <v>5347</v>
      </c>
      <c r="B54" s="699" t="s">
        <v>5348</v>
      </c>
      <c r="C54" s="700" t="s">
        <v>5349</v>
      </c>
      <c r="D54" s="697" t="s">
        <v>5315</v>
      </c>
    </row>
    <row r="55" spans="1:4">
      <c r="A55" s="698" t="s">
        <v>5350</v>
      </c>
      <c r="B55" s="699" t="s">
        <v>5351</v>
      </c>
      <c r="C55" s="700" t="s">
        <v>5349</v>
      </c>
      <c r="D55" s="697" t="s">
        <v>5315</v>
      </c>
    </row>
    <row r="56" spans="1:4">
      <c r="A56" s="698" t="s">
        <v>5352</v>
      </c>
      <c r="B56" s="699" t="s">
        <v>5353</v>
      </c>
      <c r="C56" s="700" t="s">
        <v>5354</v>
      </c>
      <c r="D56" s="697" t="s">
        <v>5315</v>
      </c>
    </row>
    <row r="57" spans="1:4">
      <c r="A57" s="698" t="s">
        <v>5355</v>
      </c>
      <c r="B57" s="699" t="s">
        <v>5356</v>
      </c>
      <c r="C57" s="700" t="s">
        <v>5357</v>
      </c>
      <c r="D57" s="697" t="s">
        <v>5315</v>
      </c>
    </row>
    <row r="58" spans="1:4">
      <c r="A58" s="698" t="s">
        <v>5358</v>
      </c>
      <c r="B58" s="699" t="s">
        <v>5359</v>
      </c>
      <c r="C58" s="700" t="s">
        <v>5360</v>
      </c>
      <c r="D58" s="697" t="s">
        <v>5315</v>
      </c>
    </row>
    <row r="59" spans="1:4">
      <c r="A59" s="698" t="s">
        <v>5361</v>
      </c>
      <c r="B59" s="699" t="s">
        <v>5362</v>
      </c>
      <c r="C59" s="700" t="s">
        <v>5363</v>
      </c>
      <c r="D59" s="697" t="s">
        <v>5315</v>
      </c>
    </row>
    <row r="60" spans="1:4">
      <c r="A60" s="698" t="s">
        <v>5364</v>
      </c>
      <c r="B60" s="699" t="s">
        <v>5365</v>
      </c>
      <c r="C60" s="700" t="s">
        <v>5366</v>
      </c>
      <c r="D60" s="697" t="s">
        <v>5315</v>
      </c>
    </row>
    <row r="61" spans="1:4">
      <c r="A61" s="702" t="s">
        <v>5367</v>
      </c>
      <c r="B61" s="703" t="s">
        <v>5368</v>
      </c>
      <c r="C61" s="704" t="s">
        <v>5369</v>
      </c>
      <c r="D61" s="697" t="s">
        <v>5315</v>
      </c>
    </row>
  </sheetData>
  <pageMargins left="0.7" right="0.7" top="0.75" bottom="0.75" header="0.3" footer="0.3"/>
  <pageSetup paperSize="9" orientation="portrait"/>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47" workbookViewId="0">
      <selection activeCell="B43" sqref="B43"/>
    </sheetView>
  </sheetViews>
  <sheetFormatPr defaultRowHeight="14.15"/>
  <cols>
    <col min="1" max="1" width="15.85546875" customWidth="1"/>
    <col min="2" max="4" width="82.5" customWidth="1"/>
    <col min="5" max="7" width="93.640625" bestFit="1" customWidth="1"/>
    <col min="8" max="10" width="89.140625" bestFit="1" customWidth="1"/>
  </cols>
  <sheetData>
    <row r="1" spans="1:14">
      <c r="A1" s="705">
        <v>45661</v>
      </c>
      <c r="B1" s="893" t="s">
        <v>5370</v>
      </c>
      <c r="C1" s="893"/>
      <c r="D1" s="893"/>
      <c r="E1" s="895" t="s">
        <v>5371</v>
      </c>
      <c r="F1" s="896"/>
      <c r="G1" s="896"/>
      <c r="H1" s="706" t="s">
        <v>5372</v>
      </c>
      <c r="I1" s="707" t="s">
        <v>5372</v>
      </c>
      <c r="J1" s="707" t="s">
        <v>5372</v>
      </c>
    </row>
    <row r="2" spans="1:14">
      <c r="A2" t="s">
        <v>5373</v>
      </c>
      <c r="B2" s="893" t="s">
        <v>886</v>
      </c>
      <c r="C2" s="893"/>
      <c r="D2" s="893"/>
      <c r="E2" s="895" t="s">
        <v>885</v>
      </c>
      <c r="F2" s="896"/>
      <c r="G2" s="896"/>
      <c r="H2" s="706" t="s">
        <v>887</v>
      </c>
      <c r="I2" s="707" t="s">
        <v>887</v>
      </c>
      <c r="J2" s="707" t="s">
        <v>887</v>
      </c>
    </row>
    <row r="3" spans="1:14">
      <c r="A3" t="s">
        <v>5374</v>
      </c>
      <c r="B3" s="894" t="s">
        <v>5375</v>
      </c>
      <c r="C3" s="894"/>
      <c r="D3" s="894"/>
      <c r="E3" s="894" t="s">
        <v>5375</v>
      </c>
      <c r="F3" s="894"/>
      <c r="G3" s="894"/>
      <c r="H3" s="709"/>
      <c r="I3" s="710"/>
      <c r="J3" s="710"/>
    </row>
    <row r="4" spans="1:14">
      <c r="A4" t="s">
        <v>5376</v>
      </c>
      <c r="B4" s="708" t="s">
        <v>5377</v>
      </c>
      <c r="C4" s="708" t="s">
        <v>5378</v>
      </c>
      <c r="D4" s="708" t="s">
        <v>5379</v>
      </c>
      <c r="E4" s="708" t="s">
        <v>5377</v>
      </c>
      <c r="F4" s="708" t="s">
        <v>5378</v>
      </c>
      <c r="G4" s="708" t="s">
        <v>5379</v>
      </c>
      <c r="H4" s="709"/>
      <c r="I4" s="710"/>
      <c r="J4" s="710"/>
    </row>
    <row r="5" spans="1:14" ht="18" customHeight="1">
      <c r="A5" s="892" t="s">
        <v>5380</v>
      </c>
      <c r="B5" s="711" t="s">
        <v>5381</v>
      </c>
      <c r="C5" s="711"/>
      <c r="D5" s="711"/>
      <c r="E5" s="712" t="s">
        <v>5382</v>
      </c>
      <c r="F5" s="711"/>
      <c r="G5" s="711"/>
      <c r="H5" s="712" t="s">
        <v>5383</v>
      </c>
      <c r="I5" s="711"/>
      <c r="J5" s="711"/>
    </row>
    <row r="6" spans="1:14" ht="18" customHeight="1">
      <c r="A6" s="892"/>
      <c r="B6" s="711" t="s">
        <v>5384</v>
      </c>
      <c r="C6" s="711"/>
      <c r="D6" s="711"/>
      <c r="E6" s="712" t="s">
        <v>5385</v>
      </c>
      <c r="F6" s="711"/>
      <c r="G6" s="711"/>
      <c r="H6" s="712" t="s">
        <v>5386</v>
      </c>
      <c r="I6" s="711"/>
      <c r="J6" s="711"/>
    </row>
    <row r="7" spans="1:14" ht="18" customHeight="1">
      <c r="A7" s="892"/>
      <c r="B7" s="711" t="s">
        <v>5387</v>
      </c>
      <c r="C7" s="711"/>
      <c r="D7" s="711"/>
      <c r="E7" s="712" t="s">
        <v>5388</v>
      </c>
      <c r="F7" s="711"/>
      <c r="G7" s="711"/>
      <c r="H7" s="712" t="s">
        <v>5389</v>
      </c>
      <c r="I7" s="711"/>
      <c r="J7" s="711"/>
    </row>
    <row r="8" spans="1:14" ht="18" customHeight="1">
      <c r="A8" s="892"/>
      <c r="B8" s="711" t="s">
        <v>5390</v>
      </c>
      <c r="C8" s="711"/>
      <c r="D8" s="711"/>
      <c r="E8" s="712" t="s">
        <v>5391</v>
      </c>
      <c r="F8" s="711"/>
      <c r="G8" s="711"/>
      <c r="H8" s="712" t="s">
        <v>5392</v>
      </c>
      <c r="I8" s="711"/>
      <c r="J8" s="711"/>
    </row>
    <row r="9" spans="1:14" ht="18" customHeight="1">
      <c r="A9" s="892"/>
      <c r="B9" s="711" t="s">
        <v>5393</v>
      </c>
      <c r="C9" s="711"/>
      <c r="D9" s="711"/>
      <c r="E9" s="712" t="s">
        <v>5394</v>
      </c>
      <c r="F9" s="711"/>
      <c r="G9" s="711"/>
      <c r="H9" s="712" t="s">
        <v>5395</v>
      </c>
      <c r="I9" s="711"/>
      <c r="J9" s="711"/>
      <c r="N9" s="713" t="e">
        <f>(LEFT(A1,FIND("-",A1)-1)+MID(A1,FIND("-",A1)+1,LEN(A1)))/2</f>
        <v>#VALUE!</v>
      </c>
    </row>
    <row r="10" spans="1:14" ht="18" customHeight="1">
      <c r="A10" s="892"/>
      <c r="B10" s="711" t="s">
        <v>5396</v>
      </c>
      <c r="C10" s="711"/>
      <c r="D10" s="711"/>
      <c r="E10" s="712" t="s">
        <v>5397</v>
      </c>
      <c r="F10" s="711"/>
      <c r="G10" s="711"/>
      <c r="H10" s="712" t="s">
        <v>5398</v>
      </c>
      <c r="I10" s="711"/>
      <c r="J10" s="711"/>
    </row>
    <row r="11" spans="1:14" ht="18" customHeight="1">
      <c r="A11" s="892"/>
      <c r="B11" s="711" t="s">
        <v>5399</v>
      </c>
      <c r="C11" s="711"/>
      <c r="D11" s="711"/>
      <c r="E11" s="712" t="s">
        <v>5400</v>
      </c>
      <c r="F11" s="711"/>
      <c r="G11" s="711"/>
      <c r="H11" s="712" t="s">
        <v>5401</v>
      </c>
      <c r="I11" s="711"/>
      <c r="J11" s="711"/>
    </row>
    <row r="12" spans="1:14" ht="18" customHeight="1">
      <c r="A12" s="892"/>
      <c r="B12" s="711" t="s">
        <v>5402</v>
      </c>
      <c r="C12" s="711"/>
      <c r="D12" s="711"/>
      <c r="E12" s="712" t="s">
        <v>5403</v>
      </c>
      <c r="F12" s="711"/>
      <c r="G12" s="711"/>
      <c r="H12" s="712" t="s">
        <v>5404</v>
      </c>
      <c r="I12" s="711"/>
      <c r="J12" s="711"/>
    </row>
    <row r="13" spans="1:14" ht="18" customHeight="1">
      <c r="A13" s="892"/>
      <c r="B13" s="711" t="s">
        <v>5405</v>
      </c>
      <c r="C13" s="711"/>
      <c r="D13" s="711"/>
      <c r="E13" s="712" t="s">
        <v>5406</v>
      </c>
      <c r="F13" s="711"/>
      <c r="G13" s="711"/>
      <c r="H13" s="712" t="s">
        <v>5407</v>
      </c>
      <c r="I13" s="711"/>
      <c r="J13" s="711"/>
    </row>
    <row r="14" spans="1:14" ht="18" customHeight="1">
      <c r="A14" s="892"/>
      <c r="B14" s="711" t="s">
        <v>5408</v>
      </c>
      <c r="C14" s="711"/>
      <c r="D14" s="711"/>
      <c r="E14" s="712" t="s">
        <v>5409</v>
      </c>
      <c r="F14" s="711"/>
      <c r="G14" s="711"/>
      <c r="H14" s="712" t="s">
        <v>5410</v>
      </c>
      <c r="I14" s="711"/>
      <c r="J14" s="711"/>
    </row>
    <row r="15" spans="1:14" ht="18" customHeight="1">
      <c r="A15" s="892"/>
      <c r="B15" s="711" t="s">
        <v>5411</v>
      </c>
      <c r="C15" s="711"/>
      <c r="D15" s="711"/>
      <c r="E15" s="712" t="s">
        <v>5412</v>
      </c>
      <c r="F15" s="711"/>
      <c r="G15" s="711"/>
      <c r="H15" s="712" t="s">
        <v>5413</v>
      </c>
      <c r="I15" s="711"/>
      <c r="J15" s="711"/>
    </row>
    <row r="16" spans="1:14" ht="18" customHeight="1">
      <c r="A16" s="892"/>
      <c r="B16" s="711" t="s">
        <v>5414</v>
      </c>
      <c r="C16" s="711"/>
      <c r="D16" s="711"/>
      <c r="E16" s="712" t="s">
        <v>5415</v>
      </c>
      <c r="F16" s="711"/>
      <c r="G16" s="711"/>
      <c r="H16" s="712" t="s">
        <v>5416</v>
      </c>
      <c r="I16" s="711"/>
      <c r="J16" s="711"/>
    </row>
    <row r="17" spans="1:10" ht="18" customHeight="1">
      <c r="A17" s="892"/>
      <c r="B17" s="714" t="s">
        <v>5417</v>
      </c>
      <c r="C17" s="714"/>
      <c r="D17" s="714"/>
      <c r="E17" s="712" t="s">
        <v>5418</v>
      </c>
      <c r="F17" s="711"/>
      <c r="G17" s="711"/>
      <c r="H17" s="712" t="s">
        <v>5419</v>
      </c>
      <c r="I17" s="711"/>
      <c r="J17" s="711"/>
    </row>
    <row r="18" spans="1:10" ht="18" customHeight="1">
      <c r="A18" s="892"/>
      <c r="B18" s="711" t="s">
        <v>5420</v>
      </c>
      <c r="C18" s="711"/>
      <c r="D18" s="711"/>
      <c r="E18" s="712" t="s">
        <v>5421</v>
      </c>
      <c r="F18" s="711"/>
      <c r="G18" s="711"/>
      <c r="H18" s="712" t="s">
        <v>5422</v>
      </c>
      <c r="I18" s="711"/>
      <c r="J18" s="711"/>
    </row>
    <row r="19" spans="1:10" ht="18" customHeight="1">
      <c r="A19" s="892"/>
      <c r="B19" s="711" t="s">
        <v>5423</v>
      </c>
      <c r="C19" s="711"/>
      <c r="D19" s="711"/>
      <c r="E19" s="712" t="s">
        <v>5424</v>
      </c>
      <c r="F19" s="711"/>
      <c r="G19" s="711"/>
      <c r="H19" s="712" t="s">
        <v>5425</v>
      </c>
      <c r="I19" s="711"/>
      <c r="J19" s="711"/>
    </row>
    <row r="20" spans="1:10" ht="18" customHeight="1">
      <c r="A20" s="892"/>
      <c r="B20" s="711" t="s">
        <v>5426</v>
      </c>
      <c r="C20" s="711"/>
      <c r="D20" s="711"/>
      <c r="E20" s="712" t="s">
        <v>5427</v>
      </c>
      <c r="F20" s="711"/>
      <c r="G20" s="711"/>
      <c r="H20" s="712" t="s">
        <v>5428</v>
      </c>
      <c r="I20" s="711"/>
      <c r="J20" s="711"/>
    </row>
    <row r="21" spans="1:10" ht="18" customHeight="1">
      <c r="A21" s="892"/>
      <c r="B21" s="711" t="s">
        <v>5429</v>
      </c>
      <c r="C21" s="711"/>
      <c r="D21" s="711"/>
      <c r="E21" s="712" t="s">
        <v>5430</v>
      </c>
      <c r="F21" s="711"/>
      <c r="G21" s="711"/>
      <c r="H21" s="712" t="s">
        <v>5431</v>
      </c>
      <c r="I21" s="711"/>
      <c r="J21" s="711"/>
    </row>
    <row r="22" spans="1:10" ht="18" customHeight="1">
      <c r="A22" s="892"/>
      <c r="B22" s="714" t="s">
        <v>5432</v>
      </c>
      <c r="C22" s="714"/>
      <c r="D22" s="714"/>
      <c r="E22" s="712" t="s">
        <v>5433</v>
      </c>
      <c r="F22" s="711"/>
      <c r="G22" s="711"/>
      <c r="H22" s="715" t="s">
        <v>5434</v>
      </c>
      <c r="I22" s="714"/>
      <c r="J22" s="714"/>
    </row>
    <row r="23" spans="1:10" ht="18" customHeight="1">
      <c r="A23" s="892"/>
      <c r="B23" s="711" t="s">
        <v>5435</v>
      </c>
      <c r="C23" s="711"/>
      <c r="D23" s="711"/>
      <c r="E23" s="712" t="s">
        <v>5436</v>
      </c>
      <c r="F23" s="711"/>
      <c r="G23" s="711"/>
      <c r="H23" s="712" t="s">
        <v>5437</v>
      </c>
      <c r="I23" s="711"/>
      <c r="J23" s="711"/>
    </row>
    <row r="24" spans="1:10" ht="18" customHeight="1">
      <c r="A24" s="892"/>
      <c r="B24" s="714" t="s">
        <v>5438</v>
      </c>
      <c r="C24" s="714"/>
      <c r="D24" s="714"/>
      <c r="E24" s="712" t="s">
        <v>5439</v>
      </c>
      <c r="F24" s="711"/>
      <c r="G24" s="711"/>
      <c r="H24" s="712" t="s">
        <v>5440</v>
      </c>
      <c r="I24" s="711"/>
      <c r="J24" s="711"/>
    </row>
    <row r="25" spans="1:10" ht="18" customHeight="1">
      <c r="A25" s="892"/>
      <c r="B25" s="711" t="s">
        <v>5441</v>
      </c>
      <c r="C25" s="711"/>
      <c r="D25" s="711"/>
      <c r="E25" s="712" t="s">
        <v>5442</v>
      </c>
      <c r="F25" s="711"/>
      <c r="G25" s="711"/>
      <c r="H25" s="712" t="s">
        <v>5443</v>
      </c>
      <c r="I25" s="711"/>
      <c r="J25" s="711"/>
    </row>
    <row r="26" spans="1:10" ht="18" customHeight="1">
      <c r="A26" s="892"/>
      <c r="B26" s="711" t="s">
        <v>5444</v>
      </c>
      <c r="C26" s="711"/>
      <c r="D26" s="711"/>
      <c r="E26" s="712" t="s">
        <v>5445</v>
      </c>
      <c r="F26" s="711"/>
      <c r="G26" s="711"/>
      <c r="H26" s="712" t="s">
        <v>5446</v>
      </c>
      <c r="I26" s="711"/>
      <c r="J26" s="711"/>
    </row>
    <row r="27" spans="1:10" ht="18" customHeight="1">
      <c r="A27" s="892"/>
      <c r="B27" s="711" t="s">
        <v>5447</v>
      </c>
      <c r="C27" s="711"/>
      <c r="D27" s="711"/>
      <c r="E27" s="712" t="s">
        <v>5448</v>
      </c>
      <c r="F27" s="711"/>
      <c r="G27" s="711"/>
      <c r="H27" s="712" t="s">
        <v>5449</v>
      </c>
      <c r="I27" s="711"/>
      <c r="J27" s="711"/>
    </row>
    <row r="28" spans="1:10" ht="18" customHeight="1">
      <c r="A28" s="892"/>
      <c r="B28" s="711" t="s">
        <v>5450</v>
      </c>
      <c r="C28" s="711"/>
      <c r="D28" s="711"/>
      <c r="E28" s="712" t="s">
        <v>5451</v>
      </c>
      <c r="F28" s="711"/>
      <c r="G28" s="711"/>
      <c r="H28" s="712" t="s">
        <v>5452</v>
      </c>
      <c r="I28" s="711"/>
      <c r="J28" s="711"/>
    </row>
    <row r="29" spans="1:10" ht="18" customHeight="1">
      <c r="A29" s="892"/>
      <c r="B29" s="711" t="s">
        <v>5453</v>
      </c>
      <c r="C29" s="711"/>
      <c r="D29" s="711"/>
      <c r="E29" s="712" t="s">
        <v>5454</v>
      </c>
      <c r="F29" s="711"/>
      <c r="G29" s="711"/>
      <c r="H29" s="712" t="s">
        <v>5455</v>
      </c>
      <c r="I29" s="711"/>
      <c r="J29" s="711"/>
    </row>
    <row r="30" spans="1:10">
      <c r="A30" s="891" t="s">
        <v>5456</v>
      </c>
      <c r="B30" s="716" t="s">
        <v>5457</v>
      </c>
      <c r="C30" s="716" t="s">
        <v>5458</v>
      </c>
      <c r="D30" s="716" t="s">
        <v>5459</v>
      </c>
      <c r="E30" s="717" t="s">
        <v>5460</v>
      </c>
      <c r="F30" s="716" t="s">
        <v>5461</v>
      </c>
      <c r="G30" s="716" t="s">
        <v>5462</v>
      </c>
      <c r="H30" s="717" t="s">
        <v>5463</v>
      </c>
      <c r="I30" s="716" t="s">
        <v>5464</v>
      </c>
      <c r="J30" s="716" t="s">
        <v>5465</v>
      </c>
    </row>
    <row r="31" spans="1:10" ht="14.25" customHeight="1">
      <c r="A31" s="891"/>
      <c r="B31" s="716"/>
      <c r="C31" s="716"/>
      <c r="D31" s="716"/>
      <c r="E31" s="717" t="s">
        <v>5466</v>
      </c>
      <c r="F31" s="716" t="s">
        <v>5467</v>
      </c>
      <c r="G31" s="716" t="s">
        <v>5468</v>
      </c>
      <c r="H31" s="717"/>
      <c r="I31" s="716"/>
      <c r="J31" s="716"/>
    </row>
    <row r="32" spans="1:10">
      <c r="A32" s="891"/>
      <c r="B32" s="716" t="s">
        <v>5469</v>
      </c>
      <c r="C32" s="716" t="s">
        <v>5470</v>
      </c>
      <c r="D32" s="716" t="s">
        <v>5471</v>
      </c>
      <c r="E32" s="717"/>
      <c r="F32" s="716"/>
      <c r="G32" s="716"/>
      <c r="H32" s="717"/>
      <c r="I32" s="716"/>
      <c r="J32" s="716"/>
    </row>
    <row r="33" spans="1:10" ht="14.25" customHeight="1">
      <c r="A33" s="891"/>
      <c r="B33" s="716"/>
      <c r="C33" s="716"/>
      <c r="D33" s="716"/>
      <c r="E33" s="717"/>
      <c r="F33" s="716"/>
      <c r="G33" s="716"/>
      <c r="H33" s="717"/>
      <c r="I33" s="716"/>
      <c r="J33" s="716"/>
    </row>
    <row r="34" spans="1:10">
      <c r="A34" s="891"/>
      <c r="B34" s="716" t="s">
        <v>5472</v>
      </c>
      <c r="C34" s="716" t="s">
        <v>5473</v>
      </c>
      <c r="D34" s="716" t="s">
        <v>5474</v>
      </c>
      <c r="E34" s="717"/>
      <c r="F34" s="716"/>
      <c r="G34" s="716"/>
      <c r="H34" s="717"/>
      <c r="I34" s="716"/>
      <c r="J34" s="716"/>
    </row>
    <row r="35" spans="1:10">
      <c r="A35" s="891"/>
      <c r="B35" s="716"/>
      <c r="C35" s="716"/>
      <c r="D35" s="716"/>
      <c r="E35" s="717"/>
      <c r="F35" s="716"/>
      <c r="G35" s="716"/>
      <c r="H35" s="717"/>
      <c r="I35" s="716"/>
      <c r="J35" s="716"/>
    </row>
    <row r="36" spans="1:10">
      <c r="A36" s="891"/>
      <c r="B36" s="716" t="s">
        <v>5475</v>
      </c>
      <c r="C36" s="716" t="s">
        <v>5476</v>
      </c>
      <c r="D36" s="716" t="s">
        <v>5477</v>
      </c>
      <c r="E36" s="717"/>
      <c r="F36" s="716"/>
      <c r="G36" s="716"/>
      <c r="H36" s="717"/>
      <c r="I36" s="716"/>
      <c r="J36" s="716"/>
    </row>
    <row r="37" spans="1:10">
      <c r="A37" s="891"/>
      <c r="B37" s="716" t="s">
        <v>5478</v>
      </c>
      <c r="C37" s="716" t="s">
        <v>5479</v>
      </c>
      <c r="D37" s="716" t="s">
        <v>5480</v>
      </c>
      <c r="E37" s="717"/>
      <c r="F37" s="716"/>
      <c r="G37" s="716"/>
      <c r="H37" s="717"/>
      <c r="I37" s="716"/>
      <c r="J37" s="716"/>
    </row>
    <row r="38" spans="1:10">
      <c r="A38" s="891"/>
      <c r="B38" s="716" t="s">
        <v>5481</v>
      </c>
      <c r="C38" s="716"/>
      <c r="D38" s="716"/>
      <c r="E38" s="717"/>
      <c r="F38" s="716"/>
      <c r="G38" s="716"/>
      <c r="H38" s="717"/>
      <c r="I38" s="716"/>
      <c r="J38" s="716"/>
    </row>
    <row r="39" spans="1:10">
      <c r="A39" s="891"/>
      <c r="B39" s="716" t="s">
        <v>5482</v>
      </c>
      <c r="C39" s="716" t="s">
        <v>5483</v>
      </c>
      <c r="D39" s="716" t="s">
        <v>5484</v>
      </c>
      <c r="E39" s="717"/>
      <c r="F39" s="716"/>
      <c r="G39" s="716"/>
      <c r="H39" s="717"/>
      <c r="I39" s="716"/>
      <c r="J39" s="716"/>
    </row>
    <row r="40" spans="1:10">
      <c r="A40" s="891"/>
      <c r="B40" s="716" t="s">
        <v>5485</v>
      </c>
      <c r="C40" s="716" t="s">
        <v>5486</v>
      </c>
      <c r="D40" s="716" t="s">
        <v>5487</v>
      </c>
      <c r="E40" s="717"/>
      <c r="F40" s="716"/>
      <c r="G40" s="716"/>
      <c r="H40" s="717"/>
      <c r="I40" s="716"/>
      <c r="J40" s="716"/>
    </row>
    <row r="41" spans="1:10">
      <c r="A41" s="891"/>
      <c r="B41" s="716"/>
      <c r="C41" s="716"/>
      <c r="D41" s="716"/>
      <c r="E41" s="717"/>
      <c r="F41" s="716"/>
      <c r="G41" s="716"/>
      <c r="H41" s="717"/>
      <c r="I41" s="716"/>
      <c r="J41" s="716"/>
    </row>
    <row r="42" spans="1:10" ht="28.3">
      <c r="A42" s="891"/>
      <c r="B42" s="718" t="s">
        <v>5488</v>
      </c>
      <c r="C42" s="718" t="s">
        <v>5489</v>
      </c>
      <c r="D42" s="718" t="s">
        <v>5490</v>
      </c>
      <c r="E42" s="717"/>
      <c r="F42" s="716"/>
      <c r="G42" s="716"/>
      <c r="H42" s="717"/>
      <c r="I42" s="716"/>
      <c r="J42" s="716"/>
    </row>
    <row r="43" spans="1:10">
      <c r="A43" s="891"/>
      <c r="B43" s="716" t="s">
        <v>5491</v>
      </c>
      <c r="C43" s="716" t="s">
        <v>5492</v>
      </c>
      <c r="D43" s="716" t="s">
        <v>5493</v>
      </c>
      <c r="E43" s="717"/>
      <c r="F43" s="716"/>
      <c r="G43" s="716"/>
      <c r="H43" s="717"/>
      <c r="I43" s="716"/>
      <c r="J43" s="716"/>
    </row>
    <row r="44" spans="1:10">
      <c r="A44" s="891"/>
      <c r="B44" s="716" t="s">
        <v>5494</v>
      </c>
      <c r="C44" s="716" t="s">
        <v>5495</v>
      </c>
      <c r="D44" s="716" t="s">
        <v>5496</v>
      </c>
      <c r="E44" s="717" t="s">
        <v>5497</v>
      </c>
      <c r="F44" s="716" t="s">
        <v>5498</v>
      </c>
      <c r="G44" s="716" t="s">
        <v>5499</v>
      </c>
      <c r="H44" s="717" t="s">
        <v>5500</v>
      </c>
      <c r="I44" s="716" t="s">
        <v>5501</v>
      </c>
      <c r="J44" s="716" t="s">
        <v>5502</v>
      </c>
    </row>
    <row r="45" spans="1:10">
      <c r="A45" s="891"/>
      <c r="B45" s="716" t="s">
        <v>5503</v>
      </c>
      <c r="C45" s="716" t="s">
        <v>5504</v>
      </c>
      <c r="D45" s="716" t="s">
        <v>5505</v>
      </c>
      <c r="E45" s="717" t="s">
        <v>5506</v>
      </c>
      <c r="F45" s="716" t="s">
        <v>5507</v>
      </c>
      <c r="G45" s="716" t="s">
        <v>5508</v>
      </c>
      <c r="H45" s="717"/>
      <c r="I45" s="716"/>
      <c r="J45" s="716"/>
    </row>
    <row r="46" spans="1:10">
      <c r="A46" s="891"/>
      <c r="B46" s="716" t="s">
        <v>5509</v>
      </c>
      <c r="C46" s="716" t="s">
        <v>5510</v>
      </c>
      <c r="D46" s="716" t="s">
        <v>5511</v>
      </c>
      <c r="E46" s="717"/>
      <c r="F46" s="716"/>
      <c r="G46" s="716"/>
      <c r="H46" s="717"/>
      <c r="I46" s="716"/>
      <c r="J46" s="716"/>
    </row>
    <row r="47" spans="1:10">
      <c r="A47" s="891"/>
      <c r="B47" s="716" t="s">
        <v>5512</v>
      </c>
      <c r="C47" s="716" t="s">
        <v>5513</v>
      </c>
      <c r="D47" s="716" t="s">
        <v>5514</v>
      </c>
      <c r="E47" s="717"/>
      <c r="F47" s="716"/>
      <c r="G47" s="716"/>
      <c r="H47" s="717"/>
      <c r="I47" s="716"/>
      <c r="J47" s="716"/>
    </row>
    <row r="48" spans="1:10">
      <c r="A48" s="891"/>
      <c r="B48" s="716" t="s">
        <v>5515</v>
      </c>
      <c r="C48" s="716" t="s">
        <v>5516</v>
      </c>
      <c r="D48" s="716" t="s">
        <v>5517</v>
      </c>
      <c r="E48" s="717"/>
      <c r="F48" s="716"/>
      <c r="G48" s="716"/>
      <c r="H48" s="717"/>
      <c r="I48" s="716"/>
      <c r="J48" s="716"/>
    </row>
    <row r="49" spans="1:10">
      <c r="A49" s="891"/>
      <c r="B49" s="716" t="s">
        <v>5518</v>
      </c>
      <c r="C49" s="716" t="s">
        <v>5519</v>
      </c>
      <c r="D49" s="716" t="s">
        <v>5520</v>
      </c>
      <c r="E49" s="717"/>
      <c r="F49" s="716"/>
      <c r="G49" s="716"/>
      <c r="H49" s="717"/>
      <c r="I49" s="716"/>
      <c r="J49" s="716"/>
    </row>
    <row r="50" spans="1:10">
      <c r="A50" s="891"/>
      <c r="B50" s="716" t="s">
        <v>5521</v>
      </c>
      <c r="C50" s="716" t="s">
        <v>5522</v>
      </c>
      <c r="D50" s="716" t="s">
        <v>5523</v>
      </c>
      <c r="E50" s="717"/>
      <c r="F50" s="716"/>
      <c r="G50" s="716"/>
      <c r="H50" s="717"/>
      <c r="I50" s="716"/>
      <c r="J50" s="716"/>
    </row>
    <row r="51" spans="1:10">
      <c r="A51" s="891"/>
      <c r="B51" s="716" t="s">
        <v>5524</v>
      </c>
      <c r="C51" s="716" t="s">
        <v>5525</v>
      </c>
      <c r="D51" s="716" t="s">
        <v>5526</v>
      </c>
      <c r="E51" s="717" t="s">
        <v>5527</v>
      </c>
      <c r="F51" s="716" t="s">
        <v>5528</v>
      </c>
      <c r="G51" s="716" t="s">
        <v>5529</v>
      </c>
      <c r="H51" s="716" t="s">
        <v>5530</v>
      </c>
      <c r="I51" s="716" t="s">
        <v>5531</v>
      </c>
      <c r="J51" s="716" t="s">
        <v>5532</v>
      </c>
    </row>
    <row r="52" spans="1:10">
      <c r="A52" s="891"/>
      <c r="B52" s="716" t="s">
        <v>5533</v>
      </c>
      <c r="C52" s="716" t="s">
        <v>5534</v>
      </c>
      <c r="D52" s="716" t="s">
        <v>5535</v>
      </c>
      <c r="E52" s="717" t="s">
        <v>5536</v>
      </c>
      <c r="F52" s="716" t="s">
        <v>5537</v>
      </c>
      <c r="G52" s="716" t="s">
        <v>5538</v>
      </c>
      <c r="H52" s="716" t="s">
        <v>5539</v>
      </c>
      <c r="I52" s="716" t="s">
        <v>5540</v>
      </c>
      <c r="J52" s="716" t="s">
        <v>5541</v>
      </c>
    </row>
    <row r="53" spans="1:10">
      <c r="A53" s="891"/>
      <c r="B53" s="716" t="s">
        <v>5542</v>
      </c>
      <c r="C53" s="716" t="s">
        <v>5543</v>
      </c>
      <c r="D53" s="716" t="s">
        <v>5544</v>
      </c>
      <c r="E53" s="717" t="s">
        <v>5545</v>
      </c>
      <c r="F53" s="716" t="s">
        <v>5546</v>
      </c>
      <c r="G53" s="716" t="s">
        <v>5547</v>
      </c>
      <c r="H53" s="716" t="s">
        <v>5548</v>
      </c>
      <c r="I53" s="716" t="s">
        <v>5549</v>
      </c>
      <c r="J53" s="716" t="s">
        <v>5550</v>
      </c>
    </row>
    <row r="54" spans="1:10" ht="28.3">
      <c r="A54" s="891"/>
      <c r="B54" s="718" t="s">
        <v>5551</v>
      </c>
      <c r="C54" s="718" t="s">
        <v>5552</v>
      </c>
      <c r="D54" s="718" t="s">
        <v>5553</v>
      </c>
      <c r="E54" s="717"/>
      <c r="F54" s="716"/>
      <c r="G54" s="716"/>
      <c r="H54" s="717"/>
      <c r="I54" s="716"/>
      <c r="J54" s="716"/>
    </row>
    <row r="55" spans="1:10" ht="14.25" customHeight="1">
      <c r="A55" s="890" t="s">
        <v>5554</v>
      </c>
      <c r="B55" s="719" t="s">
        <v>5555</v>
      </c>
      <c r="C55" s="719" t="s">
        <v>5556</v>
      </c>
      <c r="D55" s="719" t="s">
        <v>5557</v>
      </c>
      <c r="E55" s="720"/>
      <c r="F55" s="719"/>
      <c r="G55" s="719"/>
      <c r="H55" s="720" t="s">
        <v>5558</v>
      </c>
      <c r="I55" s="720" t="s">
        <v>5559</v>
      </c>
      <c r="J55" s="720" t="s">
        <v>5560</v>
      </c>
    </row>
    <row r="56" spans="1:10">
      <c r="A56" s="890"/>
      <c r="B56" s="719" t="s">
        <v>5561</v>
      </c>
      <c r="C56" s="719" t="s">
        <v>5562</v>
      </c>
      <c r="D56" s="719" t="s">
        <v>5563</v>
      </c>
      <c r="E56" s="720" t="s">
        <v>5564</v>
      </c>
      <c r="F56" s="719" t="s">
        <v>5565</v>
      </c>
      <c r="G56" s="719" t="s">
        <v>5566</v>
      </c>
      <c r="H56" s="720" t="s">
        <v>5567</v>
      </c>
      <c r="I56" s="719" t="s">
        <v>5568</v>
      </c>
      <c r="J56" s="719" t="s">
        <v>5569</v>
      </c>
    </row>
    <row r="57" spans="1:10">
      <c r="A57" s="890"/>
      <c r="B57" s="719" t="s">
        <v>5570</v>
      </c>
      <c r="C57" s="719" t="s">
        <v>5571</v>
      </c>
      <c r="D57" s="719" t="s">
        <v>5572</v>
      </c>
      <c r="E57" s="720"/>
      <c r="F57" s="719"/>
      <c r="G57" s="719"/>
      <c r="H57" s="720"/>
      <c r="I57" s="719"/>
      <c r="J57" s="719"/>
    </row>
    <row r="58" spans="1:10">
      <c r="A58" s="890"/>
      <c r="B58" s="719" t="s">
        <v>5573</v>
      </c>
      <c r="C58" s="719" t="s">
        <v>5574</v>
      </c>
      <c r="D58" s="719" t="s">
        <v>5575</v>
      </c>
      <c r="E58" s="720"/>
      <c r="F58" s="719"/>
      <c r="G58" s="719"/>
      <c r="H58" s="720"/>
      <c r="I58" s="719"/>
      <c r="J58" s="719"/>
    </row>
    <row r="59" spans="1:10" ht="14.25" customHeight="1">
      <c r="A59" s="890"/>
      <c r="B59" s="719" t="s">
        <v>5576</v>
      </c>
      <c r="C59" s="719" t="s">
        <v>5577</v>
      </c>
      <c r="D59" s="719" t="s">
        <v>5578</v>
      </c>
      <c r="E59" s="720"/>
      <c r="F59" s="719"/>
      <c r="G59" s="719"/>
      <c r="H59" s="720"/>
      <c r="I59" s="719"/>
      <c r="J59" s="719"/>
    </row>
    <row r="60" spans="1:10">
      <c r="A60" s="890"/>
      <c r="B60" s="719" t="s">
        <v>5579</v>
      </c>
      <c r="C60" s="719" t="s">
        <v>5580</v>
      </c>
      <c r="D60" s="719" t="s">
        <v>5581</v>
      </c>
      <c r="E60" s="720"/>
      <c r="F60" s="719"/>
      <c r="G60" s="719"/>
      <c r="H60" s="720"/>
      <c r="I60" s="719"/>
      <c r="J60" s="719"/>
    </row>
    <row r="61" spans="1:10">
      <c r="A61" s="890"/>
      <c r="B61" s="719" t="s">
        <v>5582</v>
      </c>
      <c r="C61" s="719" t="s">
        <v>5583</v>
      </c>
      <c r="D61" s="719" t="s">
        <v>5584</v>
      </c>
      <c r="E61" s="720"/>
      <c r="F61" s="719"/>
      <c r="G61" s="719"/>
      <c r="H61" s="720"/>
      <c r="I61" s="719"/>
      <c r="J61" s="719"/>
    </row>
    <row r="62" spans="1:10">
      <c r="A62" s="890"/>
      <c r="B62" s="719" t="s">
        <v>5585</v>
      </c>
      <c r="C62" s="719" t="s">
        <v>5586</v>
      </c>
      <c r="D62" s="719" t="s">
        <v>5587</v>
      </c>
      <c r="E62" s="720"/>
      <c r="F62" s="719"/>
      <c r="G62" s="719"/>
      <c r="H62" s="720"/>
      <c r="I62" s="719"/>
      <c r="J62" s="719"/>
    </row>
    <row r="63" spans="1:10">
      <c r="A63" s="890"/>
      <c r="B63" s="719"/>
      <c r="C63" s="719"/>
      <c r="D63" s="719"/>
      <c r="E63" s="720"/>
      <c r="F63" s="719"/>
      <c r="G63" s="719"/>
      <c r="H63" s="720"/>
      <c r="I63" s="719"/>
      <c r="J63" s="719"/>
    </row>
    <row r="64" spans="1:10">
      <c r="A64" s="890"/>
      <c r="B64" s="719"/>
      <c r="C64" s="719"/>
      <c r="D64" s="719"/>
      <c r="E64" s="720"/>
      <c r="F64" s="719"/>
      <c r="G64" s="719"/>
      <c r="H64" s="720"/>
      <c r="I64" s="719"/>
      <c r="J64" s="719"/>
    </row>
    <row r="65" spans="1:10">
      <c r="A65" s="890"/>
      <c r="B65" s="719"/>
      <c r="C65" s="719"/>
      <c r="D65" s="719"/>
      <c r="E65" s="720"/>
      <c r="F65" s="719"/>
      <c r="G65" s="719"/>
      <c r="H65" s="720"/>
      <c r="I65" s="719"/>
      <c r="J65" s="719"/>
    </row>
    <row r="66" spans="1:10">
      <c r="A66" s="890"/>
      <c r="B66" s="719"/>
      <c r="C66" s="719"/>
      <c r="D66" s="719"/>
      <c r="E66" s="720"/>
      <c r="F66" s="719"/>
      <c r="G66" s="719"/>
      <c r="H66" s="720"/>
      <c r="I66" s="719"/>
      <c r="J66" s="719"/>
    </row>
    <row r="67" spans="1:10">
      <c r="A67" s="890"/>
      <c r="B67" s="719"/>
      <c r="C67" s="719"/>
      <c r="D67" s="719"/>
      <c r="E67" s="720"/>
      <c r="F67" s="719"/>
      <c r="G67" s="719"/>
      <c r="H67" s="720"/>
      <c r="I67" s="719"/>
      <c r="J67" s="719"/>
    </row>
    <row r="68" spans="1:10">
      <c r="A68" s="890"/>
      <c r="B68" s="719"/>
      <c r="C68" s="719"/>
      <c r="D68" s="719"/>
      <c r="E68" s="720"/>
      <c r="F68" s="719"/>
      <c r="G68" s="719"/>
      <c r="H68" s="720"/>
      <c r="I68" s="719"/>
      <c r="J68" s="719"/>
    </row>
    <row r="69" spans="1:10">
      <c r="A69" s="890"/>
      <c r="B69" s="719"/>
      <c r="C69" s="719"/>
      <c r="D69" s="719"/>
      <c r="E69" s="720"/>
      <c r="F69" s="719"/>
      <c r="G69" s="719"/>
      <c r="H69" s="720"/>
      <c r="I69" s="719"/>
      <c r="J69" s="719"/>
    </row>
    <row r="70" spans="1:10">
      <c r="A70" s="890"/>
      <c r="B70" s="719"/>
      <c r="C70" s="719"/>
      <c r="D70" s="719"/>
      <c r="E70" s="720"/>
      <c r="F70" s="719"/>
      <c r="G70" s="719"/>
      <c r="H70" s="720"/>
      <c r="I70" s="719"/>
      <c r="J70" s="719"/>
    </row>
    <row r="71" spans="1:10">
      <c r="A71" s="890"/>
      <c r="B71" s="719"/>
      <c r="C71" s="719"/>
      <c r="D71" s="719"/>
      <c r="E71" s="720"/>
      <c r="F71" s="719"/>
      <c r="G71" s="719"/>
      <c r="H71" s="720"/>
      <c r="I71" s="719"/>
      <c r="J71" s="719"/>
    </row>
    <row r="72" spans="1:10">
      <c r="A72" s="890"/>
      <c r="B72" s="719"/>
      <c r="C72" s="719"/>
      <c r="D72" s="719"/>
      <c r="E72" s="720"/>
      <c r="F72" s="719"/>
      <c r="G72" s="719"/>
      <c r="H72" s="720"/>
      <c r="I72" s="719"/>
      <c r="J72" s="719"/>
    </row>
    <row r="73" spans="1:10">
      <c r="A73" s="890"/>
      <c r="B73" s="719"/>
      <c r="C73" s="719"/>
      <c r="D73" s="719"/>
      <c r="E73" s="720"/>
      <c r="F73" s="719"/>
      <c r="G73" s="719"/>
      <c r="H73" s="720"/>
      <c r="I73" s="719"/>
      <c r="J73" s="719"/>
    </row>
    <row r="74" spans="1:10">
      <c r="A74" s="890"/>
      <c r="B74" s="719"/>
      <c r="C74" s="719"/>
      <c r="D74" s="719"/>
      <c r="E74" s="720"/>
      <c r="F74" s="719"/>
      <c r="G74" s="719"/>
      <c r="H74" s="720"/>
      <c r="I74" s="719"/>
      <c r="J74" s="719"/>
    </row>
    <row r="75" spans="1:10">
      <c r="A75" s="890"/>
      <c r="B75" s="719" t="s">
        <v>5588</v>
      </c>
      <c r="C75" s="719" t="s">
        <v>5589</v>
      </c>
      <c r="D75" s="719" t="s">
        <v>5590</v>
      </c>
      <c r="E75" s="720"/>
      <c r="F75" s="719"/>
      <c r="G75" s="719"/>
      <c r="H75" s="720"/>
      <c r="I75" s="719"/>
      <c r="J75" s="719"/>
    </row>
    <row r="76" spans="1:10">
      <c r="A76" s="890"/>
      <c r="B76" s="719" t="s">
        <v>5591</v>
      </c>
      <c r="C76" s="719" t="s">
        <v>5592</v>
      </c>
      <c r="D76" s="719" t="s">
        <v>5593</v>
      </c>
      <c r="E76" s="720" t="s">
        <v>5594</v>
      </c>
      <c r="F76" s="719" t="s">
        <v>5595</v>
      </c>
      <c r="G76" s="719" t="s">
        <v>5596</v>
      </c>
      <c r="H76" s="720" t="s">
        <v>5597</v>
      </c>
      <c r="I76" s="719" t="s">
        <v>5598</v>
      </c>
      <c r="J76" s="719" t="s">
        <v>5599</v>
      </c>
    </row>
    <row r="77" spans="1:10">
      <c r="A77" s="890"/>
      <c r="B77" s="719" t="s">
        <v>5600</v>
      </c>
      <c r="C77" s="719" t="s">
        <v>5601</v>
      </c>
      <c r="D77" s="719" t="s">
        <v>5602</v>
      </c>
      <c r="E77" s="720" t="s">
        <v>5603</v>
      </c>
      <c r="F77" s="719" t="s">
        <v>5604</v>
      </c>
      <c r="G77" s="719" t="s">
        <v>5605</v>
      </c>
      <c r="H77" s="720" t="s">
        <v>5606</v>
      </c>
      <c r="I77" s="719" t="s">
        <v>5607</v>
      </c>
      <c r="J77" s="719" t="s">
        <v>5608</v>
      </c>
    </row>
    <row r="78" spans="1:10">
      <c r="A78" s="890"/>
      <c r="B78" s="719" t="s">
        <v>5609</v>
      </c>
      <c r="C78" s="719" t="s">
        <v>5610</v>
      </c>
      <c r="D78" s="719" t="s">
        <v>5611</v>
      </c>
      <c r="E78" s="720" t="s">
        <v>5612</v>
      </c>
      <c r="F78" s="719" t="s">
        <v>5613</v>
      </c>
      <c r="G78" s="719" t="s">
        <v>5614</v>
      </c>
      <c r="H78" s="720" t="s">
        <v>5615</v>
      </c>
      <c r="I78" s="719" t="s">
        <v>5616</v>
      </c>
      <c r="J78" s="719" t="s">
        <v>5617</v>
      </c>
    </row>
    <row r="79" spans="1:10">
      <c r="A79" s="890"/>
      <c r="B79" s="719"/>
      <c r="C79" s="719"/>
      <c r="D79" s="719"/>
      <c r="E79" s="720"/>
      <c r="F79" s="719"/>
      <c r="G79" s="719"/>
      <c r="H79" s="720"/>
      <c r="I79" s="719"/>
      <c r="J79" s="719"/>
    </row>
    <row r="80" spans="1:10">
      <c r="A80" s="889" t="s">
        <v>5618</v>
      </c>
      <c r="B80" s="721" t="s">
        <v>5619</v>
      </c>
      <c r="C80" s="721" t="s">
        <v>5620</v>
      </c>
      <c r="D80" s="721" t="s">
        <v>5621</v>
      </c>
      <c r="E80" s="722"/>
      <c r="F80" s="721"/>
      <c r="G80" s="721"/>
      <c r="H80" s="722"/>
      <c r="I80" s="721"/>
      <c r="J80" s="721"/>
    </row>
    <row r="81" spans="1:10">
      <c r="A81" s="889"/>
      <c r="B81" s="721" t="s">
        <v>5622</v>
      </c>
      <c r="C81" s="721" t="s">
        <v>5623</v>
      </c>
      <c r="D81" s="721" t="s">
        <v>5624</v>
      </c>
      <c r="E81" s="722"/>
      <c r="F81" s="721"/>
      <c r="G81" s="721"/>
      <c r="H81" s="722"/>
      <c r="I81" s="721"/>
      <c r="J81" s="721"/>
    </row>
    <row r="82" spans="1:10">
      <c r="A82" s="889"/>
      <c r="B82" s="721" t="s">
        <v>5625</v>
      </c>
      <c r="C82" s="721" t="s">
        <v>5626</v>
      </c>
      <c r="D82" s="721" t="s">
        <v>5627</v>
      </c>
      <c r="E82" s="722"/>
      <c r="F82" s="722"/>
      <c r="G82" s="722"/>
      <c r="H82" s="722"/>
      <c r="I82" s="721"/>
      <c r="J82" s="721"/>
    </row>
    <row r="83" spans="1:10">
      <c r="A83" s="889"/>
      <c r="B83" s="721" t="s">
        <v>5628</v>
      </c>
      <c r="C83" s="721" t="s">
        <v>5629</v>
      </c>
      <c r="D83" s="721" t="s">
        <v>5630</v>
      </c>
      <c r="E83" s="722"/>
      <c r="F83" s="721"/>
      <c r="G83" s="721"/>
      <c r="H83" s="722"/>
      <c r="I83" s="721"/>
      <c r="J83" s="721"/>
    </row>
    <row r="84" spans="1:10">
      <c r="A84" s="889"/>
      <c r="B84" s="721" t="s">
        <v>5631</v>
      </c>
      <c r="C84" s="721" t="s">
        <v>5632</v>
      </c>
      <c r="D84" s="721" t="s">
        <v>5633</v>
      </c>
      <c r="E84" s="722"/>
      <c r="F84" s="721"/>
      <c r="G84" s="721"/>
      <c r="H84" s="722"/>
      <c r="I84" s="721"/>
      <c r="J84" s="721"/>
    </row>
    <row r="85" spans="1:10">
      <c r="A85" s="889"/>
      <c r="B85" s="721" t="s">
        <v>5634</v>
      </c>
      <c r="C85" s="721" t="s">
        <v>5635</v>
      </c>
      <c r="D85" s="721" t="s">
        <v>5636</v>
      </c>
      <c r="E85" s="722"/>
      <c r="F85" s="721"/>
      <c r="G85" s="721"/>
      <c r="H85" s="722"/>
      <c r="I85" s="721"/>
      <c r="J85" s="721"/>
    </row>
    <row r="86" spans="1:10">
      <c r="A86" s="889"/>
      <c r="B86" s="721" t="s">
        <v>5637</v>
      </c>
      <c r="C86" s="721" t="s">
        <v>5638</v>
      </c>
      <c r="D86" s="721" t="s">
        <v>5639</v>
      </c>
      <c r="E86" s="722"/>
      <c r="F86" s="721"/>
      <c r="G86" s="721"/>
      <c r="H86" s="722"/>
      <c r="I86" s="721"/>
      <c r="J86" s="721"/>
    </row>
    <row r="87" spans="1:10">
      <c r="A87" s="889"/>
      <c r="B87" s="721" t="s">
        <v>5640</v>
      </c>
      <c r="C87" s="721" t="s">
        <v>5641</v>
      </c>
      <c r="D87" s="721" t="s">
        <v>5642</v>
      </c>
      <c r="E87" s="722"/>
      <c r="F87" s="721"/>
      <c r="G87" s="721"/>
      <c r="H87" s="722" t="s">
        <v>5643</v>
      </c>
      <c r="I87" s="721" t="s">
        <v>5644</v>
      </c>
      <c r="J87" s="721" t="s">
        <v>5645</v>
      </c>
    </row>
    <row r="88" spans="1:10">
      <c r="A88" s="889"/>
      <c r="B88" s="721"/>
      <c r="C88" s="721"/>
      <c r="D88" s="721"/>
      <c r="E88" s="722"/>
      <c r="F88" s="721"/>
      <c r="G88" s="721"/>
      <c r="H88" s="722"/>
      <c r="I88" s="721"/>
      <c r="J88" s="721"/>
    </row>
    <row r="89" spans="1:10">
      <c r="A89" s="889"/>
      <c r="B89" s="721"/>
      <c r="C89" s="721"/>
      <c r="D89" s="721"/>
      <c r="E89" s="722"/>
      <c r="F89" s="721"/>
      <c r="G89" s="721"/>
      <c r="H89" s="722"/>
      <c r="I89" s="721"/>
      <c r="J89" s="721"/>
    </row>
    <row r="90" spans="1:10">
      <c r="A90" s="889"/>
      <c r="B90" s="721"/>
      <c r="C90" s="721"/>
      <c r="D90" s="721"/>
      <c r="E90" s="722"/>
      <c r="F90" s="721"/>
      <c r="G90" s="721"/>
      <c r="H90" s="722"/>
      <c r="I90" s="721"/>
      <c r="J90" s="721"/>
    </row>
    <row r="91" spans="1:10">
      <c r="A91" s="889"/>
      <c r="B91" s="721"/>
      <c r="C91" s="721"/>
      <c r="D91" s="721"/>
      <c r="E91" s="722"/>
      <c r="F91" s="721"/>
      <c r="G91" s="721"/>
      <c r="H91" s="722"/>
      <c r="I91" s="721"/>
      <c r="J91" s="721"/>
    </row>
    <row r="92" spans="1:10">
      <c r="A92" s="889"/>
      <c r="B92" s="721"/>
      <c r="C92" s="721"/>
      <c r="D92" s="721"/>
      <c r="E92" s="722"/>
      <c r="F92" s="721"/>
      <c r="G92" s="721"/>
      <c r="H92" s="722"/>
      <c r="I92" s="721"/>
      <c r="J92" s="721"/>
    </row>
    <row r="93" spans="1:10">
      <c r="A93" s="889"/>
      <c r="B93" s="721"/>
      <c r="C93" s="721"/>
      <c r="D93" s="721"/>
      <c r="E93" s="722"/>
      <c r="F93" s="721"/>
      <c r="G93" s="721"/>
      <c r="H93" s="722"/>
      <c r="I93" s="721"/>
      <c r="J93" s="721"/>
    </row>
    <row r="94" spans="1:10">
      <c r="A94" s="889"/>
      <c r="B94" s="721"/>
      <c r="C94" s="721"/>
      <c r="D94" s="721"/>
      <c r="E94" s="722"/>
      <c r="F94" s="721"/>
      <c r="G94" s="721"/>
      <c r="H94" s="722"/>
      <c r="I94" s="721"/>
      <c r="J94" s="721"/>
    </row>
    <row r="95" spans="1:10">
      <c r="A95" s="889"/>
      <c r="B95" s="723"/>
      <c r="C95" s="723"/>
      <c r="D95" s="723"/>
      <c r="E95" s="724"/>
      <c r="F95" s="723"/>
      <c r="G95" s="723"/>
      <c r="H95" s="724"/>
      <c r="I95" s="723"/>
      <c r="J95" s="723"/>
    </row>
    <row r="96" spans="1:10">
      <c r="A96" s="889"/>
      <c r="B96" s="723"/>
      <c r="C96" s="723"/>
      <c r="D96" s="723"/>
      <c r="E96" s="724"/>
      <c r="F96" s="723"/>
      <c r="G96" s="723"/>
      <c r="H96" s="724"/>
      <c r="I96" s="723"/>
      <c r="J96" s="723"/>
    </row>
    <row r="97" spans="1:10">
      <c r="A97" s="889"/>
      <c r="B97" s="723"/>
      <c r="C97" s="723"/>
      <c r="D97" s="723"/>
      <c r="E97" s="724"/>
      <c r="F97" s="723"/>
      <c r="G97" s="723"/>
      <c r="H97" s="724"/>
      <c r="I97" s="723"/>
      <c r="J97" s="723"/>
    </row>
    <row r="98" spans="1:10">
      <c r="A98" s="889"/>
      <c r="B98" s="723"/>
      <c r="C98" s="723"/>
      <c r="D98" s="723"/>
      <c r="E98" s="724"/>
      <c r="F98" s="723"/>
      <c r="G98" s="723"/>
      <c r="H98" s="724"/>
      <c r="I98" s="723"/>
      <c r="J98" s="723"/>
    </row>
    <row r="99" spans="1:10">
      <c r="A99" s="889"/>
      <c r="B99" s="723"/>
      <c r="C99" s="723"/>
      <c r="D99" s="723"/>
      <c r="E99" s="724"/>
      <c r="F99" s="723"/>
      <c r="G99" s="723"/>
      <c r="H99" s="724"/>
      <c r="I99" s="723"/>
      <c r="J99" s="723"/>
    </row>
    <row r="100" spans="1:10">
      <c r="A100" s="889"/>
      <c r="B100" s="723"/>
      <c r="C100" s="723"/>
      <c r="D100" s="723"/>
      <c r="E100" s="724"/>
      <c r="F100" s="723"/>
      <c r="G100" s="723"/>
      <c r="H100" s="724"/>
      <c r="I100" s="723"/>
      <c r="J100" s="723"/>
    </row>
    <row r="101" spans="1:10">
      <c r="A101" s="889"/>
      <c r="B101" s="723" t="s">
        <v>5646</v>
      </c>
      <c r="C101" s="723" t="s">
        <v>5647</v>
      </c>
      <c r="D101" s="723" t="s">
        <v>5648</v>
      </c>
      <c r="E101" s="724" t="s">
        <v>5649</v>
      </c>
      <c r="F101" s="723" t="s">
        <v>5650</v>
      </c>
      <c r="G101" s="723" t="s">
        <v>5651</v>
      </c>
      <c r="H101" s="724" t="s">
        <v>5652</v>
      </c>
      <c r="I101" s="723" t="s">
        <v>5653</v>
      </c>
      <c r="J101" s="723" t="s">
        <v>5654</v>
      </c>
    </row>
    <row r="102" spans="1:10">
      <c r="A102" s="889"/>
      <c r="B102" s="723" t="s">
        <v>5655</v>
      </c>
      <c r="C102" s="723" t="s">
        <v>5656</v>
      </c>
      <c r="D102" s="723" t="s">
        <v>5657</v>
      </c>
      <c r="E102" s="724" t="s">
        <v>5658</v>
      </c>
      <c r="F102" s="723" t="s">
        <v>5659</v>
      </c>
      <c r="G102" s="723" t="s">
        <v>5660</v>
      </c>
      <c r="H102" s="724" t="s">
        <v>5661</v>
      </c>
      <c r="I102" s="723" t="s">
        <v>5662</v>
      </c>
      <c r="J102" s="723" t="s">
        <v>5663</v>
      </c>
    </row>
    <row r="103" spans="1:10">
      <c r="A103" s="889"/>
      <c r="B103" s="723" t="s">
        <v>5664</v>
      </c>
      <c r="C103" s="723" t="s">
        <v>5665</v>
      </c>
      <c r="D103" s="723" t="s">
        <v>5666</v>
      </c>
      <c r="E103" s="724" t="s">
        <v>5667</v>
      </c>
      <c r="F103" s="723" t="s">
        <v>5668</v>
      </c>
      <c r="G103" s="723" t="s">
        <v>5669</v>
      </c>
      <c r="H103" s="724" t="s">
        <v>5670</v>
      </c>
      <c r="I103" s="723" t="s">
        <v>5671</v>
      </c>
      <c r="J103" s="723" t="s">
        <v>5672</v>
      </c>
    </row>
    <row r="104" spans="1:10">
      <c r="A104" s="889"/>
      <c r="B104" s="723"/>
      <c r="C104" s="723"/>
      <c r="D104" s="723"/>
      <c r="E104" s="724"/>
      <c r="F104" s="723"/>
      <c r="G104" s="723"/>
      <c r="H104" s="724"/>
      <c r="I104" s="723"/>
      <c r="J104" s="723"/>
    </row>
    <row r="105" spans="1:10">
      <c r="A105" s="888" t="s">
        <v>5673</v>
      </c>
      <c r="B105" s="725" t="s">
        <v>5674</v>
      </c>
      <c r="C105" s="725" t="s">
        <v>5675</v>
      </c>
      <c r="D105" s="725" t="s">
        <v>5676</v>
      </c>
      <c r="E105" s="726" t="s">
        <v>5677</v>
      </c>
      <c r="F105" s="726" t="s">
        <v>5678</v>
      </c>
      <c r="G105" s="726" t="s">
        <v>5679</v>
      </c>
      <c r="H105" s="726" t="s">
        <v>5680</v>
      </c>
      <c r="I105" s="726" t="s">
        <v>5681</v>
      </c>
      <c r="J105" s="726" t="s">
        <v>5682</v>
      </c>
    </row>
    <row r="106" spans="1:10">
      <c r="A106" s="888"/>
      <c r="B106" s="725" t="s">
        <v>5683</v>
      </c>
      <c r="C106" s="725" t="s">
        <v>5684</v>
      </c>
      <c r="D106" s="725" t="s">
        <v>5685</v>
      </c>
      <c r="E106" s="726"/>
      <c r="F106" s="725"/>
      <c r="G106" s="725"/>
      <c r="H106" s="726"/>
      <c r="I106" s="725"/>
      <c r="J106" s="725"/>
    </row>
    <row r="107" spans="1:10">
      <c r="A107" s="888"/>
      <c r="B107" s="725" t="s">
        <v>5686</v>
      </c>
      <c r="C107" s="725" t="s">
        <v>5687</v>
      </c>
      <c r="D107" s="725" t="s">
        <v>5688</v>
      </c>
      <c r="E107" s="726"/>
      <c r="F107" s="725"/>
      <c r="G107" s="725"/>
      <c r="H107" s="726"/>
      <c r="I107" s="725"/>
      <c r="J107" s="725"/>
    </row>
    <row r="108" spans="1:10">
      <c r="A108" s="888"/>
      <c r="B108" s="725" t="s">
        <v>5689</v>
      </c>
      <c r="C108" s="725" t="s">
        <v>5690</v>
      </c>
      <c r="D108" s="725" t="s">
        <v>5691</v>
      </c>
      <c r="E108" s="726"/>
      <c r="F108" s="725"/>
      <c r="G108" s="725"/>
      <c r="H108" s="726"/>
      <c r="I108" s="725"/>
      <c r="J108" s="725"/>
    </row>
    <row r="109" spans="1:10">
      <c r="A109" s="888"/>
      <c r="B109" s="725" t="s">
        <v>5692</v>
      </c>
      <c r="C109" s="725" t="s">
        <v>5693</v>
      </c>
      <c r="D109" s="725" t="s">
        <v>5694</v>
      </c>
      <c r="E109" s="726"/>
      <c r="F109" s="725"/>
      <c r="G109" s="725"/>
      <c r="H109" s="726"/>
      <c r="I109" s="725"/>
      <c r="J109" s="725"/>
    </row>
    <row r="110" spans="1:10">
      <c r="A110" s="888"/>
      <c r="B110" s="725"/>
      <c r="C110" s="725"/>
      <c r="D110" s="725"/>
      <c r="E110" s="726"/>
      <c r="F110" s="725"/>
      <c r="G110" s="725"/>
      <c r="H110" s="726"/>
      <c r="I110" s="725"/>
      <c r="J110" s="725"/>
    </row>
    <row r="111" spans="1:10">
      <c r="A111" s="888"/>
      <c r="B111" s="725"/>
      <c r="C111" s="725"/>
      <c r="D111" s="725"/>
      <c r="E111" s="726"/>
      <c r="F111" s="725"/>
      <c r="G111" s="725"/>
      <c r="H111" s="726"/>
      <c r="I111" s="725"/>
      <c r="J111" s="725"/>
    </row>
    <row r="112" spans="1:10">
      <c r="A112" s="888"/>
      <c r="B112" s="725"/>
      <c r="C112" s="725"/>
      <c r="D112" s="725"/>
      <c r="E112" s="726"/>
      <c r="F112" s="725"/>
      <c r="G112" s="725"/>
      <c r="H112" s="726"/>
      <c r="I112" s="725"/>
      <c r="J112" s="725"/>
    </row>
    <row r="113" spans="1:10">
      <c r="A113" s="888"/>
      <c r="B113" s="725"/>
      <c r="C113" s="725"/>
      <c r="D113" s="725"/>
      <c r="E113" s="726"/>
      <c r="F113" s="725"/>
      <c r="G113" s="725"/>
      <c r="H113" s="726"/>
      <c r="I113" s="725"/>
      <c r="J113" s="725"/>
    </row>
    <row r="114" spans="1:10">
      <c r="A114" s="888"/>
      <c r="B114" s="725"/>
      <c r="C114" s="725"/>
      <c r="D114" s="725"/>
      <c r="E114" s="726"/>
      <c r="F114" s="725"/>
      <c r="G114" s="725"/>
      <c r="H114" s="726"/>
      <c r="I114" s="725"/>
      <c r="J114" s="725"/>
    </row>
    <row r="115" spans="1:10">
      <c r="A115" s="888"/>
      <c r="B115" s="725"/>
      <c r="C115" s="725"/>
      <c r="D115" s="725"/>
      <c r="E115" s="726"/>
      <c r="F115" s="725"/>
      <c r="G115" s="725"/>
      <c r="H115" s="726"/>
      <c r="I115" s="725"/>
      <c r="J115" s="725"/>
    </row>
    <row r="116" spans="1:10">
      <c r="A116" s="888"/>
      <c r="B116" s="725"/>
      <c r="C116" s="725"/>
      <c r="D116" s="725"/>
      <c r="E116" s="726"/>
      <c r="F116" s="725"/>
      <c r="G116" s="725"/>
      <c r="H116" s="726"/>
      <c r="I116" s="725"/>
      <c r="J116" s="725"/>
    </row>
    <row r="117" spans="1:10">
      <c r="A117" s="888"/>
      <c r="B117" s="725"/>
      <c r="C117" s="725"/>
      <c r="D117" s="725"/>
      <c r="E117" s="726"/>
      <c r="F117" s="725"/>
      <c r="G117" s="725"/>
      <c r="H117" s="726"/>
      <c r="I117" s="725"/>
      <c r="J117" s="725"/>
    </row>
    <row r="118" spans="1:10">
      <c r="A118" s="888"/>
      <c r="B118" s="725"/>
      <c r="C118" s="725"/>
      <c r="D118" s="725"/>
      <c r="E118" s="726"/>
      <c r="F118" s="725"/>
      <c r="G118" s="725"/>
      <c r="H118" s="726"/>
      <c r="I118" s="725"/>
      <c r="J118" s="725"/>
    </row>
    <row r="119" spans="1:10">
      <c r="A119" s="888"/>
      <c r="B119" s="725"/>
      <c r="C119" s="725"/>
      <c r="D119" s="725"/>
      <c r="E119" s="726"/>
      <c r="F119" s="725"/>
      <c r="G119" s="725"/>
      <c r="H119" s="726"/>
      <c r="I119" s="725"/>
      <c r="J119" s="725"/>
    </row>
    <row r="120" spans="1:10">
      <c r="A120" s="888"/>
      <c r="B120" s="725"/>
      <c r="C120" s="725"/>
      <c r="D120" s="725"/>
      <c r="E120" s="726"/>
      <c r="F120" s="725"/>
      <c r="G120" s="725"/>
      <c r="H120" s="726"/>
      <c r="I120" s="725"/>
      <c r="J120" s="725"/>
    </row>
    <row r="121" spans="1:10">
      <c r="A121" s="888"/>
      <c r="B121" s="725"/>
      <c r="C121" s="725"/>
      <c r="D121" s="725"/>
      <c r="E121" s="726"/>
      <c r="F121" s="725"/>
      <c r="G121" s="725"/>
      <c r="H121" s="726"/>
      <c r="I121" s="725"/>
      <c r="J121" s="725"/>
    </row>
    <row r="122" spans="1:10">
      <c r="A122" s="888"/>
      <c r="B122" s="725"/>
      <c r="C122" s="725"/>
      <c r="D122" s="725"/>
      <c r="E122" s="726"/>
      <c r="F122" s="725"/>
      <c r="G122" s="725"/>
      <c r="H122" s="726"/>
      <c r="I122" s="725"/>
      <c r="J122" s="725"/>
    </row>
    <row r="123" spans="1:10">
      <c r="A123" s="888"/>
      <c r="B123" s="725"/>
      <c r="C123" s="725"/>
      <c r="D123" s="725"/>
      <c r="E123" s="726"/>
      <c r="F123" s="725"/>
      <c r="G123" s="725"/>
      <c r="H123" s="726"/>
      <c r="I123" s="725"/>
      <c r="J123" s="725"/>
    </row>
    <row r="124" spans="1:10">
      <c r="A124" s="888"/>
      <c r="B124" s="725"/>
      <c r="C124" s="725"/>
      <c r="D124" s="725"/>
      <c r="E124" s="726"/>
      <c r="F124" s="725"/>
      <c r="G124" s="725"/>
      <c r="H124" s="726"/>
      <c r="I124" s="725"/>
      <c r="J124" s="725"/>
    </row>
    <row r="125" spans="1:10">
      <c r="A125" s="888"/>
      <c r="B125" s="725"/>
      <c r="C125" s="725"/>
      <c r="D125" s="725"/>
      <c r="E125" s="726"/>
      <c r="F125" s="725"/>
      <c r="G125" s="725"/>
      <c r="H125" s="726"/>
      <c r="I125" s="725"/>
      <c r="J125" s="725"/>
    </row>
    <row r="126" spans="1:10">
      <c r="A126" s="888"/>
      <c r="B126" s="725" t="s">
        <v>5695</v>
      </c>
      <c r="C126" s="725" t="s">
        <v>5696</v>
      </c>
      <c r="D126" s="725" t="s">
        <v>5697</v>
      </c>
      <c r="E126" s="726" t="s">
        <v>5698</v>
      </c>
      <c r="F126" s="725" t="s">
        <v>5699</v>
      </c>
      <c r="G126" s="725" t="s">
        <v>5700</v>
      </c>
      <c r="H126" s="726" t="s">
        <v>5701</v>
      </c>
      <c r="I126" s="725" t="s">
        <v>5702</v>
      </c>
      <c r="J126" s="725" t="s">
        <v>5703</v>
      </c>
    </row>
    <row r="127" spans="1:10">
      <c r="A127" s="888"/>
      <c r="B127" s="725" t="s">
        <v>5704</v>
      </c>
      <c r="C127" s="725" t="s">
        <v>5705</v>
      </c>
      <c r="D127" s="725" t="s">
        <v>5706</v>
      </c>
      <c r="E127" s="726" t="s">
        <v>5707</v>
      </c>
      <c r="F127" s="725" t="s">
        <v>5708</v>
      </c>
      <c r="G127" s="725" t="s">
        <v>5709</v>
      </c>
      <c r="H127" s="726" t="s">
        <v>5710</v>
      </c>
      <c r="I127" s="725" t="s">
        <v>5711</v>
      </c>
      <c r="J127" s="725" t="s">
        <v>5712</v>
      </c>
    </row>
    <row r="128" spans="1:10">
      <c r="A128" s="888"/>
      <c r="B128" s="725" t="s">
        <v>5713</v>
      </c>
      <c r="C128" s="725" t="s">
        <v>5714</v>
      </c>
      <c r="D128" s="725" t="s">
        <v>5715</v>
      </c>
      <c r="E128" s="726" t="s">
        <v>5716</v>
      </c>
      <c r="F128" s="725" t="s">
        <v>5717</v>
      </c>
      <c r="G128" s="725" t="s">
        <v>5718</v>
      </c>
      <c r="H128" s="726" t="s">
        <v>5719</v>
      </c>
      <c r="I128" s="725" t="s">
        <v>5720</v>
      </c>
      <c r="J128" s="725" t="s">
        <v>5721</v>
      </c>
    </row>
    <row r="129" spans="1:10">
      <c r="A129" s="888"/>
      <c r="B129" s="725"/>
      <c r="C129" s="725"/>
      <c r="D129" s="725"/>
      <c r="E129" s="726"/>
      <c r="F129" s="725"/>
      <c r="G129" s="725"/>
      <c r="H129" s="726"/>
      <c r="I129" s="725"/>
      <c r="J129" s="725"/>
    </row>
    <row r="130" spans="1:10">
      <c r="A130" s="727"/>
    </row>
    <row r="131" spans="1:10">
      <c r="A131" s="727"/>
    </row>
    <row r="132" spans="1:10">
      <c r="A132" s="727"/>
    </row>
    <row r="133" spans="1:10">
      <c r="A133" s="727"/>
    </row>
    <row r="134" spans="1:10">
      <c r="A134" s="727"/>
    </row>
    <row r="135" spans="1:10">
      <c r="A135" s="727"/>
    </row>
    <row r="136" spans="1:10">
      <c r="A136" s="727"/>
    </row>
    <row r="137" spans="1:10">
      <c r="A137" s="727"/>
    </row>
    <row r="138" spans="1:10">
      <c r="A138" s="727"/>
    </row>
    <row r="139" spans="1:10">
      <c r="A139" s="727"/>
    </row>
    <row r="140" spans="1:10">
      <c r="A140" s="727"/>
    </row>
    <row r="141" spans="1:10">
      <c r="A141" s="727"/>
    </row>
    <row r="142" spans="1:10">
      <c r="A142" s="727"/>
    </row>
    <row r="143" spans="1:10">
      <c r="A143" s="727"/>
    </row>
    <row r="144" spans="1:10">
      <c r="A144" s="727"/>
    </row>
  </sheetData>
  <mergeCells count="11">
    <mergeCell ref="B1:D1"/>
    <mergeCell ref="B2:D2"/>
    <mergeCell ref="B3:D3"/>
    <mergeCell ref="E3:G3"/>
    <mergeCell ref="E1:G1"/>
    <mergeCell ref="E2:G2"/>
    <mergeCell ref="A105:A129"/>
    <mergeCell ref="A80:A104"/>
    <mergeCell ref="A55:A79"/>
    <mergeCell ref="A30:A54"/>
    <mergeCell ref="A5:A29"/>
  </mergeCells>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01"/>
  <sheetViews>
    <sheetView topLeftCell="F13" workbookViewId="0">
      <selection activeCell="F35" sqref="F35"/>
    </sheetView>
  </sheetViews>
  <sheetFormatPr defaultRowHeight="14.15"/>
  <cols>
    <col min="2" max="2" width="27.5" bestFit="1" customWidth="1"/>
    <col min="4" max="4" width="84.2109375" bestFit="1" customWidth="1"/>
    <col min="5" max="5" width="154.92578125" bestFit="1" customWidth="1"/>
    <col min="6" max="6" width="216.92578125" bestFit="1" customWidth="1"/>
    <col min="7" max="7" width="249.5703125" bestFit="1" customWidth="1"/>
    <col min="8" max="8" width="222.92578125" bestFit="1" customWidth="1"/>
  </cols>
  <sheetData>
    <row r="1" spans="1:8" ht="17.600000000000001">
      <c r="A1" s="780" t="s">
        <v>5971</v>
      </c>
      <c r="B1" s="780" t="s">
        <v>5192</v>
      </c>
      <c r="C1" s="780" t="s">
        <v>312</v>
      </c>
      <c r="D1" s="780" t="s">
        <v>5972</v>
      </c>
      <c r="E1" s="780" t="s">
        <v>5973</v>
      </c>
      <c r="F1" s="780" t="s">
        <v>5974</v>
      </c>
      <c r="G1" s="780" t="s">
        <v>5975</v>
      </c>
      <c r="H1" s="780" t="s">
        <v>5976</v>
      </c>
    </row>
    <row r="2" spans="1:8">
      <c r="A2" s="754" t="s">
        <v>5977</v>
      </c>
      <c r="B2" s="754" t="s">
        <v>5978</v>
      </c>
      <c r="C2" s="754" t="s">
        <v>1225</v>
      </c>
      <c r="D2" s="754" t="s">
        <v>5979</v>
      </c>
      <c r="E2" s="754" t="s">
        <v>5980</v>
      </c>
      <c r="F2" s="754" t="s">
        <v>5981</v>
      </c>
      <c r="G2" s="754" t="s">
        <v>5982</v>
      </c>
      <c r="H2" s="754" t="s">
        <v>5983</v>
      </c>
    </row>
    <row r="3" spans="1:8">
      <c r="A3" s="754" t="s">
        <v>5984</v>
      </c>
      <c r="B3" s="754" t="s">
        <v>5985</v>
      </c>
      <c r="C3" s="754" t="s">
        <v>1225</v>
      </c>
      <c r="D3" s="754" t="s">
        <v>5986</v>
      </c>
      <c r="E3" s="754" t="s">
        <v>5987</v>
      </c>
      <c r="F3" s="754" t="s">
        <v>5988</v>
      </c>
      <c r="G3" s="754" t="s">
        <v>5989</v>
      </c>
      <c r="H3" s="754" t="s">
        <v>5990</v>
      </c>
    </row>
    <row r="4" spans="1:8">
      <c r="A4" s="754" t="s">
        <v>5991</v>
      </c>
      <c r="B4" s="754" t="s">
        <v>5992</v>
      </c>
      <c r="C4" s="754" t="s">
        <v>1225</v>
      </c>
      <c r="D4" s="754" t="s">
        <v>5993</v>
      </c>
      <c r="E4" s="754" t="s">
        <v>5994</v>
      </c>
      <c r="F4" s="754" t="s">
        <v>5995</v>
      </c>
      <c r="G4" s="754" t="s">
        <v>5996</v>
      </c>
      <c r="H4" s="754" t="s">
        <v>5997</v>
      </c>
    </row>
    <row r="5" spans="1:8">
      <c r="A5" s="754" t="s">
        <v>5998</v>
      </c>
      <c r="B5" s="754" t="s">
        <v>5999</v>
      </c>
      <c r="C5" s="754" t="s">
        <v>1225</v>
      </c>
      <c r="D5" s="754" t="s">
        <v>6000</v>
      </c>
      <c r="E5" s="754" t="s">
        <v>6001</v>
      </c>
      <c r="F5" s="754" t="s">
        <v>6002</v>
      </c>
      <c r="G5" s="754" t="s">
        <v>6003</v>
      </c>
      <c r="H5" s="754" t="s">
        <v>6004</v>
      </c>
    </row>
    <row r="6" spans="1:8">
      <c r="A6" s="754" t="s">
        <v>6005</v>
      </c>
      <c r="B6" s="754" t="s">
        <v>6006</v>
      </c>
      <c r="C6" s="754" t="s">
        <v>1225</v>
      </c>
      <c r="D6" s="754" t="s">
        <v>6007</v>
      </c>
      <c r="E6" s="754" t="s">
        <v>6008</v>
      </c>
      <c r="F6" s="754" t="s">
        <v>6009</v>
      </c>
      <c r="G6" s="754" t="s">
        <v>6010</v>
      </c>
      <c r="H6" s="754" t="s">
        <v>6011</v>
      </c>
    </row>
    <row r="7" spans="1:8">
      <c r="A7" s="754" t="s">
        <v>6012</v>
      </c>
      <c r="B7" s="754" t="s">
        <v>6013</v>
      </c>
      <c r="C7" s="754" t="s">
        <v>1225</v>
      </c>
      <c r="D7" s="754" t="s">
        <v>6014</v>
      </c>
      <c r="E7" s="754" t="s">
        <v>6015</v>
      </c>
      <c r="F7" s="754" t="s">
        <v>6016</v>
      </c>
      <c r="G7" s="754" t="s">
        <v>6017</v>
      </c>
      <c r="H7" s="754" t="s">
        <v>6018</v>
      </c>
    </row>
    <row r="8" spans="1:8">
      <c r="A8" s="754" t="s">
        <v>6019</v>
      </c>
      <c r="B8" s="754" t="s">
        <v>6020</v>
      </c>
      <c r="C8" s="754" t="s">
        <v>1225</v>
      </c>
      <c r="D8" s="754" t="s">
        <v>6021</v>
      </c>
      <c r="E8" s="754" t="s">
        <v>6022</v>
      </c>
      <c r="F8" s="754" t="s">
        <v>6023</v>
      </c>
      <c r="G8" s="754" t="s">
        <v>6024</v>
      </c>
      <c r="H8" s="754" t="s">
        <v>6025</v>
      </c>
    </row>
    <row r="9" spans="1:8">
      <c r="A9" s="754" t="s">
        <v>6026</v>
      </c>
      <c r="B9" s="754" t="s">
        <v>6027</v>
      </c>
      <c r="C9" s="754" t="s">
        <v>1225</v>
      </c>
      <c r="D9" s="754" t="s">
        <v>6028</v>
      </c>
      <c r="E9" s="754" t="s">
        <v>6029</v>
      </c>
      <c r="F9" s="754" t="s">
        <v>6030</v>
      </c>
      <c r="G9" s="754" t="s">
        <v>6031</v>
      </c>
      <c r="H9" s="754" t="s">
        <v>6032</v>
      </c>
    </row>
    <row r="10" spans="1:8">
      <c r="A10" s="754" t="s">
        <v>6033</v>
      </c>
      <c r="B10" s="754" t="s">
        <v>6034</v>
      </c>
      <c r="C10" s="754" t="s">
        <v>1225</v>
      </c>
      <c r="D10" s="754" t="s">
        <v>6035</v>
      </c>
      <c r="E10" s="754" t="s">
        <v>6036</v>
      </c>
      <c r="F10" s="754" t="s">
        <v>6037</v>
      </c>
      <c r="G10" s="754" t="s">
        <v>6038</v>
      </c>
      <c r="H10" s="754" t="s">
        <v>6419</v>
      </c>
    </row>
    <row r="11" spans="1:8">
      <c r="A11" s="754" t="s">
        <v>6039</v>
      </c>
      <c r="B11" s="754" t="s">
        <v>6040</v>
      </c>
      <c r="C11" s="754" t="s">
        <v>1225</v>
      </c>
      <c r="D11" s="754" t="s">
        <v>6041</v>
      </c>
      <c r="E11" s="754" t="s">
        <v>6042</v>
      </c>
      <c r="F11" s="754" t="s">
        <v>6043</v>
      </c>
      <c r="G11" s="754" t="s">
        <v>6044</v>
      </c>
      <c r="H11" s="754" t="s">
        <v>6045</v>
      </c>
    </row>
    <row r="12" spans="1:8">
      <c r="A12" s="754" t="s">
        <v>6046</v>
      </c>
      <c r="B12" s="754" t="s">
        <v>6047</v>
      </c>
      <c r="C12" s="754" t="s">
        <v>1231</v>
      </c>
      <c r="D12" s="754" t="s">
        <v>6048</v>
      </c>
      <c r="E12" s="754" t="s">
        <v>6049</v>
      </c>
      <c r="F12" s="754" t="s">
        <v>6050</v>
      </c>
      <c r="G12" s="754" t="s">
        <v>6051</v>
      </c>
      <c r="H12" s="754" t="s">
        <v>6052</v>
      </c>
    </row>
    <row r="13" spans="1:8">
      <c r="A13" s="754" t="s">
        <v>6053</v>
      </c>
      <c r="B13" s="754" t="s">
        <v>6054</v>
      </c>
      <c r="C13" s="754" t="s">
        <v>1231</v>
      </c>
      <c r="D13" s="754" t="s">
        <v>6055</v>
      </c>
      <c r="E13" s="754" t="s">
        <v>6056</v>
      </c>
      <c r="F13" s="754" t="s">
        <v>6057</v>
      </c>
      <c r="G13" s="754" t="s">
        <v>6058</v>
      </c>
      <c r="H13" s="754" t="s">
        <v>6059</v>
      </c>
    </row>
    <row r="14" spans="1:8">
      <c r="A14" s="754" t="s">
        <v>6060</v>
      </c>
      <c r="B14" s="754" t="s">
        <v>6061</v>
      </c>
      <c r="C14" s="754" t="s">
        <v>1231</v>
      </c>
      <c r="D14" s="754" t="s">
        <v>6062</v>
      </c>
      <c r="E14" s="754" t="s">
        <v>6001</v>
      </c>
      <c r="F14" s="754" t="s">
        <v>6063</v>
      </c>
      <c r="G14" s="754" t="s">
        <v>6064</v>
      </c>
      <c r="H14" s="754" t="s">
        <v>6065</v>
      </c>
    </row>
    <row r="15" spans="1:8">
      <c r="A15" s="754" t="s">
        <v>6066</v>
      </c>
      <c r="B15" s="754" t="s">
        <v>6067</v>
      </c>
      <c r="C15" s="754" t="s">
        <v>1231</v>
      </c>
      <c r="D15" s="754" t="s">
        <v>6068</v>
      </c>
      <c r="E15" s="754" t="s">
        <v>6069</v>
      </c>
      <c r="F15" s="754" t="s">
        <v>6070</v>
      </c>
      <c r="G15" s="754" t="s">
        <v>6071</v>
      </c>
      <c r="H15" s="754" t="s">
        <v>6072</v>
      </c>
    </row>
    <row r="16" spans="1:8">
      <c r="A16" s="754" t="s">
        <v>6073</v>
      </c>
      <c r="B16" s="754" t="s">
        <v>6074</v>
      </c>
      <c r="C16" s="754" t="s">
        <v>1231</v>
      </c>
      <c r="D16" s="754" t="s">
        <v>6075</v>
      </c>
      <c r="E16" s="754" t="s">
        <v>6418</v>
      </c>
      <c r="F16" s="754" t="s">
        <v>6076</v>
      </c>
      <c r="G16" s="754" t="s">
        <v>6077</v>
      </c>
      <c r="H16" s="754" t="s">
        <v>6078</v>
      </c>
    </row>
    <row r="17" spans="1:8">
      <c r="A17" s="754" t="s">
        <v>6079</v>
      </c>
      <c r="B17" s="754" t="s">
        <v>6080</v>
      </c>
      <c r="C17" s="754" t="s">
        <v>1231</v>
      </c>
      <c r="D17" s="754" t="s">
        <v>6081</v>
      </c>
      <c r="E17" s="754" t="s">
        <v>6082</v>
      </c>
      <c r="F17" s="754" t="s">
        <v>6083</v>
      </c>
      <c r="G17" s="754" t="s">
        <v>6084</v>
      </c>
      <c r="H17" s="754" t="s">
        <v>6085</v>
      </c>
    </row>
    <row r="18" spans="1:8">
      <c r="A18" s="754" t="s">
        <v>6086</v>
      </c>
      <c r="B18" s="754" t="s">
        <v>6087</v>
      </c>
      <c r="C18" s="754" t="s">
        <v>1231</v>
      </c>
      <c r="D18" s="754" t="s">
        <v>6088</v>
      </c>
      <c r="E18" s="754" t="s">
        <v>6089</v>
      </c>
      <c r="F18" s="754" t="s">
        <v>6090</v>
      </c>
      <c r="G18" s="754" t="s">
        <v>6091</v>
      </c>
      <c r="H18" s="754" t="s">
        <v>6092</v>
      </c>
    </row>
    <row r="19" spans="1:8">
      <c r="A19" s="754" t="s">
        <v>6093</v>
      </c>
      <c r="B19" s="754" t="s">
        <v>6094</v>
      </c>
      <c r="C19" s="754" t="s">
        <v>1231</v>
      </c>
      <c r="D19" s="754" t="s">
        <v>6095</v>
      </c>
      <c r="E19" s="754" t="s">
        <v>6096</v>
      </c>
      <c r="F19" s="754" t="s">
        <v>6097</v>
      </c>
      <c r="G19" s="754" t="s">
        <v>6098</v>
      </c>
      <c r="H19" s="754" t="s">
        <v>6099</v>
      </c>
    </row>
    <row r="20" spans="1:8">
      <c r="A20" s="754" t="s">
        <v>6100</v>
      </c>
      <c r="B20" s="754" t="s">
        <v>6101</v>
      </c>
      <c r="C20" s="754" t="s">
        <v>1231</v>
      </c>
      <c r="D20" s="754" t="s">
        <v>6102</v>
      </c>
      <c r="E20" s="754" t="s">
        <v>6103</v>
      </c>
      <c r="F20" s="754" t="s">
        <v>6104</v>
      </c>
      <c r="G20" s="754" t="s">
        <v>6105</v>
      </c>
      <c r="H20" s="754" t="s">
        <v>6106</v>
      </c>
    </row>
    <row r="21" spans="1:8">
      <c r="A21" s="754" t="s">
        <v>6107</v>
      </c>
      <c r="B21" s="754" t="s">
        <v>6108</v>
      </c>
      <c r="C21" s="754" t="s">
        <v>1231</v>
      </c>
      <c r="D21" s="754" t="s">
        <v>6109</v>
      </c>
      <c r="E21" s="754" t="s">
        <v>6550</v>
      </c>
      <c r="F21" s="754" t="s">
        <v>6110</v>
      </c>
      <c r="G21" s="754" t="s">
        <v>6111</v>
      </c>
      <c r="H21" s="754" t="s">
        <v>6427</v>
      </c>
    </row>
    <row r="22" spans="1:8">
      <c r="A22" s="754" t="s">
        <v>6112</v>
      </c>
      <c r="B22" s="754" t="s">
        <v>6113</v>
      </c>
      <c r="C22" s="754" t="s">
        <v>1229</v>
      </c>
      <c r="D22" s="754" t="s">
        <v>6114</v>
      </c>
      <c r="E22" s="754" t="s">
        <v>6115</v>
      </c>
      <c r="F22" s="754" t="s">
        <v>6116</v>
      </c>
      <c r="G22" s="754" t="s">
        <v>6117</v>
      </c>
      <c r="H22" s="754" t="s">
        <v>6118</v>
      </c>
    </row>
    <row r="23" spans="1:8">
      <c r="A23" s="754" t="s">
        <v>6119</v>
      </c>
      <c r="B23" s="754" t="s">
        <v>6120</v>
      </c>
      <c r="C23" s="754" t="s">
        <v>1229</v>
      </c>
      <c r="D23" s="754" t="s">
        <v>6121</v>
      </c>
      <c r="E23" s="754" t="s">
        <v>6122</v>
      </c>
      <c r="F23" s="754" t="s">
        <v>6123</v>
      </c>
      <c r="G23" s="754" t="s">
        <v>6124</v>
      </c>
      <c r="H23" s="754" t="s">
        <v>6125</v>
      </c>
    </row>
    <row r="24" spans="1:8">
      <c r="A24" s="754" t="s">
        <v>6126</v>
      </c>
      <c r="B24" s="754" t="s">
        <v>6127</v>
      </c>
      <c r="C24" s="754" t="s">
        <v>1229</v>
      </c>
      <c r="D24" s="754" t="s">
        <v>6128</v>
      </c>
      <c r="E24" s="754" t="s">
        <v>6129</v>
      </c>
      <c r="F24" s="754" t="s">
        <v>6130</v>
      </c>
      <c r="G24" s="754" t="s">
        <v>6131</v>
      </c>
      <c r="H24" s="754" t="s">
        <v>6132</v>
      </c>
    </row>
    <row r="25" spans="1:8">
      <c r="A25" s="754" t="s">
        <v>6133</v>
      </c>
      <c r="B25" s="754" t="s">
        <v>6134</v>
      </c>
      <c r="C25" s="754" t="s">
        <v>1229</v>
      </c>
      <c r="D25" s="754" t="s">
        <v>6135</v>
      </c>
      <c r="E25" s="754" t="s">
        <v>6421</v>
      </c>
      <c r="F25" s="754" t="s">
        <v>6426</v>
      </c>
      <c r="G25" s="754" t="s">
        <v>6423</v>
      </c>
      <c r="H25" s="754" t="s">
        <v>6424</v>
      </c>
    </row>
    <row r="26" spans="1:8">
      <c r="A26" s="754" t="s">
        <v>6136</v>
      </c>
      <c r="B26" s="754" t="s">
        <v>6137</v>
      </c>
      <c r="C26" s="754" t="s">
        <v>1229</v>
      </c>
      <c r="D26" s="754" t="s">
        <v>6138</v>
      </c>
      <c r="E26" s="754" t="s">
        <v>6420</v>
      </c>
      <c r="F26" s="754" t="s">
        <v>6425</v>
      </c>
      <c r="G26" s="754" t="s">
        <v>6422</v>
      </c>
      <c r="H26" s="754" t="s">
        <v>6139</v>
      </c>
    </row>
    <row r="27" spans="1:8">
      <c r="A27" s="754" t="s">
        <v>6140</v>
      </c>
      <c r="B27" s="754"/>
      <c r="C27" s="754" t="s">
        <v>1229</v>
      </c>
      <c r="D27" s="754"/>
      <c r="E27" s="754"/>
      <c r="F27" s="754"/>
      <c r="G27" s="754"/>
      <c r="H27" s="754"/>
    </row>
    <row r="28" spans="1:8">
      <c r="A28" s="754" t="s">
        <v>6141</v>
      </c>
      <c r="B28" s="754"/>
      <c r="C28" s="754" t="s">
        <v>1229</v>
      </c>
      <c r="D28" s="754"/>
      <c r="E28" s="754"/>
      <c r="F28" s="754"/>
      <c r="G28" s="754"/>
      <c r="H28" s="754"/>
    </row>
    <row r="29" spans="1:8">
      <c r="A29" s="754" t="s">
        <v>6142</v>
      </c>
      <c r="B29" s="754"/>
      <c r="C29" s="754" t="s">
        <v>1229</v>
      </c>
      <c r="D29" s="754"/>
      <c r="E29" s="754"/>
      <c r="F29" s="754"/>
      <c r="G29" s="754"/>
      <c r="H29" s="754"/>
    </row>
    <row r="30" spans="1:8">
      <c r="A30" s="754" t="s">
        <v>6143</v>
      </c>
      <c r="B30" s="754"/>
      <c r="C30" s="754" t="s">
        <v>1229</v>
      </c>
      <c r="D30" s="754"/>
      <c r="E30" s="754"/>
      <c r="F30" s="754"/>
      <c r="G30" s="754"/>
      <c r="H30" s="754"/>
    </row>
    <row r="31" spans="1:8">
      <c r="A31" s="754" t="s">
        <v>6144</v>
      </c>
      <c r="B31" s="754" t="s">
        <v>6145</v>
      </c>
      <c r="C31" s="754" t="s">
        <v>1229</v>
      </c>
      <c r="D31" s="754" t="s">
        <v>6146</v>
      </c>
      <c r="E31" s="754" t="s">
        <v>6147</v>
      </c>
      <c r="F31" s="754" t="s">
        <v>6050</v>
      </c>
      <c r="G31" s="754" t="s">
        <v>6148</v>
      </c>
      <c r="H31" s="754" t="s">
        <v>6149</v>
      </c>
    </row>
    <row r="32" spans="1:8">
      <c r="A32" s="754" t="s">
        <v>6150</v>
      </c>
      <c r="B32" s="754" t="s">
        <v>6151</v>
      </c>
      <c r="C32" s="754" t="s">
        <v>1227</v>
      </c>
      <c r="D32" s="754" t="s">
        <v>6152</v>
      </c>
      <c r="E32" s="754" t="s">
        <v>6429</v>
      </c>
      <c r="F32" s="754" t="s">
        <v>6153</v>
      </c>
      <c r="G32" s="754" t="s">
        <v>6154</v>
      </c>
      <c r="H32" s="754" t="s">
        <v>6155</v>
      </c>
    </row>
    <row r="33" spans="1:8">
      <c r="A33" s="754" t="s">
        <v>6156</v>
      </c>
      <c r="B33" s="754" t="s">
        <v>6157</v>
      </c>
      <c r="C33" s="754" t="s">
        <v>1227</v>
      </c>
      <c r="D33" s="754" t="s">
        <v>6158</v>
      </c>
      <c r="E33" s="754" t="s">
        <v>6428</v>
      </c>
      <c r="F33" s="754" t="s">
        <v>6160</v>
      </c>
      <c r="G33" s="754" t="s">
        <v>6161</v>
      </c>
      <c r="H33" s="754" t="s">
        <v>6162</v>
      </c>
    </row>
    <row r="34" spans="1:8">
      <c r="A34" s="754" t="s">
        <v>6163</v>
      </c>
      <c r="B34" s="754" t="s">
        <v>6164</v>
      </c>
      <c r="C34" s="754" t="s">
        <v>1227</v>
      </c>
      <c r="D34" s="754" t="s">
        <v>6165</v>
      </c>
      <c r="E34" s="754" t="s">
        <v>6166</v>
      </c>
      <c r="F34" s="754" t="s">
        <v>6431</v>
      </c>
      <c r="G34" s="754" t="s">
        <v>6432</v>
      </c>
      <c r="H34" s="754" t="s">
        <v>6430</v>
      </c>
    </row>
    <row r="35" spans="1:8">
      <c r="A35" s="754" t="s">
        <v>6167</v>
      </c>
      <c r="B35" s="754" t="s">
        <v>6168</v>
      </c>
      <c r="C35" s="754" t="s">
        <v>1227</v>
      </c>
      <c r="D35" s="754" t="s">
        <v>6169</v>
      </c>
      <c r="E35" s="754" t="s">
        <v>6170</v>
      </c>
      <c r="F35" s="754" t="s">
        <v>6171</v>
      </c>
      <c r="G35" s="754" t="s">
        <v>6172</v>
      </c>
      <c r="H35" s="754" t="s">
        <v>6173</v>
      </c>
    </row>
    <row r="36" spans="1:8">
      <c r="A36" s="754" t="s">
        <v>6174</v>
      </c>
      <c r="B36" s="754" t="s">
        <v>6175</v>
      </c>
      <c r="C36" s="754" t="s">
        <v>1227</v>
      </c>
      <c r="D36" s="754" t="s">
        <v>6176</v>
      </c>
      <c r="E36" s="754" t="s">
        <v>6177</v>
      </c>
      <c r="F36" s="754" t="s">
        <v>6178</v>
      </c>
      <c r="G36" s="754" t="s">
        <v>6179</v>
      </c>
      <c r="H36" s="754" t="s">
        <v>6180</v>
      </c>
    </row>
    <row r="37" spans="1:8">
      <c r="A37" s="754" t="s">
        <v>6181</v>
      </c>
      <c r="B37" s="754"/>
      <c r="C37" s="754" t="s">
        <v>1227</v>
      </c>
      <c r="D37" s="754"/>
      <c r="E37" s="754"/>
      <c r="F37" s="754"/>
      <c r="G37" s="754"/>
      <c r="H37" s="754"/>
    </row>
    <row r="38" spans="1:8">
      <c r="A38" s="754" t="s">
        <v>6182</v>
      </c>
      <c r="B38" s="754"/>
      <c r="C38" s="754" t="s">
        <v>1227</v>
      </c>
      <c r="D38" s="754"/>
      <c r="E38" s="754"/>
      <c r="F38" s="754"/>
      <c r="G38" s="754"/>
      <c r="H38" s="754"/>
    </row>
    <row r="39" spans="1:8">
      <c r="A39" s="754" t="s">
        <v>6183</v>
      </c>
      <c r="B39" s="754"/>
      <c r="C39" s="754" t="s">
        <v>1227</v>
      </c>
      <c r="D39" s="754"/>
      <c r="E39" s="754"/>
      <c r="F39" s="754"/>
      <c r="G39" s="754"/>
      <c r="H39" s="754"/>
    </row>
    <row r="40" spans="1:8">
      <c r="A40" s="754" t="s">
        <v>6184</v>
      </c>
      <c r="B40" s="754"/>
      <c r="C40" s="754" t="s">
        <v>1227</v>
      </c>
      <c r="D40" s="754"/>
      <c r="E40" s="754"/>
      <c r="F40" s="754"/>
      <c r="G40" s="754"/>
      <c r="H40" s="754"/>
    </row>
    <row r="41" spans="1:8">
      <c r="A41" s="754" t="s">
        <v>6185</v>
      </c>
      <c r="B41" s="754" t="s">
        <v>6186</v>
      </c>
      <c r="C41" s="754" t="s">
        <v>1227</v>
      </c>
      <c r="D41" s="754" t="s">
        <v>6187</v>
      </c>
      <c r="E41" s="754" t="s">
        <v>6188</v>
      </c>
      <c r="F41" s="754" t="s">
        <v>6189</v>
      </c>
      <c r="G41" s="754" t="s">
        <v>6190</v>
      </c>
      <c r="H41" s="754" t="s">
        <v>6191</v>
      </c>
    </row>
    <row r="42" spans="1:8">
      <c r="A42" s="754" t="s">
        <v>6192</v>
      </c>
      <c r="B42" s="754" t="s">
        <v>6193</v>
      </c>
      <c r="C42" s="754" t="s">
        <v>1235</v>
      </c>
      <c r="D42" s="754" t="s">
        <v>6194</v>
      </c>
      <c r="E42" s="754" t="s">
        <v>6471</v>
      </c>
      <c r="F42" s="754" t="s">
        <v>6435</v>
      </c>
      <c r="G42" s="754" t="s">
        <v>6436</v>
      </c>
      <c r="H42" s="754" t="s">
        <v>6474</v>
      </c>
    </row>
    <row r="43" spans="1:8">
      <c r="A43" s="754" t="s">
        <v>6195</v>
      </c>
      <c r="B43" s="754" t="s">
        <v>6196</v>
      </c>
      <c r="C43" s="754" t="s">
        <v>1235</v>
      </c>
      <c r="D43" s="754" t="s">
        <v>6197</v>
      </c>
      <c r="E43" s="754" t="s">
        <v>6472</v>
      </c>
      <c r="F43" s="754" t="s">
        <v>6469</v>
      </c>
      <c r="G43" s="754" t="s">
        <v>6468</v>
      </c>
      <c r="H43" s="754" t="s">
        <v>6475</v>
      </c>
    </row>
    <row r="44" spans="1:8">
      <c r="A44" s="754" t="s">
        <v>6198</v>
      </c>
      <c r="B44" s="754" t="s">
        <v>6199</v>
      </c>
      <c r="C44" s="754" t="s">
        <v>1235</v>
      </c>
      <c r="D44" s="754" t="s">
        <v>6470</v>
      </c>
      <c r="E44" s="754" t="s">
        <v>6473</v>
      </c>
      <c r="F44" s="754" t="s">
        <v>6477</v>
      </c>
      <c r="G44" s="754" t="s">
        <v>6478</v>
      </c>
      <c r="H44" s="754" t="s">
        <v>6476</v>
      </c>
    </row>
    <row r="45" spans="1:8">
      <c r="A45" s="754" t="s">
        <v>6200</v>
      </c>
      <c r="B45" s="754" t="s">
        <v>6201</v>
      </c>
      <c r="C45" s="754" t="s">
        <v>1235</v>
      </c>
      <c r="D45" s="754" t="s">
        <v>6202</v>
      </c>
      <c r="E45" s="754" t="s">
        <v>6481</v>
      </c>
      <c r="F45" s="754" t="s">
        <v>6480</v>
      </c>
      <c r="G45" s="754" t="s">
        <v>6479</v>
      </c>
      <c r="H45" s="754" t="s">
        <v>6487</v>
      </c>
    </row>
    <row r="46" spans="1:8">
      <c r="A46" s="754" t="s">
        <v>6203</v>
      </c>
      <c r="B46" s="754" t="s">
        <v>6204</v>
      </c>
      <c r="C46" s="754" t="s">
        <v>1235</v>
      </c>
      <c r="D46" s="754" t="s">
        <v>6205</v>
      </c>
      <c r="E46" s="754" t="s">
        <v>6482</v>
      </c>
      <c r="F46" s="754" t="s">
        <v>6483</v>
      </c>
      <c r="G46" s="754" t="s">
        <v>6484</v>
      </c>
      <c r="H46" s="754" t="s">
        <v>6485</v>
      </c>
    </row>
    <row r="47" spans="1:8">
      <c r="A47" s="754" t="s">
        <v>6206</v>
      </c>
      <c r="B47" s="754" t="s">
        <v>6207</v>
      </c>
      <c r="C47" s="754" t="s">
        <v>1235</v>
      </c>
      <c r="D47" s="754" t="s">
        <v>6208</v>
      </c>
      <c r="E47" s="754" t="s">
        <v>6434</v>
      </c>
      <c r="F47" s="754" t="s">
        <v>6209</v>
      </c>
      <c r="G47" s="754" t="s">
        <v>6433</v>
      </c>
      <c r="H47" s="754" t="s">
        <v>6210</v>
      </c>
    </row>
    <row r="48" spans="1:8">
      <c r="A48" s="754" t="s">
        <v>6211</v>
      </c>
      <c r="B48" s="754"/>
      <c r="C48" s="754" t="s">
        <v>1235</v>
      </c>
      <c r="D48" s="754"/>
      <c r="E48" s="754"/>
      <c r="F48" s="754"/>
      <c r="G48" s="754"/>
      <c r="H48" s="754"/>
    </row>
    <row r="49" spans="1:15">
      <c r="A49" s="754" t="s">
        <v>6212</v>
      </c>
      <c r="B49" s="754"/>
      <c r="C49" s="754" t="s">
        <v>1235</v>
      </c>
      <c r="D49" s="754"/>
      <c r="E49" s="754"/>
      <c r="F49" s="754"/>
      <c r="G49" s="754"/>
      <c r="H49" s="754"/>
    </row>
    <row r="50" spans="1:15">
      <c r="A50" s="754" t="s">
        <v>6213</v>
      </c>
      <c r="B50" s="754"/>
      <c r="C50" s="754" t="s">
        <v>1235</v>
      </c>
      <c r="D50" s="754"/>
      <c r="E50" s="754"/>
      <c r="F50" s="754"/>
      <c r="G50" s="754"/>
      <c r="H50" s="754"/>
    </row>
    <row r="51" spans="1:15">
      <c r="A51" s="754" t="s">
        <v>6214</v>
      </c>
      <c r="B51" s="754" t="s">
        <v>6215</v>
      </c>
      <c r="C51" s="754" t="s">
        <v>1235</v>
      </c>
      <c r="D51" s="754" t="s">
        <v>6216</v>
      </c>
      <c r="E51" s="754" t="s">
        <v>6217</v>
      </c>
      <c r="F51" s="754" t="s">
        <v>6050</v>
      </c>
      <c r="G51" s="754" t="s">
        <v>6218</v>
      </c>
      <c r="H51" s="754" t="s">
        <v>6219</v>
      </c>
    </row>
    <row r="52" spans="1:15">
      <c r="A52" s="754" t="s">
        <v>6220</v>
      </c>
      <c r="B52" s="754" t="s">
        <v>6221</v>
      </c>
      <c r="C52" s="754" t="s">
        <v>6222</v>
      </c>
      <c r="D52" s="754" t="s">
        <v>6223</v>
      </c>
      <c r="E52" s="754" t="s">
        <v>6486</v>
      </c>
      <c r="F52" s="754" t="s">
        <v>6488</v>
      </c>
      <c r="G52" s="754" t="s">
        <v>6489</v>
      </c>
      <c r="H52" s="754" t="s">
        <v>6490</v>
      </c>
    </row>
    <row r="53" spans="1:15">
      <c r="A53" s="754" t="s">
        <v>6224</v>
      </c>
      <c r="B53" s="754" t="s">
        <v>6225</v>
      </c>
      <c r="C53" s="754" t="s">
        <v>6222</v>
      </c>
      <c r="D53" s="754" t="s">
        <v>6226</v>
      </c>
      <c r="E53" s="754" t="s">
        <v>6428</v>
      </c>
      <c r="F53" s="754" t="s">
        <v>6491</v>
      </c>
      <c r="G53" s="754" t="s">
        <v>6492</v>
      </c>
      <c r="H53" s="754" t="s">
        <v>6493</v>
      </c>
    </row>
    <row r="54" spans="1:15">
      <c r="A54" s="754" t="s">
        <v>6227</v>
      </c>
      <c r="B54" s="754" t="s">
        <v>6497</v>
      </c>
      <c r="C54" s="754" t="s">
        <v>6222</v>
      </c>
      <c r="D54" s="754" t="s">
        <v>6495</v>
      </c>
      <c r="E54" s="754" t="s">
        <v>6498</v>
      </c>
      <c r="F54" s="754" t="s">
        <v>6499</v>
      </c>
      <c r="G54" s="754" t="s">
        <v>6500</v>
      </c>
      <c r="H54" s="754" t="s">
        <v>6501</v>
      </c>
    </row>
    <row r="55" spans="1:15">
      <c r="A55" s="754" t="s">
        <v>6233</v>
      </c>
      <c r="B55" s="754" t="s">
        <v>6505</v>
      </c>
      <c r="C55" s="754" t="s">
        <v>6222</v>
      </c>
      <c r="D55" s="788" t="s">
        <v>6551</v>
      </c>
      <c r="E55" s="754" t="s">
        <v>6555</v>
      </c>
      <c r="F55" s="754" t="s">
        <v>6552</v>
      </c>
      <c r="G55" s="754" t="s">
        <v>6553</v>
      </c>
      <c r="H55" s="754" t="s">
        <v>6554</v>
      </c>
    </row>
    <row r="56" spans="1:15">
      <c r="A56" s="754" t="s">
        <v>6234</v>
      </c>
      <c r="B56" s="754" t="s">
        <v>6494</v>
      </c>
      <c r="C56" s="754" t="s">
        <v>6222</v>
      </c>
      <c r="D56" s="754" t="s">
        <v>6496</v>
      </c>
      <c r="E56" s="754" t="s">
        <v>6428</v>
      </c>
      <c r="F56" s="754" t="s">
        <v>6502</v>
      </c>
      <c r="G56" s="754" t="s">
        <v>6503</v>
      </c>
      <c r="H56" s="754" t="s">
        <v>6504</v>
      </c>
    </row>
    <row r="57" spans="1:15">
      <c r="A57" s="754" t="s">
        <v>6235</v>
      </c>
      <c r="B57" s="754"/>
      <c r="C57" s="754" t="s">
        <v>6222</v>
      </c>
      <c r="F57" s="754"/>
      <c r="G57" s="754"/>
      <c r="H57" s="754"/>
    </row>
    <row r="58" spans="1:15">
      <c r="A58" s="754" t="s">
        <v>6236</v>
      </c>
      <c r="B58" s="754"/>
      <c r="C58" s="754" t="s">
        <v>6222</v>
      </c>
      <c r="D58" s="754"/>
      <c r="E58" s="754"/>
      <c r="F58" s="754"/>
      <c r="G58" s="754"/>
      <c r="H58" s="754"/>
    </row>
    <row r="59" spans="1:15">
      <c r="A59" s="754" t="s">
        <v>6237</v>
      </c>
      <c r="B59" s="754"/>
      <c r="C59" s="754" t="s">
        <v>6222</v>
      </c>
      <c r="D59" s="754"/>
      <c r="E59" s="754"/>
      <c r="F59" s="754"/>
      <c r="G59" s="754"/>
      <c r="H59" s="754"/>
    </row>
    <row r="60" spans="1:15">
      <c r="A60" s="754" t="s">
        <v>6238</v>
      </c>
      <c r="B60" s="754"/>
      <c r="C60" s="754" t="s">
        <v>6222</v>
      </c>
      <c r="D60" s="754"/>
      <c r="E60" s="754"/>
      <c r="F60" s="754"/>
      <c r="G60" s="754"/>
      <c r="H60" s="754"/>
    </row>
    <row r="61" spans="1:15">
      <c r="A61" s="754" t="s">
        <v>6239</v>
      </c>
      <c r="B61" s="754" t="s">
        <v>6240</v>
      </c>
      <c r="C61" s="754" t="s">
        <v>6222</v>
      </c>
      <c r="D61" s="754" t="s">
        <v>6241</v>
      </c>
      <c r="E61" s="754" t="s">
        <v>6242</v>
      </c>
      <c r="F61" s="754" t="s">
        <v>6050</v>
      </c>
      <c r="G61" s="754" t="s">
        <v>6243</v>
      </c>
      <c r="H61" s="754" t="s">
        <v>6439</v>
      </c>
    </row>
    <row r="62" spans="1:15">
      <c r="A62" s="754" t="s">
        <v>6244</v>
      </c>
      <c r="I62" s="781" t="s">
        <v>6245</v>
      </c>
      <c r="J62" s="781" t="s">
        <v>1241</v>
      </c>
      <c r="K62" s="781" t="s">
        <v>6246</v>
      </c>
      <c r="L62" s="781" t="s">
        <v>6247</v>
      </c>
      <c r="M62" s="781" t="s">
        <v>6548</v>
      </c>
      <c r="N62" s="781" t="s">
        <v>6549</v>
      </c>
      <c r="O62" s="781" t="s">
        <v>6248</v>
      </c>
    </row>
    <row r="63" spans="1:15">
      <c r="A63" s="754" t="s">
        <v>6249</v>
      </c>
      <c r="I63" s="781" t="s">
        <v>6250</v>
      </c>
      <c r="J63" s="781" t="s">
        <v>1241</v>
      </c>
      <c r="K63" s="781" t="s">
        <v>6251</v>
      </c>
      <c r="L63" s="781" t="s">
        <v>6252</v>
      </c>
      <c r="M63" s="781" t="s">
        <v>6253</v>
      </c>
      <c r="N63" s="781" t="s">
        <v>6254</v>
      </c>
      <c r="O63" s="781" t="s">
        <v>6255</v>
      </c>
    </row>
    <row r="64" spans="1:15">
      <c r="A64" s="754" t="s">
        <v>6256</v>
      </c>
      <c r="I64" s="781" t="s">
        <v>6257</v>
      </c>
      <c r="J64" s="781" t="s">
        <v>1241</v>
      </c>
      <c r="K64" s="781" t="s">
        <v>6258</v>
      </c>
      <c r="L64" s="781" t="s">
        <v>6259</v>
      </c>
      <c r="M64" s="781" t="s">
        <v>6260</v>
      </c>
      <c r="N64" s="781" t="s">
        <v>6261</v>
      </c>
      <c r="O64" s="781" t="s">
        <v>6262</v>
      </c>
    </row>
    <row r="65" spans="1:15">
      <c r="A65" s="754" t="s">
        <v>6263</v>
      </c>
      <c r="I65" s="781" t="s">
        <v>6264</v>
      </c>
      <c r="J65" s="781" t="s">
        <v>1241</v>
      </c>
      <c r="K65" s="781" t="s">
        <v>6265</v>
      </c>
      <c r="L65" s="781" t="s">
        <v>6266</v>
      </c>
      <c r="M65" s="781" t="s">
        <v>6267</v>
      </c>
      <c r="N65" s="781" t="s">
        <v>6268</v>
      </c>
      <c r="O65" s="781" t="s">
        <v>6269</v>
      </c>
    </row>
    <row r="66" spans="1:15">
      <c r="A66" s="754" t="s">
        <v>6270</v>
      </c>
      <c r="I66" s="781" t="s">
        <v>6271</v>
      </c>
      <c r="J66" s="781" t="s">
        <v>1241</v>
      </c>
      <c r="K66" s="781" t="s">
        <v>6272</v>
      </c>
      <c r="L66" s="781" t="s">
        <v>6273</v>
      </c>
      <c r="M66" s="781" t="s">
        <v>6274</v>
      </c>
      <c r="N66" s="781" t="s">
        <v>6275</v>
      </c>
      <c r="O66" s="781" t="s">
        <v>6276</v>
      </c>
    </row>
    <row r="67" spans="1:15">
      <c r="A67" s="754" t="s">
        <v>6277</v>
      </c>
      <c r="B67" s="754"/>
      <c r="C67" s="754" t="s">
        <v>1241</v>
      </c>
      <c r="D67" s="754"/>
      <c r="E67" s="754"/>
      <c r="F67" s="754"/>
      <c r="G67" s="754"/>
      <c r="H67" s="754"/>
    </row>
    <row r="68" spans="1:15">
      <c r="A68" s="754" t="s">
        <v>6278</v>
      </c>
      <c r="B68" s="754"/>
      <c r="C68" s="754" t="s">
        <v>1241</v>
      </c>
      <c r="D68" s="754"/>
      <c r="E68" s="754"/>
      <c r="F68" s="754"/>
      <c r="G68" s="754"/>
      <c r="H68" s="754"/>
    </row>
    <row r="69" spans="1:15">
      <c r="A69" s="754" t="s">
        <v>6279</v>
      </c>
      <c r="B69" s="754"/>
      <c r="C69" s="754" t="s">
        <v>1241</v>
      </c>
      <c r="D69" s="754"/>
      <c r="E69" s="754"/>
      <c r="F69" s="754"/>
      <c r="G69" s="754"/>
      <c r="H69" s="754"/>
    </row>
    <row r="70" spans="1:15">
      <c r="A70" s="754" t="s">
        <v>6280</v>
      </c>
      <c r="B70" s="754"/>
      <c r="C70" s="754" t="s">
        <v>1241</v>
      </c>
      <c r="D70" s="754"/>
      <c r="E70" s="754"/>
      <c r="F70" s="754"/>
      <c r="G70" s="754"/>
      <c r="H70" s="754"/>
    </row>
    <row r="71" spans="1:15">
      <c r="A71" s="754" t="s">
        <v>6281</v>
      </c>
      <c r="B71" s="754" t="s">
        <v>6282</v>
      </c>
      <c r="C71" s="754" t="s">
        <v>1241</v>
      </c>
      <c r="D71" s="754" t="s">
        <v>6283</v>
      </c>
      <c r="E71" s="754" t="s">
        <v>6284</v>
      </c>
      <c r="F71" s="754" t="s">
        <v>6050</v>
      </c>
      <c r="G71" s="754" t="s">
        <v>6285</v>
      </c>
      <c r="H71" s="754" t="s">
        <v>6438</v>
      </c>
    </row>
    <row r="72" spans="1:15">
      <c r="A72" s="754" t="s">
        <v>6286</v>
      </c>
      <c r="B72" s="754" t="s">
        <v>6287</v>
      </c>
      <c r="C72" s="754" t="s">
        <v>1237</v>
      </c>
      <c r="D72" s="754" t="s">
        <v>6288</v>
      </c>
      <c r="E72" s="754" t="s">
        <v>6289</v>
      </c>
      <c r="F72" s="754" t="s">
        <v>6290</v>
      </c>
      <c r="G72" s="754" t="s">
        <v>6291</v>
      </c>
      <c r="H72" s="754" t="s">
        <v>6292</v>
      </c>
    </row>
    <row r="73" spans="1:15">
      <c r="A73" s="754" t="s">
        <v>6293</v>
      </c>
      <c r="I73" s="781" t="s">
        <v>6294</v>
      </c>
      <c r="J73" s="781" t="s">
        <v>1237</v>
      </c>
      <c r="K73" s="781" t="s">
        <v>6295</v>
      </c>
      <c r="L73" s="781" t="s">
        <v>6296</v>
      </c>
      <c r="M73" s="781" t="s">
        <v>6297</v>
      </c>
      <c r="N73" s="781" t="s">
        <v>6298</v>
      </c>
      <c r="O73" s="781" t="s">
        <v>6299</v>
      </c>
    </row>
    <row r="74" spans="1:15">
      <c r="A74" s="754" t="s">
        <v>6300</v>
      </c>
      <c r="I74" s="781" t="s">
        <v>6301</v>
      </c>
      <c r="J74" s="781" t="s">
        <v>1237</v>
      </c>
      <c r="K74" s="781" t="s">
        <v>6302</v>
      </c>
      <c r="L74" s="781" t="s">
        <v>6303</v>
      </c>
      <c r="M74" s="781" t="s">
        <v>6304</v>
      </c>
      <c r="N74" s="781" t="s">
        <v>6305</v>
      </c>
      <c r="O74" s="781" t="s">
        <v>6306</v>
      </c>
    </row>
    <row r="75" spans="1:15">
      <c r="A75" s="754" t="s">
        <v>6307</v>
      </c>
      <c r="I75" s="781" t="s">
        <v>6308</v>
      </c>
      <c r="J75" s="781" t="s">
        <v>1237</v>
      </c>
      <c r="K75" s="781" t="s">
        <v>6309</v>
      </c>
      <c r="L75" s="781" t="s">
        <v>6310</v>
      </c>
      <c r="M75" s="781" t="s">
        <v>6311</v>
      </c>
      <c r="N75" s="781" t="s">
        <v>6312</v>
      </c>
      <c r="O75" s="781" t="s">
        <v>6313</v>
      </c>
    </row>
    <row r="76" spans="1:15">
      <c r="A76" s="754" t="s">
        <v>6314</v>
      </c>
      <c r="I76" s="781" t="s">
        <v>6315</v>
      </c>
      <c r="J76" s="781" t="s">
        <v>1237</v>
      </c>
      <c r="K76" s="781" t="s">
        <v>6316</v>
      </c>
      <c r="L76" s="781" t="s">
        <v>6317</v>
      </c>
      <c r="M76" s="781" t="s">
        <v>6318</v>
      </c>
      <c r="N76" s="781" t="s">
        <v>6319</v>
      </c>
      <c r="O76" s="781" t="s">
        <v>6320</v>
      </c>
    </row>
    <row r="77" spans="1:15">
      <c r="A77" s="754" t="s">
        <v>6321</v>
      </c>
      <c r="I77" s="781" t="s">
        <v>6322</v>
      </c>
      <c r="J77" s="781" t="s">
        <v>1237</v>
      </c>
      <c r="K77" s="781" t="s">
        <v>6323</v>
      </c>
      <c r="L77" s="781" t="s">
        <v>6324</v>
      </c>
      <c r="M77" s="781" t="s">
        <v>6325</v>
      </c>
      <c r="N77" s="781" t="s">
        <v>6326</v>
      </c>
      <c r="O77" s="781" t="s">
        <v>6327</v>
      </c>
    </row>
    <row r="78" spans="1:15">
      <c r="A78" s="754" t="s">
        <v>6328</v>
      </c>
      <c r="B78" s="754"/>
      <c r="C78" s="754" t="s">
        <v>1237</v>
      </c>
      <c r="D78" s="754"/>
      <c r="E78" s="754"/>
      <c r="F78" s="754"/>
      <c r="G78" s="754"/>
      <c r="H78" s="754"/>
    </row>
    <row r="79" spans="1:15">
      <c r="A79" s="754" t="s">
        <v>6329</v>
      </c>
      <c r="B79" s="754"/>
      <c r="C79" s="754" t="s">
        <v>1237</v>
      </c>
      <c r="D79" s="754"/>
      <c r="E79" s="754"/>
      <c r="F79" s="754"/>
      <c r="G79" s="754"/>
      <c r="H79" s="754"/>
    </row>
    <row r="80" spans="1:15">
      <c r="A80" s="754" t="s">
        <v>6330</v>
      </c>
      <c r="B80" s="754"/>
      <c r="C80" s="754" t="s">
        <v>1237</v>
      </c>
      <c r="D80" s="754"/>
      <c r="E80" s="754"/>
      <c r="F80" s="754"/>
      <c r="G80" s="754"/>
      <c r="H80" s="754"/>
    </row>
    <row r="81" spans="1:15">
      <c r="A81" s="754" t="s">
        <v>6331</v>
      </c>
      <c r="B81" s="754" t="s">
        <v>6332</v>
      </c>
      <c r="C81" s="754" t="s">
        <v>1237</v>
      </c>
      <c r="D81" s="754" t="s">
        <v>6333</v>
      </c>
      <c r="E81" s="754" t="s">
        <v>6334</v>
      </c>
      <c r="F81" s="754" t="s">
        <v>6050</v>
      </c>
      <c r="G81" s="754" t="s">
        <v>6335</v>
      </c>
      <c r="H81" s="754" t="s">
        <v>6336</v>
      </c>
    </row>
    <row r="82" spans="1:15">
      <c r="A82" s="754" t="s">
        <v>6337</v>
      </c>
      <c r="I82" s="781" t="s">
        <v>6338</v>
      </c>
      <c r="J82" s="781" t="s">
        <v>1233</v>
      </c>
      <c r="K82" s="781" t="s">
        <v>6339</v>
      </c>
      <c r="L82" s="781" t="s">
        <v>6340</v>
      </c>
      <c r="M82" s="781" t="s">
        <v>6341</v>
      </c>
      <c r="N82" s="781" t="s">
        <v>6342</v>
      </c>
      <c r="O82" s="781" t="s">
        <v>6343</v>
      </c>
    </row>
    <row r="83" spans="1:15">
      <c r="A83" s="754" t="s">
        <v>6344</v>
      </c>
      <c r="I83" s="781" t="s">
        <v>6345</v>
      </c>
      <c r="J83" s="781" t="s">
        <v>1233</v>
      </c>
      <c r="K83" s="781" t="s">
        <v>6346</v>
      </c>
      <c r="L83" s="781" t="s">
        <v>6347</v>
      </c>
      <c r="M83" s="781" t="s">
        <v>6348</v>
      </c>
      <c r="N83" s="781" t="s">
        <v>6349</v>
      </c>
      <c r="O83" s="781" t="s">
        <v>6350</v>
      </c>
    </row>
    <row r="84" spans="1:15">
      <c r="A84" s="754" t="s">
        <v>6351</v>
      </c>
      <c r="I84" s="781" t="s">
        <v>6352</v>
      </c>
      <c r="J84" s="781" t="s">
        <v>1233</v>
      </c>
      <c r="K84" s="781" t="s">
        <v>6353</v>
      </c>
      <c r="L84" s="781" t="s">
        <v>6354</v>
      </c>
      <c r="M84" s="781" t="s">
        <v>6355</v>
      </c>
      <c r="N84" s="781" t="s">
        <v>6356</v>
      </c>
      <c r="O84" s="781" t="s">
        <v>6357</v>
      </c>
    </row>
    <row r="85" spans="1:15">
      <c r="A85" s="754" t="s">
        <v>6358</v>
      </c>
      <c r="I85" s="781" t="s">
        <v>6359</v>
      </c>
      <c r="J85" s="781" t="s">
        <v>1233</v>
      </c>
      <c r="K85" s="781" t="s">
        <v>6360</v>
      </c>
      <c r="L85" s="781" t="s">
        <v>6303</v>
      </c>
      <c r="M85" s="781" t="s">
        <v>6361</v>
      </c>
      <c r="N85" s="781" t="s">
        <v>6362</v>
      </c>
      <c r="O85" s="781" t="s">
        <v>6363</v>
      </c>
    </row>
    <row r="86" spans="1:15">
      <c r="A86" s="754" t="s">
        <v>6364</v>
      </c>
      <c r="I86" s="781" t="s">
        <v>6365</v>
      </c>
      <c r="J86" s="781" t="s">
        <v>1233</v>
      </c>
      <c r="K86" s="781" t="s">
        <v>6366</v>
      </c>
      <c r="L86" s="781" t="s">
        <v>6367</v>
      </c>
      <c r="M86" s="781" t="s">
        <v>6368</v>
      </c>
      <c r="N86" s="781" t="s">
        <v>6369</v>
      </c>
      <c r="O86" s="781" t="s">
        <v>6370</v>
      </c>
    </row>
    <row r="87" spans="1:15">
      <c r="A87" s="754" t="s">
        <v>6371</v>
      </c>
      <c r="I87" s="781" t="s">
        <v>6228</v>
      </c>
      <c r="J87" s="781" t="s">
        <v>6222</v>
      </c>
      <c r="K87" s="781" t="s">
        <v>6229</v>
      </c>
      <c r="L87" s="781" t="s">
        <v>6159</v>
      </c>
      <c r="M87" s="781" t="s">
        <v>6230</v>
      </c>
      <c r="N87" s="781" t="s">
        <v>6231</v>
      </c>
      <c r="O87" s="781" t="s">
        <v>6232</v>
      </c>
    </row>
    <row r="88" spans="1:15">
      <c r="A88" s="754" t="s">
        <v>6372</v>
      </c>
      <c r="B88" s="754"/>
      <c r="C88" s="754" t="s">
        <v>1233</v>
      </c>
      <c r="D88" s="754"/>
      <c r="E88" s="754"/>
      <c r="F88" s="754"/>
      <c r="G88" s="754"/>
      <c r="H88" s="754"/>
    </row>
    <row r="89" spans="1:15">
      <c r="A89" s="754" t="s">
        <v>6373</v>
      </c>
      <c r="B89" s="754"/>
      <c r="C89" s="754" t="s">
        <v>1233</v>
      </c>
      <c r="D89" s="754"/>
      <c r="E89" s="754"/>
      <c r="F89" s="754"/>
      <c r="G89" s="754"/>
      <c r="H89" s="754"/>
    </row>
    <row r="90" spans="1:15">
      <c r="A90" s="754" t="s">
        <v>6374</v>
      </c>
      <c r="B90" s="754"/>
      <c r="C90" s="754" t="s">
        <v>1233</v>
      </c>
      <c r="D90" s="754"/>
      <c r="E90" s="754"/>
      <c r="F90" s="754"/>
      <c r="G90" s="754"/>
      <c r="H90" s="754"/>
    </row>
    <row r="91" spans="1:15">
      <c r="A91" s="754" t="s">
        <v>6375</v>
      </c>
      <c r="B91" s="754" t="s">
        <v>6376</v>
      </c>
      <c r="C91" s="754" t="s">
        <v>1233</v>
      </c>
      <c r="D91" s="754" t="s">
        <v>6377</v>
      </c>
      <c r="E91" s="754" t="s">
        <v>6378</v>
      </c>
      <c r="F91" s="754" t="s">
        <v>6050</v>
      </c>
      <c r="G91" s="754" t="s">
        <v>6379</v>
      </c>
      <c r="H91" s="754" t="s">
        <v>6437</v>
      </c>
    </row>
    <row r="92" spans="1:15">
      <c r="A92" s="754" t="s">
        <v>6380</v>
      </c>
      <c r="B92" s="754" t="s">
        <v>6381</v>
      </c>
      <c r="C92" s="754" t="s">
        <v>2320</v>
      </c>
      <c r="D92" s="754" t="s">
        <v>6382</v>
      </c>
      <c r="E92" s="754" t="s">
        <v>6029</v>
      </c>
      <c r="F92" s="754" t="s">
        <v>6383</v>
      </c>
      <c r="G92" s="754" t="s">
        <v>6384</v>
      </c>
      <c r="H92" s="754" t="s">
        <v>6385</v>
      </c>
    </row>
    <row r="93" spans="1:15">
      <c r="A93" s="754" t="s">
        <v>6386</v>
      </c>
      <c r="B93" s="754" t="s">
        <v>6387</v>
      </c>
      <c r="C93" s="754" t="s">
        <v>2320</v>
      </c>
      <c r="D93" s="754" t="s">
        <v>6388</v>
      </c>
      <c r="E93" s="754" t="s">
        <v>6029</v>
      </c>
      <c r="F93" s="754" t="s">
        <v>6389</v>
      </c>
      <c r="G93" s="754" t="s">
        <v>6390</v>
      </c>
      <c r="H93" s="754" t="s">
        <v>6391</v>
      </c>
    </row>
    <row r="94" spans="1:15">
      <c r="A94" s="754" t="s">
        <v>6392</v>
      </c>
      <c r="B94" s="754" t="s">
        <v>6393</v>
      </c>
      <c r="C94" s="754" t="s">
        <v>2320</v>
      </c>
      <c r="D94" s="754" t="s">
        <v>6394</v>
      </c>
      <c r="E94" s="754" t="s">
        <v>6395</v>
      </c>
      <c r="F94" s="754" t="s">
        <v>6396</v>
      </c>
      <c r="G94" s="754" t="s">
        <v>6397</v>
      </c>
      <c r="H94" s="754" t="s">
        <v>6398</v>
      </c>
    </row>
    <row r="95" spans="1:15">
      <c r="A95" s="754" t="s">
        <v>6399</v>
      </c>
      <c r="B95" s="754" t="s">
        <v>6440</v>
      </c>
      <c r="C95" s="754" t="s">
        <v>2320</v>
      </c>
      <c r="D95" s="754" t="s">
        <v>6441</v>
      </c>
      <c r="E95" s="754" t="s">
        <v>6442</v>
      </c>
      <c r="F95" s="754" t="s">
        <v>6444</v>
      </c>
      <c r="G95" s="754" t="s">
        <v>6547</v>
      </c>
      <c r="H95" s="754" t="s">
        <v>6445</v>
      </c>
    </row>
    <row r="96" spans="1:15">
      <c r="A96" s="754" t="s">
        <v>6400</v>
      </c>
      <c r="B96" s="754" t="s">
        <v>6456</v>
      </c>
      <c r="C96" s="754" t="s">
        <v>2320</v>
      </c>
      <c r="D96" s="754" t="s">
        <v>6443</v>
      </c>
      <c r="E96" s="754" t="s">
        <v>6442</v>
      </c>
      <c r="F96" s="754" t="s">
        <v>6448</v>
      </c>
      <c r="G96" s="754" t="s">
        <v>6446</v>
      </c>
      <c r="H96" s="754" t="s">
        <v>6447</v>
      </c>
    </row>
    <row r="97" spans="1:8">
      <c r="A97" s="754" t="s">
        <v>6401</v>
      </c>
      <c r="B97" s="754" t="s">
        <v>6455</v>
      </c>
      <c r="C97" s="754" t="s">
        <v>2320</v>
      </c>
      <c r="D97" s="754" t="s">
        <v>6457</v>
      </c>
      <c r="E97" s="754" t="s">
        <v>6458</v>
      </c>
      <c r="F97" s="754" t="s">
        <v>6459</v>
      </c>
      <c r="G97" s="754" t="s">
        <v>6461</v>
      </c>
      <c r="H97" s="754" t="s">
        <v>6460</v>
      </c>
    </row>
    <row r="98" spans="1:8">
      <c r="A98" s="754" t="s">
        <v>6402</v>
      </c>
      <c r="B98" s="754" t="s">
        <v>6466</v>
      </c>
      <c r="C98" s="754" t="s">
        <v>2320</v>
      </c>
      <c r="D98" s="754" t="s">
        <v>6462</v>
      </c>
      <c r="E98" s="754" t="s">
        <v>6463</v>
      </c>
      <c r="F98" s="754" t="s">
        <v>6464</v>
      </c>
      <c r="G98" s="754" t="s">
        <v>6465</v>
      </c>
      <c r="H98" s="754" t="s">
        <v>6467</v>
      </c>
    </row>
    <row r="99" spans="1:8">
      <c r="A99" s="754" t="s">
        <v>6403</v>
      </c>
      <c r="B99" s="754" t="s">
        <v>6454</v>
      </c>
      <c r="C99" s="754" t="s">
        <v>2320</v>
      </c>
      <c r="D99" s="754" t="s">
        <v>6449</v>
      </c>
      <c r="E99" s="754" t="s">
        <v>6451</v>
      </c>
      <c r="F99" s="754" t="s">
        <v>6452</v>
      </c>
      <c r="G99" s="754" t="s">
        <v>6450</v>
      </c>
      <c r="H99" s="754" t="s">
        <v>6453</v>
      </c>
    </row>
    <row r="100" spans="1:8">
      <c r="A100" s="754" t="s">
        <v>6404</v>
      </c>
      <c r="B100" s="754" t="s">
        <v>6405</v>
      </c>
      <c r="C100" s="754" t="s">
        <v>2320</v>
      </c>
      <c r="D100" s="754" t="s">
        <v>6406</v>
      </c>
      <c r="E100" s="754" t="s">
        <v>6407</v>
      </c>
      <c r="F100" s="754" t="s">
        <v>6408</v>
      </c>
      <c r="G100" s="754" t="s">
        <v>6409</v>
      </c>
      <c r="H100" s="754" t="s">
        <v>6410</v>
      </c>
    </row>
    <row r="101" spans="1:8">
      <c r="A101" s="754" t="s">
        <v>6411</v>
      </c>
      <c r="B101" s="754" t="s">
        <v>6412</v>
      </c>
      <c r="C101" s="754" t="s">
        <v>2320</v>
      </c>
      <c r="D101" s="754" t="s">
        <v>6413</v>
      </c>
      <c r="E101" s="754" t="s">
        <v>6414</v>
      </c>
      <c r="F101" s="754" t="s">
        <v>6415</v>
      </c>
      <c r="G101" s="754" t="s">
        <v>6416</v>
      </c>
      <c r="H101" s="754" t="s">
        <v>6417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201"/>
  <sheetViews>
    <sheetView tabSelected="1" topLeftCell="A118" zoomScaleNormal="100" workbookViewId="0">
      <selection activeCell="E133" sqref="E133"/>
    </sheetView>
  </sheetViews>
  <sheetFormatPr defaultRowHeight="14.15"/>
  <cols>
    <col min="8" max="16" width="9.140625" style="787"/>
    <col min="32" max="32" width="13.28515625" customWidth="1"/>
  </cols>
  <sheetData>
    <row r="1" spans="1:32" s="783" customFormat="1" ht="14.6">
      <c r="A1" s="782" t="s">
        <v>1251</v>
      </c>
      <c r="B1" s="782" t="s">
        <v>1261</v>
      </c>
      <c r="C1" s="782" t="s">
        <v>1262</v>
      </c>
      <c r="D1" s="782" t="s">
        <v>491</v>
      </c>
      <c r="E1" s="782" t="s">
        <v>902</v>
      </c>
      <c r="F1" s="782" t="s">
        <v>495</v>
      </c>
      <c r="G1" s="782" t="s">
        <v>497</v>
      </c>
      <c r="H1" s="786" t="s">
        <v>1266</v>
      </c>
      <c r="I1" s="786" t="s">
        <v>1267</v>
      </c>
      <c r="J1" s="786" t="s">
        <v>1268</v>
      </c>
      <c r="K1" s="786" t="s">
        <v>1269</v>
      </c>
      <c r="L1" s="786" t="s">
        <v>1270</v>
      </c>
      <c r="M1" s="786" t="s">
        <v>1271</v>
      </c>
      <c r="N1" s="786" t="s">
        <v>1272</v>
      </c>
      <c r="O1" s="786" t="s">
        <v>1273</v>
      </c>
      <c r="P1" s="786" t="s">
        <v>1274</v>
      </c>
      <c r="Q1" s="782" t="s">
        <v>519</v>
      </c>
      <c r="R1" s="782" t="s">
        <v>521</v>
      </c>
      <c r="S1" s="782" t="s">
        <v>522</v>
      </c>
      <c r="T1" s="782" t="s">
        <v>13</v>
      </c>
      <c r="U1" s="782" t="s">
        <v>533</v>
      </c>
      <c r="V1" s="782" t="s">
        <v>1278</v>
      </c>
      <c r="W1" s="782" t="s">
        <v>523</v>
      </c>
      <c r="X1" s="782" t="s">
        <v>542</v>
      </c>
      <c r="Y1" s="782" t="s">
        <v>4464</v>
      </c>
      <c r="Z1" s="782" t="s">
        <v>1294</v>
      </c>
      <c r="AA1" s="782" t="s">
        <v>1989</v>
      </c>
      <c r="AB1" s="782" t="s">
        <v>2000</v>
      </c>
      <c r="AC1" s="782" t="s">
        <v>2011</v>
      </c>
      <c r="AD1" s="782" t="s">
        <v>35</v>
      </c>
      <c r="AE1" s="782" t="s">
        <v>1282</v>
      </c>
      <c r="AF1" s="782" t="s">
        <v>6539</v>
      </c>
    </row>
    <row r="2" spans="1:32">
      <c r="A2" s="39" t="s">
        <v>1086</v>
      </c>
      <c r="B2" s="39" t="s">
        <v>1221</v>
      </c>
      <c r="C2" s="39" t="s">
        <v>1224</v>
      </c>
      <c r="D2" s="39" t="s">
        <v>1263</v>
      </c>
      <c r="E2" s="39" t="s">
        <v>1265</v>
      </c>
      <c r="F2" s="39">
        <v>1</v>
      </c>
      <c r="G2" s="39">
        <v>1</v>
      </c>
      <c r="H2" s="787">
        <v>0</v>
      </c>
      <c r="I2" s="787">
        <v>0</v>
      </c>
      <c r="J2" s="787">
        <v>0</v>
      </c>
      <c r="K2" s="787">
        <v>0</v>
      </c>
      <c r="L2" s="787">
        <v>0</v>
      </c>
      <c r="M2" s="787">
        <v>0</v>
      </c>
      <c r="N2" s="787">
        <v>0</v>
      </c>
      <c r="O2" s="787">
        <v>1</v>
      </c>
      <c r="P2" s="787">
        <v>1</v>
      </c>
      <c r="Q2" s="39">
        <v>1</v>
      </c>
      <c r="R2" s="39">
        <v>1</v>
      </c>
      <c r="S2" s="39">
        <v>1</v>
      </c>
      <c r="T2" s="39" t="s">
        <v>1275</v>
      </c>
      <c r="U2" s="39" t="s">
        <v>1276</v>
      </c>
      <c r="V2" s="39">
        <v>0</v>
      </c>
      <c r="W2" s="39">
        <v>0</v>
      </c>
      <c r="X2" s="39">
        <v>2</v>
      </c>
      <c r="Y2" s="39" t="s">
        <v>1284</v>
      </c>
      <c r="Z2" s="39"/>
      <c r="AA2" s="39"/>
      <c r="AB2" s="39"/>
      <c r="AC2" s="39"/>
      <c r="AD2" s="39" t="s">
        <v>1279</v>
      </c>
      <c r="AE2" s="39">
        <v>100</v>
      </c>
      <c r="AF2" t="s">
        <v>281</v>
      </c>
    </row>
    <row r="3" spans="1:32">
      <c r="A3" s="39" t="s">
        <v>1088</v>
      </c>
      <c r="B3" s="39" t="s">
        <v>1225</v>
      </c>
      <c r="C3" s="39" t="s">
        <v>1224</v>
      </c>
      <c r="D3" s="39" t="s">
        <v>1263</v>
      </c>
      <c r="E3" s="39" t="s">
        <v>1265</v>
      </c>
      <c r="F3" s="39">
        <v>1</v>
      </c>
      <c r="G3" s="39">
        <v>1</v>
      </c>
      <c r="H3" s="787">
        <v>0</v>
      </c>
      <c r="I3" s="787">
        <v>0</v>
      </c>
      <c r="J3" s="787">
        <v>0</v>
      </c>
      <c r="K3" s="787">
        <v>0</v>
      </c>
      <c r="L3" s="787">
        <v>0</v>
      </c>
      <c r="M3" s="787">
        <v>0</v>
      </c>
      <c r="N3" s="787">
        <v>0</v>
      </c>
      <c r="O3" s="787">
        <v>0</v>
      </c>
      <c r="P3" s="787">
        <v>1</v>
      </c>
      <c r="Q3" s="39">
        <v>1</v>
      </c>
      <c r="R3" s="39">
        <v>1</v>
      </c>
      <c r="S3" s="39">
        <v>1</v>
      </c>
      <c r="T3" s="39" t="s">
        <v>1275</v>
      </c>
      <c r="U3" s="39" t="s">
        <v>1276</v>
      </c>
      <c r="V3" s="39">
        <v>0</v>
      </c>
      <c r="W3" s="39">
        <v>0</v>
      </c>
      <c r="X3" s="39">
        <v>2</v>
      </c>
      <c r="Y3" s="39" t="s">
        <v>1285</v>
      </c>
      <c r="Z3" s="39" t="s">
        <v>1295</v>
      </c>
      <c r="AA3" s="39"/>
      <c r="AB3" s="39"/>
      <c r="AC3" s="39"/>
      <c r="AD3" s="39" t="s">
        <v>1279</v>
      </c>
      <c r="AE3" s="39">
        <v>100</v>
      </c>
      <c r="AF3" s="39" t="s">
        <v>281</v>
      </c>
    </row>
    <row r="4" spans="1:32">
      <c r="A4" s="39" t="s">
        <v>1252</v>
      </c>
      <c r="B4" s="39" t="s">
        <v>1227</v>
      </c>
      <c r="C4" s="39" t="s">
        <v>1224</v>
      </c>
      <c r="D4" s="39" t="s">
        <v>1263</v>
      </c>
      <c r="E4" s="39" t="s">
        <v>1265</v>
      </c>
      <c r="F4" s="39">
        <v>1</v>
      </c>
      <c r="G4" s="39">
        <v>1</v>
      </c>
      <c r="H4" s="787">
        <v>0</v>
      </c>
      <c r="I4" s="787">
        <v>0</v>
      </c>
      <c r="J4" s="787">
        <v>0</v>
      </c>
      <c r="K4" s="787">
        <v>1</v>
      </c>
      <c r="L4" s="787">
        <v>0</v>
      </c>
      <c r="M4" s="787">
        <v>0</v>
      </c>
      <c r="N4" s="787">
        <v>0</v>
      </c>
      <c r="O4" s="787">
        <v>0</v>
      </c>
      <c r="P4" s="787">
        <v>0</v>
      </c>
      <c r="Q4" s="39">
        <v>1</v>
      </c>
      <c r="R4" s="39">
        <v>1</v>
      </c>
      <c r="S4" s="39">
        <v>1</v>
      </c>
      <c r="T4" s="39" t="s">
        <v>1275</v>
      </c>
      <c r="U4" s="39" t="s">
        <v>1276</v>
      </c>
      <c r="V4" s="39">
        <v>0</v>
      </c>
      <c r="W4" s="39">
        <v>0</v>
      </c>
      <c r="X4" s="39">
        <v>2</v>
      </c>
      <c r="Y4" s="39" t="s">
        <v>1286</v>
      </c>
      <c r="Z4" s="39" t="s">
        <v>1296</v>
      </c>
      <c r="AA4" s="39"/>
      <c r="AB4" s="39"/>
      <c r="AC4" s="39"/>
      <c r="AD4" s="39" t="s">
        <v>1279</v>
      </c>
      <c r="AE4" s="39">
        <v>100</v>
      </c>
      <c r="AF4" s="39" t="s">
        <v>281</v>
      </c>
    </row>
    <row r="5" spans="1:32">
      <c r="A5" s="39" t="s">
        <v>1253</v>
      </c>
      <c r="B5" s="39" t="s">
        <v>1229</v>
      </c>
      <c r="C5" s="39" t="s">
        <v>1224</v>
      </c>
      <c r="D5" s="39" t="s">
        <v>1263</v>
      </c>
      <c r="E5" s="39" t="s">
        <v>1265</v>
      </c>
      <c r="F5" s="39">
        <v>1</v>
      </c>
      <c r="G5" s="39">
        <v>1</v>
      </c>
      <c r="H5" s="787">
        <v>0</v>
      </c>
      <c r="I5" s="787">
        <v>0</v>
      </c>
      <c r="J5" s="787">
        <v>0</v>
      </c>
      <c r="K5" s="787">
        <v>0</v>
      </c>
      <c r="L5" s="787">
        <v>0</v>
      </c>
      <c r="M5" s="787">
        <v>0</v>
      </c>
      <c r="N5" s="787">
        <v>1</v>
      </c>
      <c r="O5" s="787">
        <v>0</v>
      </c>
      <c r="P5" s="787">
        <v>0</v>
      </c>
      <c r="Q5" s="39">
        <v>1</v>
      </c>
      <c r="R5" s="39">
        <v>1</v>
      </c>
      <c r="S5" s="39">
        <v>1</v>
      </c>
      <c r="T5" s="39" t="s">
        <v>1275</v>
      </c>
      <c r="U5" s="39" t="s">
        <v>1276</v>
      </c>
      <c r="V5" s="39">
        <v>0</v>
      </c>
      <c r="W5" s="39">
        <v>0</v>
      </c>
      <c r="X5" s="39">
        <v>2</v>
      </c>
      <c r="Y5" s="39" t="s">
        <v>1287</v>
      </c>
      <c r="Z5" s="39" t="s">
        <v>1297</v>
      </c>
      <c r="AA5" s="39"/>
      <c r="AB5" s="39"/>
      <c r="AC5" s="39"/>
      <c r="AD5" s="39" t="s">
        <v>1279</v>
      </c>
      <c r="AE5" s="39">
        <v>100</v>
      </c>
      <c r="AF5" s="39" t="s">
        <v>281</v>
      </c>
    </row>
    <row r="6" spans="1:32">
      <c r="A6" s="39" t="s">
        <v>1254</v>
      </c>
      <c r="B6" s="39" t="s">
        <v>1231</v>
      </c>
      <c r="C6" s="39" t="s">
        <v>1224</v>
      </c>
      <c r="D6" s="39" t="s">
        <v>1263</v>
      </c>
      <c r="E6" s="39" t="s">
        <v>1265</v>
      </c>
      <c r="F6" s="39">
        <v>1</v>
      </c>
      <c r="G6" s="39">
        <v>1</v>
      </c>
      <c r="H6" s="787">
        <v>0</v>
      </c>
      <c r="I6" s="787">
        <v>0</v>
      </c>
      <c r="J6" s="787">
        <v>0</v>
      </c>
      <c r="K6" s="787">
        <v>0</v>
      </c>
      <c r="L6" s="787">
        <v>1</v>
      </c>
      <c r="M6" s="787">
        <v>0</v>
      </c>
      <c r="N6" s="787">
        <v>0</v>
      </c>
      <c r="O6" s="787">
        <v>0</v>
      </c>
      <c r="P6" s="787">
        <v>0</v>
      </c>
      <c r="Q6" s="39">
        <v>1</v>
      </c>
      <c r="R6" s="39">
        <v>1</v>
      </c>
      <c r="S6" s="39">
        <v>1</v>
      </c>
      <c r="T6" s="39" t="s">
        <v>1275</v>
      </c>
      <c r="U6" s="39" t="s">
        <v>1276</v>
      </c>
      <c r="V6" s="39">
        <v>0</v>
      </c>
      <c r="W6" s="39">
        <v>0</v>
      </c>
      <c r="X6" s="39">
        <v>2</v>
      </c>
      <c r="Y6" s="39" t="s">
        <v>1288</v>
      </c>
      <c r="Z6" s="39" t="s">
        <v>1298</v>
      </c>
      <c r="AA6" s="39"/>
      <c r="AB6" s="39"/>
      <c r="AC6" s="39"/>
      <c r="AD6" s="39" t="s">
        <v>1279</v>
      </c>
      <c r="AE6" s="39">
        <v>100</v>
      </c>
      <c r="AF6" s="39" t="s">
        <v>281</v>
      </c>
    </row>
    <row r="7" spans="1:32">
      <c r="A7" s="39" t="s">
        <v>1255</v>
      </c>
      <c r="B7" s="39" t="s">
        <v>1233</v>
      </c>
      <c r="C7" s="39" t="s">
        <v>1224</v>
      </c>
      <c r="D7" s="39" t="s">
        <v>1263</v>
      </c>
      <c r="E7" s="39" t="s">
        <v>1265</v>
      </c>
      <c r="F7" s="39">
        <v>1</v>
      </c>
      <c r="G7" s="39">
        <v>1</v>
      </c>
      <c r="H7" s="787">
        <v>0</v>
      </c>
      <c r="I7" s="787">
        <v>0</v>
      </c>
      <c r="J7" s="787">
        <v>0</v>
      </c>
      <c r="K7" s="787">
        <v>0</v>
      </c>
      <c r="L7" s="787">
        <v>0</v>
      </c>
      <c r="M7" s="787">
        <v>0</v>
      </c>
      <c r="N7" s="787">
        <v>0</v>
      </c>
      <c r="O7" s="787">
        <v>1</v>
      </c>
      <c r="P7" s="787">
        <v>0</v>
      </c>
      <c r="Q7" s="39">
        <v>1</v>
      </c>
      <c r="R7" s="39">
        <v>1</v>
      </c>
      <c r="S7" s="39">
        <v>1</v>
      </c>
      <c r="T7" s="39" t="s">
        <v>1275</v>
      </c>
      <c r="U7" s="39" t="s">
        <v>1276</v>
      </c>
      <c r="V7" s="39">
        <v>0</v>
      </c>
      <c r="W7" s="39">
        <v>0</v>
      </c>
      <c r="X7" s="39">
        <v>2</v>
      </c>
      <c r="Y7" s="39" t="s">
        <v>1289</v>
      </c>
      <c r="Z7" s="39" t="s">
        <v>1299</v>
      </c>
      <c r="AA7" s="39"/>
      <c r="AB7" s="39"/>
      <c r="AC7" s="39"/>
      <c r="AD7" s="39" t="s">
        <v>1279</v>
      </c>
      <c r="AE7" s="39">
        <v>100</v>
      </c>
      <c r="AF7" s="39" t="s">
        <v>281</v>
      </c>
    </row>
    <row r="8" spans="1:32">
      <c r="A8" s="39" t="s">
        <v>1256</v>
      </c>
      <c r="B8" s="39" t="s">
        <v>1235</v>
      </c>
      <c r="C8" s="39" t="s">
        <v>1224</v>
      </c>
      <c r="D8" s="39" t="s">
        <v>1263</v>
      </c>
      <c r="E8" s="39" t="s">
        <v>1265</v>
      </c>
      <c r="F8" s="39">
        <v>1</v>
      </c>
      <c r="G8" s="39">
        <v>1</v>
      </c>
      <c r="H8" s="787">
        <v>0</v>
      </c>
      <c r="I8" s="787">
        <v>0</v>
      </c>
      <c r="J8" s="787">
        <v>1</v>
      </c>
      <c r="K8" s="787">
        <v>0</v>
      </c>
      <c r="L8" s="787">
        <v>0</v>
      </c>
      <c r="M8" s="787">
        <v>0</v>
      </c>
      <c r="N8" s="787">
        <v>0</v>
      </c>
      <c r="O8" s="787">
        <v>0</v>
      </c>
      <c r="P8" s="787">
        <v>0</v>
      </c>
      <c r="Q8" s="39">
        <v>1</v>
      </c>
      <c r="R8" s="39">
        <v>1</v>
      </c>
      <c r="S8" s="39">
        <v>1</v>
      </c>
      <c r="T8" s="39" t="s">
        <v>1275</v>
      </c>
      <c r="U8" s="39" t="s">
        <v>1276</v>
      </c>
      <c r="V8" s="39">
        <v>0</v>
      </c>
      <c r="W8" s="39">
        <v>0</v>
      </c>
      <c r="X8" s="39">
        <v>2</v>
      </c>
      <c r="Y8" s="39" t="s">
        <v>1284</v>
      </c>
      <c r="Z8" s="39" t="s">
        <v>1300</v>
      </c>
      <c r="AA8" s="39"/>
      <c r="AB8" s="39"/>
      <c r="AC8" s="39"/>
      <c r="AD8" s="39" t="s">
        <v>1279</v>
      </c>
      <c r="AE8" s="39">
        <v>100</v>
      </c>
      <c r="AF8" s="39" t="s">
        <v>281</v>
      </c>
    </row>
    <row r="9" spans="1:32">
      <c r="A9" s="39" t="s">
        <v>1257</v>
      </c>
      <c r="B9" s="39" t="s">
        <v>1237</v>
      </c>
      <c r="C9" s="39" t="s">
        <v>1224</v>
      </c>
      <c r="D9" s="39" t="s">
        <v>1263</v>
      </c>
      <c r="E9" s="39" t="s">
        <v>1265</v>
      </c>
      <c r="F9" s="39">
        <v>1</v>
      </c>
      <c r="G9" s="39">
        <v>1</v>
      </c>
      <c r="H9" s="787">
        <v>0</v>
      </c>
      <c r="I9" s="787">
        <v>0</v>
      </c>
      <c r="J9" s="787">
        <v>0</v>
      </c>
      <c r="K9" s="787">
        <v>0</v>
      </c>
      <c r="L9" s="787">
        <v>0</v>
      </c>
      <c r="M9" s="787">
        <v>1</v>
      </c>
      <c r="N9" s="787">
        <v>0</v>
      </c>
      <c r="O9" s="787">
        <v>0</v>
      </c>
      <c r="P9" s="787">
        <v>0</v>
      </c>
      <c r="Q9" s="39">
        <v>1</v>
      </c>
      <c r="R9" s="39">
        <v>1</v>
      </c>
      <c r="S9" s="39">
        <v>1</v>
      </c>
      <c r="T9" s="39" t="s">
        <v>1275</v>
      </c>
      <c r="U9" s="39" t="s">
        <v>1276</v>
      </c>
      <c r="V9" s="39">
        <v>0</v>
      </c>
      <c r="W9" s="39">
        <v>0</v>
      </c>
      <c r="X9" s="39">
        <v>2</v>
      </c>
      <c r="Y9" s="39" t="s">
        <v>1290</v>
      </c>
      <c r="Z9" s="39" t="s">
        <v>1301</v>
      </c>
      <c r="AA9" s="39"/>
      <c r="AB9" s="39"/>
      <c r="AC9" s="39"/>
      <c r="AD9" s="39" t="s">
        <v>1279</v>
      </c>
      <c r="AE9" s="39">
        <v>100</v>
      </c>
      <c r="AF9" s="39" t="s">
        <v>281</v>
      </c>
    </row>
    <row r="10" spans="1:32">
      <c r="A10" s="39" t="s">
        <v>1258</v>
      </c>
      <c r="B10" s="39" t="s">
        <v>1239</v>
      </c>
      <c r="C10" s="39" t="s">
        <v>1224</v>
      </c>
      <c r="D10" s="39" t="s">
        <v>1263</v>
      </c>
      <c r="E10" s="39" t="s">
        <v>1265</v>
      </c>
      <c r="F10" s="39">
        <v>1</v>
      </c>
      <c r="G10" s="39">
        <v>1</v>
      </c>
      <c r="H10" s="787">
        <v>0</v>
      </c>
      <c r="I10" s="787">
        <v>1</v>
      </c>
      <c r="J10" s="787">
        <v>0</v>
      </c>
      <c r="K10" s="787">
        <v>0</v>
      </c>
      <c r="L10" s="787">
        <v>0</v>
      </c>
      <c r="M10" s="787">
        <v>0</v>
      </c>
      <c r="N10" s="787">
        <v>0</v>
      </c>
      <c r="O10" s="787">
        <v>0</v>
      </c>
      <c r="P10" s="787">
        <v>0</v>
      </c>
      <c r="Q10" s="39">
        <v>1</v>
      </c>
      <c r="R10" s="39">
        <v>1</v>
      </c>
      <c r="S10" s="39">
        <v>1</v>
      </c>
      <c r="T10" s="39" t="s">
        <v>1275</v>
      </c>
      <c r="U10" s="39" t="s">
        <v>1276</v>
      </c>
      <c r="V10" s="39">
        <v>0</v>
      </c>
      <c r="W10" s="39">
        <v>0</v>
      </c>
      <c r="X10" s="39">
        <v>2</v>
      </c>
      <c r="Y10" s="39" t="s">
        <v>1291</v>
      </c>
      <c r="Z10" s="39" t="s">
        <v>1302</v>
      </c>
      <c r="AA10" s="39"/>
      <c r="AB10" s="39"/>
      <c r="AC10" s="39"/>
      <c r="AD10" s="39" t="s">
        <v>1279</v>
      </c>
      <c r="AE10" s="39">
        <v>100</v>
      </c>
      <c r="AF10" s="39" t="s">
        <v>281</v>
      </c>
    </row>
    <row r="11" spans="1:32">
      <c r="A11" s="39" t="s">
        <v>1259</v>
      </c>
      <c r="B11" s="39" t="s">
        <v>1241</v>
      </c>
      <c r="C11" s="39" t="s">
        <v>1224</v>
      </c>
      <c r="D11" s="39" t="s">
        <v>1263</v>
      </c>
      <c r="E11" s="39" t="s">
        <v>1265</v>
      </c>
      <c r="F11" s="39">
        <v>1</v>
      </c>
      <c r="G11" s="39">
        <v>1</v>
      </c>
      <c r="H11" s="787">
        <v>1</v>
      </c>
      <c r="I11" s="787">
        <v>0</v>
      </c>
      <c r="J11" s="787">
        <v>0</v>
      </c>
      <c r="K11" s="787">
        <v>0</v>
      </c>
      <c r="L11" s="787">
        <v>0</v>
      </c>
      <c r="M11" s="787">
        <v>0</v>
      </c>
      <c r="N11" s="787">
        <v>0</v>
      </c>
      <c r="O11" s="787">
        <v>0</v>
      </c>
      <c r="P11" s="787">
        <v>0</v>
      </c>
      <c r="Q11" s="39">
        <v>1</v>
      </c>
      <c r="R11" s="39">
        <v>1</v>
      </c>
      <c r="S11" s="39">
        <v>1</v>
      </c>
      <c r="T11" s="39" t="s">
        <v>1275</v>
      </c>
      <c r="U11" s="39" t="s">
        <v>1276</v>
      </c>
      <c r="V11" s="39">
        <v>0</v>
      </c>
      <c r="W11" s="39">
        <v>0</v>
      </c>
      <c r="X11" s="39">
        <v>2</v>
      </c>
      <c r="Y11" s="39" t="s">
        <v>1292</v>
      </c>
      <c r="Z11" s="39" t="s">
        <v>1303</v>
      </c>
      <c r="AA11" s="39"/>
      <c r="AB11" s="39"/>
      <c r="AC11" s="39"/>
      <c r="AD11" s="39" t="s">
        <v>1279</v>
      </c>
      <c r="AE11" s="39">
        <v>100</v>
      </c>
      <c r="AF11" s="39" t="s">
        <v>281</v>
      </c>
    </row>
    <row r="12" spans="1:32">
      <c r="A12" s="39" t="s">
        <v>1305</v>
      </c>
      <c r="B12" s="39" t="s">
        <v>1221</v>
      </c>
      <c r="C12" s="39" t="s">
        <v>1232</v>
      </c>
      <c r="D12" s="39" t="s">
        <v>1316</v>
      </c>
      <c r="E12" s="39" t="s">
        <v>1265</v>
      </c>
      <c r="F12" s="39">
        <v>3</v>
      </c>
      <c r="G12" s="39">
        <v>3</v>
      </c>
      <c r="H12" s="787">
        <v>0</v>
      </c>
      <c r="I12" s="787">
        <v>0</v>
      </c>
      <c r="J12" s="787">
        <v>0</v>
      </c>
      <c r="K12" s="787">
        <v>0</v>
      </c>
      <c r="L12" s="787">
        <v>0</v>
      </c>
      <c r="M12" s="787">
        <v>0</v>
      </c>
      <c r="N12" s="787">
        <v>0</v>
      </c>
      <c r="O12" s="787">
        <v>0</v>
      </c>
      <c r="P12" s="787">
        <v>0</v>
      </c>
      <c r="Q12" s="39">
        <v>1</v>
      </c>
      <c r="R12" s="39">
        <v>1</v>
      </c>
      <c r="S12" s="39">
        <v>1</v>
      </c>
      <c r="T12" s="39" t="s">
        <v>1317</v>
      </c>
      <c r="U12" s="39" t="s">
        <v>1277</v>
      </c>
      <c r="V12" s="39">
        <v>0</v>
      </c>
      <c r="W12" s="39">
        <v>0</v>
      </c>
      <c r="X12" s="39">
        <v>2</v>
      </c>
      <c r="Y12" s="39"/>
      <c r="Z12" s="39"/>
      <c r="AA12" s="39"/>
      <c r="AB12" s="39"/>
      <c r="AC12" s="39"/>
      <c r="AD12" s="39" t="s">
        <v>1320</v>
      </c>
      <c r="AE12" s="39">
        <v>100</v>
      </c>
      <c r="AF12" s="39" t="s">
        <v>281</v>
      </c>
    </row>
    <row r="13" spans="1:32">
      <c r="A13" s="39" t="s">
        <v>1306</v>
      </c>
      <c r="B13" s="39" t="s">
        <v>1225</v>
      </c>
      <c r="C13" s="39" t="s">
        <v>1232</v>
      </c>
      <c r="D13" s="39" t="s">
        <v>1265</v>
      </c>
      <c r="E13" s="39" t="s">
        <v>1265</v>
      </c>
      <c r="F13" s="39">
        <v>2</v>
      </c>
      <c r="G13" s="39">
        <v>1</v>
      </c>
      <c r="H13" s="787">
        <v>0</v>
      </c>
      <c r="I13" s="787">
        <v>0</v>
      </c>
      <c r="J13" s="787">
        <v>0</v>
      </c>
      <c r="K13" s="787">
        <v>0</v>
      </c>
      <c r="L13" s="787">
        <v>0</v>
      </c>
      <c r="M13" s="787">
        <v>0</v>
      </c>
      <c r="N13" s="787">
        <v>0</v>
      </c>
      <c r="O13" s="787">
        <v>0</v>
      </c>
      <c r="P13" s="787">
        <v>0.5</v>
      </c>
      <c r="Q13" s="39">
        <v>1</v>
      </c>
      <c r="R13" s="39">
        <v>1</v>
      </c>
      <c r="S13" s="39">
        <v>1</v>
      </c>
      <c r="T13" s="39" t="s">
        <v>1317</v>
      </c>
      <c r="U13" s="39" t="s">
        <v>1276</v>
      </c>
      <c r="V13" s="39">
        <v>0</v>
      </c>
      <c r="W13" s="39">
        <v>0</v>
      </c>
      <c r="X13" s="39">
        <v>2</v>
      </c>
      <c r="Y13" s="39"/>
      <c r="Z13" s="39" t="s">
        <v>1323</v>
      </c>
      <c r="AA13" s="39"/>
      <c r="AB13" s="39"/>
      <c r="AC13" s="39"/>
      <c r="AD13" s="39" t="s">
        <v>1320</v>
      </c>
      <c r="AE13" s="39">
        <v>100</v>
      </c>
      <c r="AF13" s="39" t="s">
        <v>281</v>
      </c>
    </row>
    <row r="14" spans="1:32">
      <c r="A14" s="39" t="s">
        <v>1307</v>
      </c>
      <c r="B14" s="39" t="s">
        <v>1227</v>
      </c>
      <c r="C14" s="39" t="s">
        <v>1232</v>
      </c>
      <c r="D14" s="39" t="s">
        <v>1265</v>
      </c>
      <c r="E14" s="39" t="s">
        <v>1265</v>
      </c>
      <c r="F14" s="39">
        <v>2</v>
      </c>
      <c r="G14" s="39">
        <v>1</v>
      </c>
      <c r="H14" s="787">
        <v>0</v>
      </c>
      <c r="I14" s="787">
        <v>0</v>
      </c>
      <c r="J14" s="787">
        <v>0</v>
      </c>
      <c r="K14" s="787">
        <v>0.5</v>
      </c>
      <c r="L14" s="787">
        <v>0</v>
      </c>
      <c r="M14" s="787">
        <v>0</v>
      </c>
      <c r="N14" s="787">
        <v>0</v>
      </c>
      <c r="O14" s="787">
        <v>0</v>
      </c>
      <c r="P14" s="787">
        <v>0</v>
      </c>
      <c r="Q14" s="39">
        <v>1</v>
      </c>
      <c r="R14" s="39">
        <v>1</v>
      </c>
      <c r="S14" s="39">
        <v>1</v>
      </c>
      <c r="T14" s="39" t="s">
        <v>1317</v>
      </c>
      <c r="U14" s="39" t="s">
        <v>1276</v>
      </c>
      <c r="V14" s="39">
        <v>0</v>
      </c>
      <c r="W14" s="39">
        <v>0</v>
      </c>
      <c r="X14" s="39">
        <v>2</v>
      </c>
      <c r="Y14" s="39"/>
      <c r="Z14" s="39" t="s">
        <v>1323</v>
      </c>
      <c r="AA14" s="39"/>
      <c r="AB14" s="39"/>
      <c r="AC14" s="39"/>
      <c r="AD14" s="39" t="s">
        <v>1320</v>
      </c>
      <c r="AE14" s="39">
        <v>100</v>
      </c>
      <c r="AF14" s="39" t="s">
        <v>281</v>
      </c>
    </row>
    <row r="15" spans="1:32">
      <c r="A15" s="39" t="s">
        <v>1308</v>
      </c>
      <c r="B15" s="39" t="s">
        <v>1229</v>
      </c>
      <c r="C15" s="39" t="s">
        <v>1232</v>
      </c>
      <c r="D15" s="39" t="s">
        <v>1265</v>
      </c>
      <c r="E15" s="39" t="s">
        <v>1265</v>
      </c>
      <c r="F15" s="39">
        <v>1</v>
      </c>
      <c r="G15" s="39">
        <v>1</v>
      </c>
      <c r="H15" s="787">
        <v>0</v>
      </c>
      <c r="I15" s="787">
        <v>0</v>
      </c>
      <c r="J15" s="787">
        <v>0</v>
      </c>
      <c r="K15" s="787">
        <v>0</v>
      </c>
      <c r="L15" s="787">
        <v>0</v>
      </c>
      <c r="M15" s="787">
        <v>0</v>
      </c>
      <c r="N15" s="787">
        <v>0.5</v>
      </c>
      <c r="O15" s="787">
        <v>0</v>
      </c>
      <c r="P15" s="787">
        <v>0</v>
      </c>
      <c r="Q15" s="39">
        <v>1</v>
      </c>
      <c r="R15" s="39">
        <v>1</v>
      </c>
      <c r="S15" s="39">
        <v>1</v>
      </c>
      <c r="T15" s="39" t="s">
        <v>1317</v>
      </c>
      <c r="U15" s="39" t="s">
        <v>1276</v>
      </c>
      <c r="V15" s="39">
        <v>0</v>
      </c>
      <c r="W15" s="39">
        <v>0</v>
      </c>
      <c r="X15" s="39">
        <v>2</v>
      </c>
      <c r="Y15" s="39"/>
      <c r="Z15" s="39" t="s">
        <v>1324</v>
      </c>
      <c r="AA15" s="39"/>
      <c r="AB15" s="39"/>
      <c r="AC15" s="39"/>
      <c r="AD15" s="39" t="s">
        <v>1320</v>
      </c>
      <c r="AE15" s="39">
        <v>100</v>
      </c>
      <c r="AF15" s="39" t="s">
        <v>281</v>
      </c>
    </row>
    <row r="16" spans="1:32">
      <c r="A16" s="39" t="s">
        <v>1309</v>
      </c>
      <c r="B16" s="39" t="s">
        <v>1231</v>
      </c>
      <c r="C16" s="39" t="s">
        <v>1232</v>
      </c>
      <c r="D16" s="39" t="s">
        <v>1265</v>
      </c>
      <c r="E16" s="39" t="s">
        <v>1265</v>
      </c>
      <c r="F16" s="39">
        <v>2</v>
      </c>
      <c r="G16" s="39">
        <v>1</v>
      </c>
      <c r="H16" s="787">
        <v>0</v>
      </c>
      <c r="I16" s="787">
        <v>0</v>
      </c>
      <c r="J16" s="787">
        <v>0</v>
      </c>
      <c r="K16" s="787">
        <v>0</v>
      </c>
      <c r="L16" s="787">
        <v>0.5</v>
      </c>
      <c r="M16" s="787">
        <v>0</v>
      </c>
      <c r="N16" s="787">
        <v>0</v>
      </c>
      <c r="O16" s="787">
        <v>0</v>
      </c>
      <c r="P16" s="787">
        <v>0</v>
      </c>
      <c r="Q16" s="39">
        <v>1</v>
      </c>
      <c r="R16" s="39">
        <v>1</v>
      </c>
      <c r="S16" s="39">
        <v>1</v>
      </c>
      <c r="T16" s="39" t="s">
        <v>1318</v>
      </c>
      <c r="U16" s="39" t="s">
        <v>1276</v>
      </c>
      <c r="V16" s="39">
        <v>0</v>
      </c>
      <c r="W16" s="39">
        <v>0</v>
      </c>
      <c r="X16" s="39">
        <v>2</v>
      </c>
      <c r="Y16" s="39"/>
      <c r="Z16" s="39"/>
      <c r="AA16" s="39"/>
      <c r="AB16" s="39"/>
      <c r="AC16" s="39"/>
      <c r="AD16" s="39" t="s">
        <v>1320</v>
      </c>
      <c r="AE16" s="39">
        <v>100</v>
      </c>
      <c r="AF16" s="39" t="s">
        <v>281</v>
      </c>
    </row>
    <row r="17" spans="1:32">
      <c r="A17" s="39" t="s">
        <v>1310</v>
      </c>
      <c r="B17" s="39" t="s">
        <v>1233</v>
      </c>
      <c r="C17" s="39" t="s">
        <v>1232</v>
      </c>
      <c r="D17" s="39" t="s">
        <v>1265</v>
      </c>
      <c r="E17" s="39" t="s">
        <v>1265</v>
      </c>
      <c r="F17" s="39">
        <v>2</v>
      </c>
      <c r="G17" s="39">
        <v>1</v>
      </c>
      <c r="H17" s="787">
        <v>0</v>
      </c>
      <c r="I17" s="787">
        <v>0</v>
      </c>
      <c r="J17" s="787">
        <v>0</v>
      </c>
      <c r="K17" s="787">
        <v>0</v>
      </c>
      <c r="L17" s="787">
        <v>0</v>
      </c>
      <c r="M17" s="787">
        <v>0</v>
      </c>
      <c r="N17" s="787">
        <v>0</v>
      </c>
      <c r="O17" s="787">
        <v>0.5</v>
      </c>
      <c r="P17" s="787">
        <v>0</v>
      </c>
      <c r="Q17" s="39">
        <v>1</v>
      </c>
      <c r="R17" s="39">
        <v>1</v>
      </c>
      <c r="S17" s="39">
        <v>1</v>
      </c>
      <c r="T17" s="39" t="s">
        <v>1317</v>
      </c>
      <c r="U17" s="39" t="s">
        <v>1276</v>
      </c>
      <c r="V17" s="39">
        <v>0</v>
      </c>
      <c r="W17" s="39">
        <v>0</v>
      </c>
      <c r="X17" s="39">
        <v>2</v>
      </c>
      <c r="Y17" s="39"/>
      <c r="Z17" s="39" t="s">
        <v>1323</v>
      </c>
      <c r="AA17" s="39"/>
      <c r="AB17" s="39"/>
      <c r="AC17" s="39"/>
      <c r="AD17" s="39" t="s">
        <v>1320</v>
      </c>
      <c r="AE17" s="39">
        <v>100</v>
      </c>
      <c r="AF17" s="39" t="s">
        <v>281</v>
      </c>
    </row>
    <row r="18" spans="1:32">
      <c r="A18" s="39" t="s">
        <v>1311</v>
      </c>
      <c r="B18" s="39" t="s">
        <v>1235</v>
      </c>
      <c r="C18" s="39" t="s">
        <v>1232</v>
      </c>
      <c r="D18" s="39" t="s">
        <v>1265</v>
      </c>
      <c r="E18" s="39" t="s">
        <v>1265</v>
      </c>
      <c r="F18" s="39">
        <v>2</v>
      </c>
      <c r="G18" s="39">
        <v>1</v>
      </c>
      <c r="H18" s="787">
        <v>0</v>
      </c>
      <c r="I18" s="787">
        <v>0</v>
      </c>
      <c r="J18" s="787">
        <v>0.5</v>
      </c>
      <c r="K18" s="787">
        <v>0</v>
      </c>
      <c r="L18" s="787">
        <v>0</v>
      </c>
      <c r="M18" s="787">
        <v>0</v>
      </c>
      <c r="N18" s="787">
        <v>0</v>
      </c>
      <c r="O18" s="787">
        <v>0</v>
      </c>
      <c r="P18" s="787">
        <v>0</v>
      </c>
      <c r="Q18" s="39">
        <v>1</v>
      </c>
      <c r="R18" s="39">
        <v>1</v>
      </c>
      <c r="S18" s="39">
        <v>1</v>
      </c>
      <c r="T18" s="39" t="s">
        <v>1317</v>
      </c>
      <c r="U18" s="39" t="s">
        <v>1276</v>
      </c>
      <c r="V18" s="39">
        <v>0</v>
      </c>
      <c r="W18" s="39">
        <v>0</v>
      </c>
      <c r="X18" s="39">
        <v>2</v>
      </c>
      <c r="Y18" s="39"/>
      <c r="Z18" s="39" t="s">
        <v>1323</v>
      </c>
      <c r="AA18" s="39"/>
      <c r="AB18" s="39"/>
      <c r="AC18" s="39"/>
      <c r="AD18" s="39" t="s">
        <v>1320</v>
      </c>
      <c r="AE18" s="39">
        <v>100</v>
      </c>
      <c r="AF18" s="39" t="s">
        <v>281</v>
      </c>
    </row>
    <row r="19" spans="1:32">
      <c r="A19" s="39" t="s">
        <v>1312</v>
      </c>
      <c r="B19" s="39" t="s">
        <v>1237</v>
      </c>
      <c r="C19" s="39" t="s">
        <v>1232</v>
      </c>
      <c r="D19" s="39" t="s">
        <v>1265</v>
      </c>
      <c r="E19" s="39" t="s">
        <v>1265</v>
      </c>
      <c r="F19" s="39">
        <v>2</v>
      </c>
      <c r="G19" s="39">
        <v>4</v>
      </c>
      <c r="H19" s="787">
        <v>0</v>
      </c>
      <c r="I19" s="787">
        <v>0</v>
      </c>
      <c r="J19" s="787">
        <v>0</v>
      </c>
      <c r="K19" s="787">
        <v>0</v>
      </c>
      <c r="L19" s="787">
        <v>0</v>
      </c>
      <c r="M19" s="787">
        <v>0.5</v>
      </c>
      <c r="N19" s="787">
        <v>0</v>
      </c>
      <c r="O19" s="787">
        <v>0</v>
      </c>
      <c r="P19" s="787">
        <v>0</v>
      </c>
      <c r="Q19" s="39">
        <v>2</v>
      </c>
      <c r="R19" s="39">
        <v>1</v>
      </c>
      <c r="S19" s="39">
        <v>1</v>
      </c>
      <c r="T19" s="39" t="s">
        <v>1317</v>
      </c>
      <c r="U19" s="39" t="s">
        <v>1276</v>
      </c>
      <c r="V19" s="39">
        <v>0</v>
      </c>
      <c r="W19" s="39">
        <v>0</v>
      </c>
      <c r="X19" s="39">
        <v>2</v>
      </c>
      <c r="Y19" s="39"/>
      <c r="Z19" s="39"/>
      <c r="AA19" s="39"/>
      <c r="AB19" s="39"/>
      <c r="AC19" s="39"/>
      <c r="AD19" s="39" t="s">
        <v>1320</v>
      </c>
      <c r="AE19" s="39">
        <v>100</v>
      </c>
      <c r="AF19" s="39" t="s">
        <v>281</v>
      </c>
    </row>
    <row r="20" spans="1:32">
      <c r="A20" s="39" t="s">
        <v>1313</v>
      </c>
      <c r="B20" s="39" t="s">
        <v>1239</v>
      </c>
      <c r="C20" s="39" t="s">
        <v>1232</v>
      </c>
      <c r="D20" s="39" t="s">
        <v>1265</v>
      </c>
      <c r="E20" s="39" t="s">
        <v>1265</v>
      </c>
      <c r="F20" s="39">
        <v>2</v>
      </c>
      <c r="G20" s="39">
        <v>1</v>
      </c>
      <c r="H20" s="787">
        <v>0</v>
      </c>
      <c r="I20" s="787">
        <v>0.5</v>
      </c>
      <c r="J20" s="787">
        <v>0</v>
      </c>
      <c r="K20" s="787">
        <v>0</v>
      </c>
      <c r="L20" s="787">
        <v>0</v>
      </c>
      <c r="M20" s="787">
        <v>0</v>
      </c>
      <c r="N20" s="787">
        <v>0</v>
      </c>
      <c r="O20" s="787">
        <v>0</v>
      </c>
      <c r="P20" s="787">
        <v>0</v>
      </c>
      <c r="Q20" s="39">
        <v>1</v>
      </c>
      <c r="R20" s="39">
        <v>1</v>
      </c>
      <c r="S20" s="39">
        <v>1</v>
      </c>
      <c r="T20" s="39" t="s">
        <v>1317</v>
      </c>
      <c r="U20" s="39" t="s">
        <v>1276</v>
      </c>
      <c r="V20" s="39">
        <v>0</v>
      </c>
      <c r="W20" s="39">
        <v>0</v>
      </c>
      <c r="X20" s="39">
        <v>2</v>
      </c>
      <c r="Y20" s="39"/>
      <c r="Z20" s="39" t="s">
        <v>1323</v>
      </c>
      <c r="AA20" s="39"/>
      <c r="AB20" s="39"/>
      <c r="AC20" s="39"/>
      <c r="AD20" s="39" t="s">
        <v>1320</v>
      </c>
      <c r="AE20" s="39">
        <v>100</v>
      </c>
      <c r="AF20" s="39" t="s">
        <v>281</v>
      </c>
    </row>
    <row r="21" spans="1:32">
      <c r="A21" s="39" t="s">
        <v>1314</v>
      </c>
      <c r="B21" s="39" t="s">
        <v>1241</v>
      </c>
      <c r="C21" s="39" t="s">
        <v>1232</v>
      </c>
      <c r="D21" s="39" t="s">
        <v>1265</v>
      </c>
      <c r="E21" s="39" t="s">
        <v>1265</v>
      </c>
      <c r="F21" s="39">
        <v>2</v>
      </c>
      <c r="G21" s="39">
        <v>1</v>
      </c>
      <c r="H21" s="787">
        <v>0.5</v>
      </c>
      <c r="I21" s="787">
        <v>0</v>
      </c>
      <c r="J21" s="787">
        <v>0</v>
      </c>
      <c r="K21" s="787">
        <v>0</v>
      </c>
      <c r="L21" s="787">
        <v>0</v>
      </c>
      <c r="M21" s="787">
        <v>0</v>
      </c>
      <c r="N21" s="787">
        <v>0</v>
      </c>
      <c r="O21" s="787">
        <v>0</v>
      </c>
      <c r="P21" s="787">
        <v>0</v>
      </c>
      <c r="Q21" s="39">
        <v>1</v>
      </c>
      <c r="R21" s="39">
        <v>1</v>
      </c>
      <c r="S21" s="39">
        <v>1</v>
      </c>
      <c r="T21" s="39" t="s">
        <v>1317</v>
      </c>
      <c r="U21" s="39" t="s">
        <v>1276</v>
      </c>
      <c r="V21" s="39">
        <v>0</v>
      </c>
      <c r="W21" s="39">
        <v>0</v>
      </c>
      <c r="X21" s="39">
        <v>2</v>
      </c>
      <c r="Y21" s="39"/>
      <c r="Z21" s="39" t="s">
        <v>1323</v>
      </c>
      <c r="AA21" s="39"/>
      <c r="AB21" s="39"/>
      <c r="AC21" s="39"/>
      <c r="AD21" s="39" t="s">
        <v>1320</v>
      </c>
      <c r="AE21" s="39">
        <v>100</v>
      </c>
      <c r="AF21" s="39" t="s">
        <v>281</v>
      </c>
    </row>
    <row r="22" spans="1:32">
      <c r="A22" s="39" t="s">
        <v>1325</v>
      </c>
      <c r="B22" s="39" t="s">
        <v>1221</v>
      </c>
      <c r="C22" s="39" t="s">
        <v>1232</v>
      </c>
      <c r="D22" s="39" t="s">
        <v>1336</v>
      </c>
      <c r="E22" s="785" t="s">
        <v>1882</v>
      </c>
      <c r="F22" s="39">
        <v>1</v>
      </c>
      <c r="G22" s="39">
        <v>1</v>
      </c>
      <c r="H22" s="787">
        <v>0</v>
      </c>
      <c r="I22" s="787">
        <v>0</v>
      </c>
      <c r="J22" s="787">
        <v>-0.5</v>
      </c>
      <c r="K22" s="787">
        <v>-0.5</v>
      </c>
      <c r="L22" s="787">
        <v>0.5</v>
      </c>
      <c r="M22" s="787">
        <v>-0.5</v>
      </c>
      <c r="N22" s="787">
        <v>0</v>
      </c>
      <c r="O22" s="787">
        <v>0</v>
      </c>
      <c r="P22" s="787">
        <v>0</v>
      </c>
      <c r="Q22" s="39">
        <v>1</v>
      </c>
      <c r="R22" s="39">
        <v>1</v>
      </c>
      <c r="S22" s="39">
        <v>1</v>
      </c>
      <c r="T22" s="39" t="s">
        <v>1337</v>
      </c>
      <c r="U22" s="39" t="s">
        <v>1277</v>
      </c>
      <c r="V22" s="39">
        <v>0</v>
      </c>
      <c r="W22" s="39">
        <v>0</v>
      </c>
      <c r="X22" s="39">
        <v>2</v>
      </c>
      <c r="Y22" s="39" t="s">
        <v>1343</v>
      </c>
      <c r="Z22" s="39"/>
      <c r="AA22" s="39"/>
      <c r="AB22" s="39"/>
      <c r="AC22" s="39"/>
      <c r="AD22" s="39" t="s">
        <v>1341</v>
      </c>
      <c r="AE22" s="39">
        <v>100</v>
      </c>
      <c r="AF22" s="39" t="s">
        <v>281</v>
      </c>
    </row>
    <row r="23" spans="1:32">
      <c r="A23" s="39" t="s">
        <v>1326</v>
      </c>
      <c r="B23" s="39" t="s">
        <v>1225</v>
      </c>
      <c r="C23" s="39" t="s">
        <v>1232</v>
      </c>
      <c r="D23" s="39" t="s">
        <v>1263</v>
      </c>
      <c r="E23" s="785" t="s">
        <v>1882</v>
      </c>
      <c r="F23" s="39">
        <v>1</v>
      </c>
      <c r="G23" s="39">
        <v>1</v>
      </c>
      <c r="H23" s="787">
        <v>0</v>
      </c>
      <c r="I23" s="787">
        <v>0</v>
      </c>
      <c r="J23" s="787">
        <v>0</v>
      </c>
      <c r="K23" s="787">
        <v>-1</v>
      </c>
      <c r="L23" s="787">
        <v>0</v>
      </c>
      <c r="M23" s="787">
        <v>0</v>
      </c>
      <c r="N23" s="787">
        <v>0</v>
      </c>
      <c r="O23" s="787">
        <v>0</v>
      </c>
      <c r="P23" s="787">
        <v>0.5</v>
      </c>
      <c r="Q23" s="39">
        <v>1</v>
      </c>
      <c r="R23" s="39">
        <v>1</v>
      </c>
      <c r="S23" s="39">
        <v>1</v>
      </c>
      <c r="T23" s="39" t="s">
        <v>1337</v>
      </c>
      <c r="U23" s="39" t="s">
        <v>1276</v>
      </c>
      <c r="V23" s="39">
        <v>0</v>
      </c>
      <c r="W23" s="39">
        <v>0</v>
      </c>
      <c r="X23" s="39">
        <v>2</v>
      </c>
      <c r="Y23" s="39" t="s">
        <v>1344</v>
      </c>
      <c r="Z23" s="39"/>
      <c r="AA23" s="39"/>
      <c r="AB23" s="39"/>
      <c r="AC23" s="39"/>
      <c r="AD23" s="39" t="s">
        <v>1341</v>
      </c>
      <c r="AE23" s="39">
        <v>100</v>
      </c>
      <c r="AF23" s="39" t="s">
        <v>281</v>
      </c>
    </row>
    <row r="24" spans="1:32">
      <c r="A24" s="39" t="s">
        <v>1327</v>
      </c>
      <c r="B24" s="39" t="s">
        <v>1227</v>
      </c>
      <c r="C24" s="39" t="s">
        <v>1232</v>
      </c>
      <c r="D24" s="39" t="s">
        <v>1263</v>
      </c>
      <c r="E24" s="785" t="s">
        <v>1882</v>
      </c>
      <c r="F24" s="39">
        <v>1</v>
      </c>
      <c r="G24" s="39">
        <v>1</v>
      </c>
      <c r="H24" s="787">
        <v>0</v>
      </c>
      <c r="I24" s="787">
        <v>0</v>
      </c>
      <c r="J24" s="787">
        <v>0</v>
      </c>
      <c r="K24" s="787">
        <v>0.5</v>
      </c>
      <c r="L24" s="787">
        <v>0</v>
      </c>
      <c r="M24" s="787">
        <v>0</v>
      </c>
      <c r="N24" s="787">
        <v>0</v>
      </c>
      <c r="O24" s="787">
        <v>0</v>
      </c>
      <c r="P24" s="787">
        <v>0</v>
      </c>
      <c r="Q24" s="39">
        <v>1</v>
      </c>
      <c r="R24" s="39">
        <v>1</v>
      </c>
      <c r="S24" s="39">
        <v>1</v>
      </c>
      <c r="T24" s="39" t="s">
        <v>1337</v>
      </c>
      <c r="U24" s="39" t="s">
        <v>1276</v>
      </c>
      <c r="V24" s="39">
        <v>0</v>
      </c>
      <c r="W24" s="39">
        <v>0</v>
      </c>
      <c r="X24" s="39">
        <v>2</v>
      </c>
      <c r="Y24" s="39" t="s">
        <v>1345</v>
      </c>
      <c r="Z24" s="39"/>
      <c r="AA24" s="39"/>
      <c r="AB24" s="39"/>
      <c r="AC24" s="39"/>
      <c r="AD24" s="39" t="s">
        <v>1341</v>
      </c>
      <c r="AE24" s="39">
        <v>100</v>
      </c>
      <c r="AF24" s="39" t="s">
        <v>281</v>
      </c>
    </row>
    <row r="25" spans="1:32">
      <c r="A25" s="39" t="s">
        <v>1328</v>
      </c>
      <c r="B25" s="39" t="s">
        <v>1229</v>
      </c>
      <c r="C25" s="39" t="s">
        <v>1232</v>
      </c>
      <c r="D25" s="39" t="s">
        <v>1263</v>
      </c>
      <c r="E25" s="39" t="s">
        <v>1265</v>
      </c>
      <c r="F25" s="39">
        <v>1</v>
      </c>
      <c r="G25" s="39">
        <v>1</v>
      </c>
      <c r="H25" s="787">
        <v>0.1</v>
      </c>
      <c r="I25" s="787">
        <v>0.1</v>
      </c>
      <c r="J25" s="787">
        <v>0.1</v>
      </c>
      <c r="K25" s="787">
        <v>0.1</v>
      </c>
      <c r="L25" s="787">
        <v>0.1</v>
      </c>
      <c r="M25" s="787">
        <v>0.1</v>
      </c>
      <c r="N25" s="787">
        <v>0.1</v>
      </c>
      <c r="O25" s="787">
        <v>0.1</v>
      </c>
      <c r="P25" s="787">
        <v>0.1</v>
      </c>
      <c r="Q25" s="39">
        <v>1</v>
      </c>
      <c r="R25" s="39">
        <v>1</v>
      </c>
      <c r="S25" s="39">
        <v>1</v>
      </c>
      <c r="T25" s="39" t="s">
        <v>1338</v>
      </c>
      <c r="U25" s="39" t="s">
        <v>1276</v>
      </c>
      <c r="V25" s="39">
        <v>0</v>
      </c>
      <c r="W25" s="39">
        <v>0</v>
      </c>
      <c r="X25" s="39">
        <v>2</v>
      </c>
      <c r="Y25" s="39" t="s">
        <v>1346</v>
      </c>
      <c r="Z25" s="39" t="s">
        <v>1352</v>
      </c>
      <c r="AA25" s="39"/>
      <c r="AB25" s="39"/>
      <c r="AC25" s="39"/>
      <c r="AD25" s="39" t="s">
        <v>1341</v>
      </c>
      <c r="AE25" s="39">
        <v>100</v>
      </c>
      <c r="AF25" s="39" t="s">
        <v>281</v>
      </c>
    </row>
    <row r="26" spans="1:32">
      <c r="A26" s="39" t="s">
        <v>1329</v>
      </c>
      <c r="B26" s="39" t="s">
        <v>1231</v>
      </c>
      <c r="C26" s="39" t="s">
        <v>1232</v>
      </c>
      <c r="D26" s="39" t="s">
        <v>1263</v>
      </c>
      <c r="E26" s="785" t="s">
        <v>1882</v>
      </c>
      <c r="F26" s="39">
        <v>1</v>
      </c>
      <c r="G26" s="39">
        <v>1</v>
      </c>
      <c r="H26" s="787">
        <v>0</v>
      </c>
      <c r="I26" s="787">
        <v>0</v>
      </c>
      <c r="J26" s="787">
        <v>0</v>
      </c>
      <c r="K26" s="787">
        <v>-1</v>
      </c>
      <c r="L26" s="787">
        <v>0.5</v>
      </c>
      <c r="M26" s="787">
        <v>0</v>
      </c>
      <c r="N26" s="787">
        <v>0</v>
      </c>
      <c r="O26" s="787">
        <v>0</v>
      </c>
      <c r="P26" s="787">
        <v>0</v>
      </c>
      <c r="Q26" s="39">
        <v>1</v>
      </c>
      <c r="R26" s="39">
        <v>1</v>
      </c>
      <c r="S26" s="39">
        <v>1</v>
      </c>
      <c r="T26" s="39" t="s">
        <v>1337</v>
      </c>
      <c r="U26" s="39" t="s">
        <v>1276</v>
      </c>
      <c r="V26" s="39">
        <v>0</v>
      </c>
      <c r="W26" s="39">
        <v>0</v>
      </c>
      <c r="X26" s="39">
        <v>2</v>
      </c>
      <c r="Y26" s="39" t="s">
        <v>1347</v>
      </c>
      <c r="Z26" s="39" t="s">
        <v>1353</v>
      </c>
      <c r="AA26" s="39"/>
      <c r="AB26" s="39"/>
      <c r="AC26" s="39"/>
      <c r="AD26" s="39" t="s">
        <v>1341</v>
      </c>
      <c r="AE26" s="39">
        <v>100</v>
      </c>
      <c r="AF26" s="39" t="s">
        <v>281</v>
      </c>
    </row>
    <row r="27" spans="1:32">
      <c r="A27" s="39" t="s">
        <v>1330</v>
      </c>
      <c r="B27" s="39" t="s">
        <v>1233</v>
      </c>
      <c r="C27" s="39" t="s">
        <v>1232</v>
      </c>
      <c r="D27" s="39" t="s">
        <v>1263</v>
      </c>
      <c r="E27" s="785" t="s">
        <v>1882</v>
      </c>
      <c r="F27" s="39">
        <v>1</v>
      </c>
      <c r="G27" s="39">
        <v>1</v>
      </c>
      <c r="H27" s="787">
        <v>0</v>
      </c>
      <c r="I27" s="787">
        <v>0</v>
      </c>
      <c r="J27" s="787">
        <v>0</v>
      </c>
      <c r="K27" s="787">
        <v>-1</v>
      </c>
      <c r="L27" s="787">
        <v>0.5</v>
      </c>
      <c r="M27" s="787">
        <v>0</v>
      </c>
      <c r="N27" s="787">
        <v>0</v>
      </c>
      <c r="O27" s="787">
        <v>0.5</v>
      </c>
      <c r="P27" s="787">
        <v>0</v>
      </c>
      <c r="Q27" s="39">
        <v>1</v>
      </c>
      <c r="R27" s="39">
        <v>1</v>
      </c>
      <c r="S27" s="39">
        <v>1</v>
      </c>
      <c r="T27" s="39" t="s">
        <v>1337</v>
      </c>
      <c r="U27" s="39" t="s">
        <v>1276</v>
      </c>
      <c r="V27" s="39">
        <v>0</v>
      </c>
      <c r="W27" s="39">
        <v>0</v>
      </c>
      <c r="X27" s="39">
        <v>2</v>
      </c>
      <c r="Y27" s="39" t="s">
        <v>1348</v>
      </c>
      <c r="Z27" s="39"/>
      <c r="AA27" s="39"/>
      <c r="AB27" s="39"/>
      <c r="AC27" s="39"/>
      <c r="AD27" s="39" t="s">
        <v>1341</v>
      </c>
      <c r="AE27" s="39">
        <v>100</v>
      </c>
      <c r="AF27" s="39" t="s">
        <v>281</v>
      </c>
    </row>
    <row r="28" spans="1:32">
      <c r="A28" s="39" t="s">
        <v>1331</v>
      </c>
      <c r="B28" s="39" t="s">
        <v>1235</v>
      </c>
      <c r="C28" s="39" t="s">
        <v>1232</v>
      </c>
      <c r="D28" s="39" t="s">
        <v>1263</v>
      </c>
      <c r="E28" s="785" t="s">
        <v>1882</v>
      </c>
      <c r="F28" s="39">
        <v>1</v>
      </c>
      <c r="G28" s="39">
        <v>1</v>
      </c>
      <c r="H28" s="787">
        <v>0</v>
      </c>
      <c r="I28" s="787">
        <v>0</v>
      </c>
      <c r="J28" s="787">
        <v>0.5</v>
      </c>
      <c r="K28" s="787">
        <v>-1</v>
      </c>
      <c r="L28" s="787">
        <v>-0.5</v>
      </c>
      <c r="M28" s="787">
        <v>0</v>
      </c>
      <c r="N28" s="787">
        <v>0</v>
      </c>
      <c r="O28" s="787">
        <v>0</v>
      </c>
      <c r="P28" s="787">
        <v>0</v>
      </c>
      <c r="Q28" s="39">
        <v>1</v>
      </c>
      <c r="R28" s="39">
        <v>1</v>
      </c>
      <c r="S28" s="39">
        <v>1</v>
      </c>
      <c r="T28" s="39" t="s">
        <v>1337</v>
      </c>
      <c r="U28" s="39" t="s">
        <v>1276</v>
      </c>
      <c r="V28" s="39">
        <v>0</v>
      </c>
      <c r="W28" s="39">
        <v>0</v>
      </c>
      <c r="X28" s="39">
        <v>2</v>
      </c>
      <c r="Y28" s="39" t="s">
        <v>1349</v>
      </c>
      <c r="Z28" s="39"/>
      <c r="AA28" s="39"/>
      <c r="AB28" s="39"/>
      <c r="AC28" s="39"/>
      <c r="AD28" s="39" t="s">
        <v>1341</v>
      </c>
      <c r="AE28" s="39">
        <v>100</v>
      </c>
      <c r="AF28" s="39" t="s">
        <v>281</v>
      </c>
    </row>
    <row r="29" spans="1:32">
      <c r="A29" s="39" t="s">
        <v>1332</v>
      </c>
      <c r="B29" s="39" t="s">
        <v>1237</v>
      </c>
      <c r="C29" s="39" t="s">
        <v>1232</v>
      </c>
      <c r="D29" s="39" t="s">
        <v>1263</v>
      </c>
      <c r="E29" s="785" t="s">
        <v>1882</v>
      </c>
      <c r="F29" s="39">
        <v>1</v>
      </c>
      <c r="G29" s="39">
        <v>1</v>
      </c>
      <c r="H29" s="787">
        <v>0</v>
      </c>
      <c r="I29" s="787">
        <v>0</v>
      </c>
      <c r="J29" s="787">
        <v>0</v>
      </c>
      <c r="K29" s="787">
        <v>0</v>
      </c>
      <c r="L29" s="787">
        <v>0</v>
      </c>
      <c r="M29" s="787">
        <v>0</v>
      </c>
      <c r="N29" s="787">
        <v>0</v>
      </c>
      <c r="O29" s="787">
        <v>0</v>
      </c>
      <c r="P29" s="787">
        <v>0</v>
      </c>
      <c r="Q29" s="39">
        <v>1</v>
      </c>
      <c r="R29" s="39">
        <v>1</v>
      </c>
      <c r="S29" s="39">
        <v>1</v>
      </c>
      <c r="T29" s="39" t="s">
        <v>1339</v>
      </c>
      <c r="U29" s="39" t="s">
        <v>1276</v>
      </c>
      <c r="V29" s="39">
        <v>0</v>
      </c>
      <c r="W29" s="39">
        <v>0</v>
      </c>
      <c r="X29" s="39">
        <v>2</v>
      </c>
      <c r="Y29" s="39"/>
      <c r="Z29" s="39"/>
      <c r="AA29" s="39"/>
      <c r="AB29" s="39"/>
      <c r="AC29" s="39"/>
      <c r="AD29" s="39" t="s">
        <v>1341</v>
      </c>
      <c r="AE29" s="39">
        <v>100</v>
      </c>
      <c r="AF29" s="39" t="s">
        <v>281</v>
      </c>
    </row>
    <row r="30" spans="1:32">
      <c r="A30" s="39" t="s">
        <v>1333</v>
      </c>
      <c r="B30" s="39" t="s">
        <v>1239</v>
      </c>
      <c r="C30" s="39" t="s">
        <v>1232</v>
      </c>
      <c r="D30" s="39" t="s">
        <v>1263</v>
      </c>
      <c r="E30" s="785" t="s">
        <v>1882</v>
      </c>
      <c r="F30" s="39">
        <v>1</v>
      </c>
      <c r="G30" s="39">
        <v>1</v>
      </c>
      <c r="H30" s="787">
        <v>0</v>
      </c>
      <c r="I30" s="787">
        <v>0.5</v>
      </c>
      <c r="J30" s="787">
        <v>0</v>
      </c>
      <c r="K30" s="787">
        <v>0</v>
      </c>
      <c r="L30" s="787">
        <v>0</v>
      </c>
      <c r="M30" s="787">
        <v>0</v>
      </c>
      <c r="N30" s="787">
        <v>0</v>
      </c>
      <c r="O30" s="787">
        <v>0</v>
      </c>
      <c r="P30" s="787">
        <v>0.5</v>
      </c>
      <c r="Q30" s="39">
        <v>1</v>
      </c>
      <c r="R30" s="39">
        <v>1</v>
      </c>
      <c r="S30" s="39">
        <v>1</v>
      </c>
      <c r="T30" s="39" t="s">
        <v>1337</v>
      </c>
      <c r="U30" s="39" t="s">
        <v>1276</v>
      </c>
      <c r="V30" s="39">
        <v>0</v>
      </c>
      <c r="W30" s="39">
        <v>0</v>
      </c>
      <c r="X30" s="39">
        <v>2</v>
      </c>
      <c r="Y30" s="39" t="s">
        <v>1350</v>
      </c>
      <c r="Z30" s="39"/>
      <c r="AA30" s="39"/>
      <c r="AB30" s="39"/>
      <c r="AC30" s="39"/>
      <c r="AD30" s="39" t="s">
        <v>1341</v>
      </c>
      <c r="AE30" s="39">
        <v>100</v>
      </c>
      <c r="AF30" s="39" t="s">
        <v>281</v>
      </c>
    </row>
    <row r="31" spans="1:32">
      <c r="A31" s="39" t="s">
        <v>1334</v>
      </c>
      <c r="B31" s="39" t="s">
        <v>1241</v>
      </c>
      <c r="C31" s="39" t="s">
        <v>1232</v>
      </c>
      <c r="D31" s="39" t="s">
        <v>1263</v>
      </c>
      <c r="E31" s="39" t="s">
        <v>1265</v>
      </c>
      <c r="F31" s="39">
        <v>1</v>
      </c>
      <c r="G31" s="39">
        <v>1</v>
      </c>
      <c r="H31" s="787">
        <v>0</v>
      </c>
      <c r="I31" s="787">
        <v>0</v>
      </c>
      <c r="J31" s="787">
        <v>0</v>
      </c>
      <c r="K31" s="787">
        <v>0</v>
      </c>
      <c r="L31" s="787">
        <v>0</v>
      </c>
      <c r="M31" s="787">
        <v>0</v>
      </c>
      <c r="N31" s="787">
        <v>0</v>
      </c>
      <c r="O31" s="787">
        <v>0</v>
      </c>
      <c r="P31" s="787">
        <v>0</v>
      </c>
      <c r="Q31" s="39">
        <v>1</v>
      </c>
      <c r="R31" s="39">
        <v>1</v>
      </c>
      <c r="S31" s="39">
        <v>1</v>
      </c>
      <c r="T31" s="39" t="s">
        <v>1340</v>
      </c>
      <c r="U31" s="39" t="s">
        <v>1276</v>
      </c>
      <c r="V31" s="39">
        <v>0</v>
      </c>
      <c r="W31" s="39">
        <v>0</v>
      </c>
      <c r="X31" s="39">
        <v>2</v>
      </c>
      <c r="Y31" s="39" t="s">
        <v>1346</v>
      </c>
      <c r="Z31" s="39" t="s">
        <v>1352</v>
      </c>
      <c r="AA31" s="39"/>
      <c r="AB31" s="39"/>
      <c r="AC31" s="39"/>
      <c r="AD31" s="39" t="s">
        <v>1341</v>
      </c>
      <c r="AE31" s="39">
        <v>100</v>
      </c>
      <c r="AF31" s="39" t="s">
        <v>281</v>
      </c>
    </row>
    <row r="32" spans="1:32">
      <c r="A32" s="39" t="s">
        <v>1354</v>
      </c>
      <c r="B32" s="39" t="s">
        <v>1221</v>
      </c>
      <c r="C32" s="39" t="s">
        <v>1226</v>
      </c>
      <c r="D32" s="39" t="s">
        <v>1365</v>
      </c>
      <c r="E32" s="785" t="s">
        <v>1882</v>
      </c>
      <c r="F32" s="39">
        <v>1</v>
      </c>
      <c r="G32" s="39">
        <v>1</v>
      </c>
      <c r="H32" s="787">
        <v>0</v>
      </c>
      <c r="I32" s="787">
        <v>0</v>
      </c>
      <c r="J32" s="787">
        <v>0</v>
      </c>
      <c r="K32" s="787">
        <v>0</v>
      </c>
      <c r="L32" s="787">
        <v>0</v>
      </c>
      <c r="M32" s="787">
        <v>0</v>
      </c>
      <c r="N32" s="787">
        <v>0</v>
      </c>
      <c r="O32" s="787">
        <v>0</v>
      </c>
      <c r="P32" s="787">
        <v>0</v>
      </c>
      <c r="Q32" s="39">
        <v>1</v>
      </c>
      <c r="R32" s="39">
        <v>1</v>
      </c>
      <c r="S32" s="39">
        <v>1</v>
      </c>
      <c r="T32" s="39"/>
      <c r="U32" s="39" t="s">
        <v>1277</v>
      </c>
      <c r="V32" s="39">
        <v>0</v>
      </c>
      <c r="W32" s="39">
        <v>0</v>
      </c>
      <c r="X32" s="39">
        <v>2</v>
      </c>
      <c r="Y32" s="39" t="s">
        <v>1369</v>
      </c>
      <c r="Z32" s="39"/>
      <c r="AA32" s="39"/>
      <c r="AB32" s="39"/>
      <c r="AC32" s="39"/>
      <c r="AD32" s="39" t="s">
        <v>1367</v>
      </c>
      <c r="AE32" s="39">
        <v>100</v>
      </c>
      <c r="AF32" s="39" t="s">
        <v>281</v>
      </c>
    </row>
    <row r="33" spans="1:32">
      <c r="A33" s="39" t="s">
        <v>1355</v>
      </c>
      <c r="B33" s="39" t="s">
        <v>1225</v>
      </c>
      <c r="C33" s="39" t="s">
        <v>1226</v>
      </c>
      <c r="D33" s="39" t="s">
        <v>1365</v>
      </c>
      <c r="E33" s="785" t="s">
        <v>1882</v>
      </c>
      <c r="F33" s="39">
        <v>1</v>
      </c>
      <c r="G33" s="39">
        <v>1</v>
      </c>
      <c r="H33" s="787">
        <v>0</v>
      </c>
      <c r="I33" s="787">
        <v>0</v>
      </c>
      <c r="J33" s="787">
        <v>0</v>
      </c>
      <c r="K33" s="787">
        <v>0</v>
      </c>
      <c r="L33" s="787">
        <v>0</v>
      </c>
      <c r="M33" s="787">
        <v>0</v>
      </c>
      <c r="N33" s="787">
        <v>0</v>
      </c>
      <c r="O33" s="787">
        <v>0</v>
      </c>
      <c r="P33" s="787">
        <v>0.5</v>
      </c>
      <c r="Q33" s="39">
        <v>1</v>
      </c>
      <c r="R33" s="39">
        <v>1</v>
      </c>
      <c r="S33" s="39">
        <v>1</v>
      </c>
      <c r="T33" s="39"/>
      <c r="U33" s="39" t="s">
        <v>1276</v>
      </c>
      <c r="V33" s="39">
        <v>0</v>
      </c>
      <c r="W33" s="39">
        <v>0</v>
      </c>
      <c r="X33" s="39">
        <v>2</v>
      </c>
      <c r="Y33" s="39" t="s">
        <v>1370</v>
      </c>
      <c r="Z33" s="39"/>
      <c r="AA33" s="39"/>
      <c r="AB33" s="39"/>
      <c r="AC33" s="39"/>
      <c r="AD33" s="39" t="s">
        <v>1367</v>
      </c>
      <c r="AE33" s="39">
        <v>100</v>
      </c>
      <c r="AF33" s="39" t="s">
        <v>281</v>
      </c>
    </row>
    <row r="34" spans="1:32">
      <c r="A34" s="39" t="s">
        <v>1356</v>
      </c>
      <c r="B34" s="39" t="s">
        <v>1227</v>
      </c>
      <c r="C34" s="39" t="s">
        <v>1226</v>
      </c>
      <c r="D34" s="39" t="s">
        <v>1365</v>
      </c>
      <c r="E34" s="785" t="s">
        <v>1882</v>
      </c>
      <c r="F34" s="39">
        <v>1</v>
      </c>
      <c r="G34" s="39">
        <v>1</v>
      </c>
      <c r="H34" s="787">
        <v>0</v>
      </c>
      <c r="I34" s="787">
        <v>0</v>
      </c>
      <c r="J34" s="787">
        <v>0</v>
      </c>
      <c r="K34" s="787">
        <v>0.5</v>
      </c>
      <c r="L34" s="787">
        <v>0</v>
      </c>
      <c r="M34" s="787">
        <v>0</v>
      </c>
      <c r="N34" s="787">
        <v>0</v>
      </c>
      <c r="O34" s="787">
        <v>0</v>
      </c>
      <c r="P34" s="787">
        <v>0</v>
      </c>
      <c r="Q34" s="39">
        <v>1</v>
      </c>
      <c r="R34" s="39">
        <v>1</v>
      </c>
      <c r="S34" s="39">
        <v>1</v>
      </c>
      <c r="T34" s="39"/>
      <c r="U34" s="39" t="s">
        <v>1276</v>
      </c>
      <c r="V34" s="39">
        <v>0</v>
      </c>
      <c r="W34" s="39">
        <v>0</v>
      </c>
      <c r="X34" s="39">
        <v>2</v>
      </c>
      <c r="Y34" s="39" t="s">
        <v>1371</v>
      </c>
      <c r="Z34" s="39"/>
      <c r="AA34" s="39"/>
      <c r="AB34" s="39"/>
      <c r="AC34" s="39"/>
      <c r="AD34" s="39" t="s">
        <v>1367</v>
      </c>
      <c r="AE34" s="39">
        <v>100</v>
      </c>
      <c r="AF34" s="39" t="s">
        <v>281</v>
      </c>
    </row>
    <row r="35" spans="1:32">
      <c r="A35" s="39" t="s">
        <v>1357</v>
      </c>
      <c r="B35" s="39" t="s">
        <v>1229</v>
      </c>
      <c r="C35" s="39" t="s">
        <v>1226</v>
      </c>
      <c r="D35" s="39" t="s">
        <v>1365</v>
      </c>
      <c r="E35" s="785" t="s">
        <v>1882</v>
      </c>
      <c r="F35" s="39">
        <v>1</v>
      </c>
      <c r="G35" s="39">
        <v>1</v>
      </c>
      <c r="H35" s="787">
        <v>0</v>
      </c>
      <c r="I35" s="787">
        <v>0</v>
      </c>
      <c r="J35" s="787">
        <v>0</v>
      </c>
      <c r="K35" s="787">
        <v>0</v>
      </c>
      <c r="L35" s="787">
        <v>0</v>
      </c>
      <c r="M35" s="787">
        <v>0</v>
      </c>
      <c r="N35" s="787">
        <v>0.5</v>
      </c>
      <c r="O35" s="787">
        <v>0</v>
      </c>
      <c r="P35" s="787">
        <v>0</v>
      </c>
      <c r="Q35" s="39">
        <v>1</v>
      </c>
      <c r="R35" s="39">
        <v>1</v>
      </c>
      <c r="S35" s="39">
        <v>1</v>
      </c>
      <c r="T35" s="39"/>
      <c r="U35" s="39" t="s">
        <v>1276</v>
      </c>
      <c r="V35" s="39">
        <v>0</v>
      </c>
      <c r="W35" s="39">
        <v>0</v>
      </c>
      <c r="X35" s="39">
        <v>2</v>
      </c>
      <c r="Y35" s="39" t="s">
        <v>1372</v>
      </c>
      <c r="Z35" s="39"/>
      <c r="AA35" s="39"/>
      <c r="AB35" s="39"/>
      <c r="AC35" s="39"/>
      <c r="AD35" s="39" t="s">
        <v>1367</v>
      </c>
      <c r="AE35" s="39">
        <v>100</v>
      </c>
      <c r="AF35" s="39" t="s">
        <v>281</v>
      </c>
    </row>
    <row r="36" spans="1:32">
      <c r="A36" s="39" t="s">
        <v>1358</v>
      </c>
      <c r="B36" s="39" t="s">
        <v>1231</v>
      </c>
      <c r="C36" s="39" t="s">
        <v>1226</v>
      </c>
      <c r="D36" s="39" t="s">
        <v>1365</v>
      </c>
      <c r="E36" s="785" t="s">
        <v>1882</v>
      </c>
      <c r="F36" s="39">
        <v>1</v>
      </c>
      <c r="G36" s="39">
        <v>1</v>
      </c>
      <c r="H36" s="787">
        <v>0</v>
      </c>
      <c r="I36" s="787">
        <v>0</v>
      </c>
      <c r="J36" s="787">
        <v>0</v>
      </c>
      <c r="K36" s="787">
        <v>0</v>
      </c>
      <c r="L36" s="787">
        <v>0.5</v>
      </c>
      <c r="M36" s="787">
        <v>0</v>
      </c>
      <c r="N36" s="787">
        <v>0</v>
      </c>
      <c r="O36" s="787">
        <v>0</v>
      </c>
      <c r="P36" s="787">
        <v>0</v>
      </c>
      <c r="Q36" s="39">
        <v>1</v>
      </c>
      <c r="R36" s="39">
        <v>1</v>
      </c>
      <c r="S36" s="39">
        <v>1</v>
      </c>
      <c r="T36" s="39"/>
      <c r="U36" s="39" t="s">
        <v>1276</v>
      </c>
      <c r="V36" s="39">
        <v>0</v>
      </c>
      <c r="W36" s="39">
        <v>0</v>
      </c>
      <c r="X36" s="39">
        <v>2</v>
      </c>
      <c r="Y36" s="39" t="s">
        <v>1373</v>
      </c>
      <c r="Z36" s="39"/>
      <c r="AA36" s="39"/>
      <c r="AB36" s="39"/>
      <c r="AC36" s="39"/>
      <c r="AD36" s="39" t="s">
        <v>1367</v>
      </c>
      <c r="AE36" s="39">
        <v>100</v>
      </c>
      <c r="AF36" s="39" t="s">
        <v>281</v>
      </c>
    </row>
    <row r="37" spans="1:32">
      <c r="A37" s="39" t="s">
        <v>1359</v>
      </c>
      <c r="B37" s="39" t="s">
        <v>1233</v>
      </c>
      <c r="C37" s="39" t="s">
        <v>1226</v>
      </c>
      <c r="D37" s="39" t="s">
        <v>1365</v>
      </c>
      <c r="E37" s="785" t="s">
        <v>1882</v>
      </c>
      <c r="F37" s="39">
        <v>1</v>
      </c>
      <c r="G37" s="39">
        <v>1</v>
      </c>
      <c r="H37" s="787">
        <v>0</v>
      </c>
      <c r="I37" s="787">
        <v>0</v>
      </c>
      <c r="J37" s="787">
        <v>0</v>
      </c>
      <c r="K37" s="787">
        <v>0</v>
      </c>
      <c r="L37" s="787">
        <v>0</v>
      </c>
      <c r="M37" s="787">
        <v>0</v>
      </c>
      <c r="N37" s="787">
        <v>0</v>
      </c>
      <c r="O37" s="787">
        <v>0.5</v>
      </c>
      <c r="P37" s="787">
        <v>0</v>
      </c>
      <c r="Q37" s="39">
        <v>1</v>
      </c>
      <c r="R37" s="39">
        <v>1</v>
      </c>
      <c r="S37" s="39">
        <v>1</v>
      </c>
      <c r="T37" s="39"/>
      <c r="U37" s="39" t="s">
        <v>1276</v>
      </c>
      <c r="V37" s="39">
        <v>0</v>
      </c>
      <c r="W37" s="39">
        <v>0</v>
      </c>
      <c r="X37" s="39">
        <v>2</v>
      </c>
      <c r="Y37" s="39" t="s">
        <v>1374</v>
      </c>
      <c r="Z37" s="39"/>
      <c r="AA37" s="39"/>
      <c r="AB37" s="39"/>
      <c r="AC37" s="39"/>
      <c r="AD37" s="39" t="s">
        <v>1367</v>
      </c>
      <c r="AE37" s="39">
        <v>100</v>
      </c>
      <c r="AF37" s="39" t="s">
        <v>281</v>
      </c>
    </row>
    <row r="38" spans="1:32">
      <c r="A38" s="39" t="s">
        <v>1360</v>
      </c>
      <c r="B38" s="39" t="s">
        <v>1235</v>
      </c>
      <c r="C38" s="39" t="s">
        <v>1226</v>
      </c>
      <c r="D38" s="39" t="s">
        <v>1365</v>
      </c>
      <c r="E38" s="785" t="s">
        <v>1882</v>
      </c>
      <c r="F38" s="39">
        <v>1</v>
      </c>
      <c r="G38" s="39">
        <v>1</v>
      </c>
      <c r="H38" s="787">
        <v>0</v>
      </c>
      <c r="I38" s="787">
        <v>0</v>
      </c>
      <c r="J38" s="787">
        <v>0.5</v>
      </c>
      <c r="K38" s="787">
        <v>0</v>
      </c>
      <c r="L38" s="787">
        <v>0</v>
      </c>
      <c r="M38" s="787">
        <v>0</v>
      </c>
      <c r="N38" s="787">
        <v>0</v>
      </c>
      <c r="O38" s="787">
        <v>0</v>
      </c>
      <c r="P38" s="787">
        <v>0</v>
      </c>
      <c r="Q38" s="39">
        <v>1</v>
      </c>
      <c r="R38" s="39">
        <v>1</v>
      </c>
      <c r="S38" s="39">
        <v>1</v>
      </c>
      <c r="T38" s="39"/>
      <c r="U38" s="39" t="s">
        <v>1276</v>
      </c>
      <c r="V38" s="39">
        <v>0</v>
      </c>
      <c r="W38" s="39">
        <v>0</v>
      </c>
      <c r="X38" s="39">
        <v>2</v>
      </c>
      <c r="Y38" s="39" t="s">
        <v>1375</v>
      </c>
      <c r="Z38" s="39"/>
      <c r="AA38" s="39"/>
      <c r="AB38" s="39"/>
      <c r="AC38" s="39"/>
      <c r="AD38" s="39" t="s">
        <v>1367</v>
      </c>
      <c r="AE38" s="39">
        <v>100</v>
      </c>
      <c r="AF38" s="39" t="s">
        <v>281</v>
      </c>
    </row>
    <row r="39" spans="1:32">
      <c r="A39" s="39" t="s">
        <v>1361</v>
      </c>
      <c r="B39" s="39" t="s">
        <v>1237</v>
      </c>
      <c r="C39" s="39" t="s">
        <v>1226</v>
      </c>
      <c r="D39" s="39" t="s">
        <v>1365</v>
      </c>
      <c r="E39" s="785" t="s">
        <v>1882</v>
      </c>
      <c r="F39" s="39">
        <v>1</v>
      </c>
      <c r="G39" s="39">
        <v>1</v>
      </c>
      <c r="H39" s="787">
        <v>0</v>
      </c>
      <c r="I39" s="787">
        <v>0</v>
      </c>
      <c r="J39" s="787">
        <v>0</v>
      </c>
      <c r="K39" s="787">
        <v>0</v>
      </c>
      <c r="L39" s="787">
        <v>0</v>
      </c>
      <c r="M39" s="787">
        <v>0.5</v>
      </c>
      <c r="N39" s="787">
        <v>0</v>
      </c>
      <c r="O39" s="787">
        <v>0</v>
      </c>
      <c r="P39" s="787">
        <v>0</v>
      </c>
      <c r="Q39" s="39">
        <v>1</v>
      </c>
      <c r="R39" s="39">
        <v>1</v>
      </c>
      <c r="S39" s="39">
        <v>1</v>
      </c>
      <c r="T39" s="39"/>
      <c r="U39" s="39" t="s">
        <v>1276</v>
      </c>
      <c r="V39" s="39">
        <v>0</v>
      </c>
      <c r="W39" s="39">
        <v>0</v>
      </c>
      <c r="X39" s="39">
        <v>2</v>
      </c>
      <c r="Y39" s="39" t="s">
        <v>1376</v>
      </c>
      <c r="Z39" s="39"/>
      <c r="AA39" s="39"/>
      <c r="AB39" s="39"/>
      <c r="AC39" s="39"/>
      <c r="AD39" s="39" t="s">
        <v>1367</v>
      </c>
      <c r="AE39" s="39">
        <v>100</v>
      </c>
      <c r="AF39" s="39" t="s">
        <v>281</v>
      </c>
    </row>
    <row r="40" spans="1:32">
      <c r="A40" s="39" t="s">
        <v>1362</v>
      </c>
      <c r="B40" s="39" t="s">
        <v>1239</v>
      </c>
      <c r="C40" s="39" t="s">
        <v>1226</v>
      </c>
      <c r="D40" s="39" t="s">
        <v>1365</v>
      </c>
      <c r="E40" s="785" t="s">
        <v>1882</v>
      </c>
      <c r="F40" s="39">
        <v>1</v>
      </c>
      <c r="G40" s="39">
        <v>1</v>
      </c>
      <c r="H40" s="787">
        <v>0</v>
      </c>
      <c r="I40" s="787">
        <v>0.5</v>
      </c>
      <c r="J40" s="787">
        <v>0</v>
      </c>
      <c r="K40" s="787">
        <v>0</v>
      </c>
      <c r="L40" s="787">
        <v>0</v>
      </c>
      <c r="M40" s="787">
        <v>0</v>
      </c>
      <c r="N40" s="787">
        <v>0</v>
      </c>
      <c r="O40" s="787">
        <v>0</v>
      </c>
      <c r="P40" s="787">
        <v>0</v>
      </c>
      <c r="Q40" s="39">
        <v>1</v>
      </c>
      <c r="R40" s="39">
        <v>1</v>
      </c>
      <c r="S40" s="39">
        <v>1</v>
      </c>
      <c r="T40" s="39"/>
      <c r="U40" s="39" t="s">
        <v>1276</v>
      </c>
      <c r="V40" s="39">
        <v>0</v>
      </c>
      <c r="W40" s="39">
        <v>0</v>
      </c>
      <c r="X40" s="39">
        <v>2</v>
      </c>
      <c r="Y40" s="39" t="s">
        <v>1377</v>
      </c>
      <c r="Z40" s="39"/>
      <c r="AA40" s="39"/>
      <c r="AB40" s="39"/>
      <c r="AC40" s="39"/>
      <c r="AD40" s="39" t="s">
        <v>1367</v>
      </c>
      <c r="AE40" s="39">
        <v>100</v>
      </c>
      <c r="AF40" s="39" t="s">
        <v>281</v>
      </c>
    </row>
    <row r="41" spans="1:32">
      <c r="A41" s="39" t="s">
        <v>1363</v>
      </c>
      <c r="B41" s="39" t="s">
        <v>1241</v>
      </c>
      <c r="C41" s="39" t="s">
        <v>1226</v>
      </c>
      <c r="D41" s="39" t="s">
        <v>1365</v>
      </c>
      <c r="E41" s="785" t="s">
        <v>1882</v>
      </c>
      <c r="F41" s="39">
        <v>1</v>
      </c>
      <c r="G41" s="39">
        <v>1</v>
      </c>
      <c r="H41" s="787">
        <v>0.5</v>
      </c>
      <c r="I41" s="787">
        <v>0</v>
      </c>
      <c r="J41" s="787">
        <v>0</v>
      </c>
      <c r="K41" s="787">
        <v>0</v>
      </c>
      <c r="L41" s="787">
        <v>0</v>
      </c>
      <c r="M41" s="787">
        <v>0</v>
      </c>
      <c r="N41" s="787">
        <v>0</v>
      </c>
      <c r="O41" s="787">
        <v>0</v>
      </c>
      <c r="P41" s="787">
        <v>0</v>
      </c>
      <c r="Q41" s="39">
        <v>1</v>
      </c>
      <c r="R41" s="39">
        <v>1</v>
      </c>
      <c r="S41" s="39">
        <v>1</v>
      </c>
      <c r="T41" s="39"/>
      <c r="U41" s="39" t="s">
        <v>1276</v>
      </c>
      <c r="V41" s="39">
        <v>0</v>
      </c>
      <c r="W41" s="39">
        <v>0</v>
      </c>
      <c r="X41" s="39">
        <v>2</v>
      </c>
      <c r="Y41" s="39" t="s">
        <v>1378</v>
      </c>
      <c r="Z41" s="39"/>
      <c r="AA41" s="39"/>
      <c r="AB41" s="39"/>
      <c r="AC41" s="39"/>
      <c r="AD41" s="39" t="s">
        <v>1367</v>
      </c>
      <c r="AE41" s="39">
        <v>100</v>
      </c>
      <c r="AF41" s="39" t="s">
        <v>281</v>
      </c>
    </row>
    <row r="42" spans="1:32">
      <c r="A42" s="39" t="s">
        <v>1381</v>
      </c>
      <c r="B42" s="39" t="s">
        <v>1221</v>
      </c>
      <c r="C42" s="39" t="s">
        <v>1230</v>
      </c>
      <c r="D42" s="39" t="s">
        <v>1366</v>
      </c>
      <c r="E42" s="785" t="s">
        <v>1882</v>
      </c>
      <c r="F42" s="39">
        <v>3</v>
      </c>
      <c r="G42" s="39">
        <v>3</v>
      </c>
      <c r="H42" s="787">
        <v>0</v>
      </c>
      <c r="I42" s="787">
        <v>0</v>
      </c>
      <c r="J42" s="787">
        <v>0</v>
      </c>
      <c r="K42" s="787">
        <v>0</v>
      </c>
      <c r="L42" s="787">
        <v>0</v>
      </c>
      <c r="M42" s="787">
        <v>0</v>
      </c>
      <c r="N42" s="787">
        <v>0</v>
      </c>
      <c r="O42" s="787">
        <v>0</v>
      </c>
      <c r="P42" s="787">
        <v>0</v>
      </c>
      <c r="Q42" s="39">
        <v>1</v>
      </c>
      <c r="R42" s="39">
        <v>1</v>
      </c>
      <c r="S42" s="39">
        <v>1</v>
      </c>
      <c r="T42" s="39" t="s">
        <v>1393</v>
      </c>
      <c r="U42" s="39" t="s">
        <v>1394</v>
      </c>
      <c r="V42" s="39">
        <v>0</v>
      </c>
      <c r="W42" s="39">
        <v>0</v>
      </c>
      <c r="X42" s="39">
        <v>2</v>
      </c>
      <c r="Y42" s="39" t="s">
        <v>1397</v>
      </c>
      <c r="Z42" s="39" t="s">
        <v>1399</v>
      </c>
      <c r="AA42" s="39"/>
      <c r="AB42" s="39"/>
      <c r="AC42" s="39"/>
      <c r="AD42" s="39" t="s">
        <v>1395</v>
      </c>
      <c r="AE42" s="39">
        <v>100</v>
      </c>
      <c r="AF42" s="39" t="s">
        <v>281</v>
      </c>
    </row>
    <row r="43" spans="1:32">
      <c r="A43" s="39" t="s">
        <v>1382</v>
      </c>
      <c r="B43" s="39" t="s">
        <v>1225</v>
      </c>
      <c r="C43" s="39" t="s">
        <v>1230</v>
      </c>
      <c r="D43" s="39" t="s">
        <v>1366</v>
      </c>
      <c r="E43" s="785" t="s">
        <v>1882</v>
      </c>
      <c r="F43" s="39">
        <v>2</v>
      </c>
      <c r="G43" s="39">
        <v>2</v>
      </c>
      <c r="H43" s="787">
        <v>0</v>
      </c>
      <c r="I43" s="787">
        <v>0</v>
      </c>
      <c r="J43" s="787">
        <v>0</v>
      </c>
      <c r="K43" s="787">
        <v>0</v>
      </c>
      <c r="L43" s="787">
        <v>0</v>
      </c>
      <c r="M43" s="787">
        <v>0</v>
      </c>
      <c r="N43" s="787">
        <v>0</v>
      </c>
      <c r="O43" s="787">
        <v>0</v>
      </c>
      <c r="P43" s="787">
        <v>0.5</v>
      </c>
      <c r="Q43" s="39">
        <v>1</v>
      </c>
      <c r="R43" s="39">
        <v>1</v>
      </c>
      <c r="S43" s="39">
        <v>1</v>
      </c>
      <c r="T43" s="39" t="s">
        <v>1393</v>
      </c>
      <c r="U43" s="39" t="s">
        <v>1276</v>
      </c>
      <c r="V43" s="39">
        <v>0</v>
      </c>
      <c r="W43" s="39">
        <v>0</v>
      </c>
      <c r="X43" s="39">
        <v>2</v>
      </c>
      <c r="Y43" s="39" t="s">
        <v>1397</v>
      </c>
      <c r="Z43" s="39" t="s">
        <v>1399</v>
      </c>
      <c r="AA43" s="39"/>
      <c r="AB43" s="39"/>
      <c r="AC43" s="39"/>
      <c r="AD43" s="39" t="s">
        <v>1395</v>
      </c>
      <c r="AE43" s="39">
        <v>100</v>
      </c>
      <c r="AF43" s="39" t="s">
        <v>281</v>
      </c>
    </row>
    <row r="44" spans="1:32">
      <c r="A44" s="39" t="s">
        <v>1383</v>
      </c>
      <c r="B44" s="39" t="s">
        <v>1227</v>
      </c>
      <c r="C44" s="39" t="s">
        <v>1230</v>
      </c>
      <c r="D44" s="39" t="s">
        <v>1366</v>
      </c>
      <c r="E44" s="785" t="s">
        <v>1882</v>
      </c>
      <c r="F44" s="39">
        <v>2</v>
      </c>
      <c r="G44" s="39">
        <v>2</v>
      </c>
      <c r="H44" s="787">
        <v>0</v>
      </c>
      <c r="I44" s="787">
        <v>0</v>
      </c>
      <c r="J44" s="787">
        <v>0</v>
      </c>
      <c r="K44" s="787">
        <v>0.5</v>
      </c>
      <c r="L44" s="787">
        <v>0</v>
      </c>
      <c r="M44" s="787">
        <v>0</v>
      </c>
      <c r="N44" s="787">
        <v>0</v>
      </c>
      <c r="O44" s="787">
        <v>0</v>
      </c>
      <c r="P44" s="787">
        <v>0</v>
      </c>
      <c r="Q44" s="39">
        <v>1</v>
      </c>
      <c r="R44" s="39">
        <v>1</v>
      </c>
      <c r="S44" s="39">
        <v>1</v>
      </c>
      <c r="T44" s="39" t="s">
        <v>1393</v>
      </c>
      <c r="U44" s="39" t="s">
        <v>1276</v>
      </c>
      <c r="V44" s="39">
        <v>0</v>
      </c>
      <c r="W44" s="39">
        <v>0</v>
      </c>
      <c r="X44" s="39">
        <v>2</v>
      </c>
      <c r="Y44" s="39" t="s">
        <v>1397</v>
      </c>
      <c r="Z44" s="39" t="s">
        <v>1399</v>
      </c>
      <c r="AA44" s="39"/>
      <c r="AB44" s="39"/>
      <c r="AC44" s="39"/>
      <c r="AD44" s="39" t="s">
        <v>1395</v>
      </c>
      <c r="AE44" s="39">
        <v>100</v>
      </c>
      <c r="AF44" s="39" t="s">
        <v>281</v>
      </c>
    </row>
    <row r="45" spans="1:32">
      <c r="A45" s="39" t="s">
        <v>1384</v>
      </c>
      <c r="B45" s="39" t="s">
        <v>1229</v>
      </c>
      <c r="C45" s="39" t="s">
        <v>1230</v>
      </c>
      <c r="D45" s="39" t="s">
        <v>1366</v>
      </c>
      <c r="E45" s="785" t="s">
        <v>1882</v>
      </c>
      <c r="F45" s="39">
        <v>2</v>
      </c>
      <c r="G45" s="39">
        <v>2</v>
      </c>
      <c r="H45" s="787">
        <v>0</v>
      </c>
      <c r="I45" s="787">
        <v>0</v>
      </c>
      <c r="J45" s="787">
        <v>0</v>
      </c>
      <c r="K45" s="787">
        <v>0</v>
      </c>
      <c r="L45" s="787">
        <v>0</v>
      </c>
      <c r="M45" s="787">
        <v>0</v>
      </c>
      <c r="N45" s="787">
        <v>0.5</v>
      </c>
      <c r="O45" s="787">
        <v>0</v>
      </c>
      <c r="P45" s="787">
        <v>0</v>
      </c>
      <c r="Q45" s="39">
        <v>1</v>
      </c>
      <c r="R45" s="39">
        <v>1</v>
      </c>
      <c r="S45" s="39">
        <v>1</v>
      </c>
      <c r="T45" s="39" t="s">
        <v>1393</v>
      </c>
      <c r="U45" s="39" t="s">
        <v>1276</v>
      </c>
      <c r="V45" s="39">
        <v>0</v>
      </c>
      <c r="W45" s="39">
        <v>0</v>
      </c>
      <c r="X45" s="39">
        <v>2</v>
      </c>
      <c r="Y45" s="39" t="s">
        <v>1397</v>
      </c>
      <c r="Z45" s="39" t="s">
        <v>1399</v>
      </c>
      <c r="AA45" s="39"/>
      <c r="AB45" s="39"/>
      <c r="AC45" s="39"/>
      <c r="AD45" s="39" t="s">
        <v>1395</v>
      </c>
      <c r="AE45" s="39">
        <v>100</v>
      </c>
      <c r="AF45" s="39" t="s">
        <v>281</v>
      </c>
    </row>
    <row r="46" spans="1:32">
      <c r="A46" s="39" t="s">
        <v>1385</v>
      </c>
      <c r="B46" s="39" t="s">
        <v>1231</v>
      </c>
      <c r="C46" s="39" t="s">
        <v>1230</v>
      </c>
      <c r="D46" s="39" t="s">
        <v>1366</v>
      </c>
      <c r="E46" s="785" t="s">
        <v>1882</v>
      </c>
      <c r="F46" s="39">
        <v>2</v>
      </c>
      <c r="G46" s="39">
        <v>2</v>
      </c>
      <c r="H46" s="787">
        <v>0</v>
      </c>
      <c r="I46" s="787">
        <v>0</v>
      </c>
      <c r="J46" s="787">
        <v>0</v>
      </c>
      <c r="K46" s="787">
        <v>0</v>
      </c>
      <c r="L46" s="787">
        <v>0.5</v>
      </c>
      <c r="M46" s="787">
        <v>0</v>
      </c>
      <c r="N46" s="787">
        <v>0</v>
      </c>
      <c r="O46" s="787">
        <v>0</v>
      </c>
      <c r="P46" s="787">
        <v>0</v>
      </c>
      <c r="Q46" s="39">
        <v>1</v>
      </c>
      <c r="R46" s="39">
        <v>1</v>
      </c>
      <c r="S46" s="39">
        <v>1</v>
      </c>
      <c r="T46" s="39" t="s">
        <v>1393</v>
      </c>
      <c r="U46" s="39" t="s">
        <v>1276</v>
      </c>
      <c r="V46" s="39">
        <v>0</v>
      </c>
      <c r="W46" s="39">
        <v>0</v>
      </c>
      <c r="X46" s="39">
        <v>2</v>
      </c>
      <c r="Y46" s="39" t="s">
        <v>1397</v>
      </c>
      <c r="Z46" s="39" t="s">
        <v>1399</v>
      </c>
      <c r="AA46" s="39"/>
      <c r="AB46" s="39"/>
      <c r="AC46" s="39"/>
      <c r="AD46" s="39" t="s">
        <v>1395</v>
      </c>
      <c r="AE46" s="39">
        <v>100</v>
      </c>
      <c r="AF46" s="39" t="s">
        <v>281</v>
      </c>
    </row>
    <row r="47" spans="1:32">
      <c r="A47" s="39" t="s">
        <v>1386</v>
      </c>
      <c r="B47" s="39" t="s">
        <v>1233</v>
      </c>
      <c r="C47" s="39" t="s">
        <v>1230</v>
      </c>
      <c r="D47" s="39" t="s">
        <v>1366</v>
      </c>
      <c r="E47" s="785" t="s">
        <v>1882</v>
      </c>
      <c r="F47" s="39">
        <v>2</v>
      </c>
      <c r="G47" s="39">
        <v>2</v>
      </c>
      <c r="H47" s="787">
        <v>0</v>
      </c>
      <c r="I47" s="787">
        <v>0</v>
      </c>
      <c r="J47" s="787">
        <v>0</v>
      </c>
      <c r="K47" s="787">
        <v>0</v>
      </c>
      <c r="L47" s="787">
        <v>0</v>
      </c>
      <c r="M47" s="787">
        <v>0</v>
      </c>
      <c r="N47" s="787">
        <v>0</v>
      </c>
      <c r="O47" s="787">
        <v>0.5</v>
      </c>
      <c r="P47" s="787">
        <v>0</v>
      </c>
      <c r="Q47" s="39">
        <v>1</v>
      </c>
      <c r="R47" s="39">
        <v>1</v>
      </c>
      <c r="S47" s="39">
        <v>1</v>
      </c>
      <c r="T47" s="39" t="s">
        <v>1393</v>
      </c>
      <c r="U47" s="39" t="s">
        <v>1276</v>
      </c>
      <c r="V47" s="39">
        <v>0</v>
      </c>
      <c r="W47" s="39">
        <v>0</v>
      </c>
      <c r="X47" s="39">
        <v>2</v>
      </c>
      <c r="Y47" s="39" t="s">
        <v>1397</v>
      </c>
      <c r="Z47" s="39" t="s">
        <v>1399</v>
      </c>
      <c r="AA47" s="39"/>
      <c r="AB47" s="39"/>
      <c r="AC47" s="39"/>
      <c r="AD47" s="39" t="s">
        <v>1395</v>
      </c>
      <c r="AE47" s="39">
        <v>100</v>
      </c>
      <c r="AF47" s="39" t="s">
        <v>281</v>
      </c>
    </row>
    <row r="48" spans="1:32">
      <c r="A48" s="39" t="s">
        <v>1387</v>
      </c>
      <c r="B48" s="39" t="s">
        <v>1235</v>
      </c>
      <c r="C48" s="39" t="s">
        <v>1230</v>
      </c>
      <c r="D48" s="39" t="s">
        <v>1366</v>
      </c>
      <c r="E48" s="785" t="s">
        <v>1882</v>
      </c>
      <c r="F48" s="39">
        <v>2</v>
      </c>
      <c r="G48" s="39">
        <v>2</v>
      </c>
      <c r="H48" s="787">
        <v>0</v>
      </c>
      <c r="I48" s="787">
        <v>0</v>
      </c>
      <c r="J48" s="787">
        <v>0.5</v>
      </c>
      <c r="K48" s="787">
        <v>0</v>
      </c>
      <c r="L48" s="787">
        <v>0</v>
      </c>
      <c r="M48" s="787">
        <v>0</v>
      </c>
      <c r="N48" s="787">
        <v>0</v>
      </c>
      <c r="O48" s="787">
        <v>0</v>
      </c>
      <c r="P48" s="787">
        <v>0</v>
      </c>
      <c r="Q48" s="39">
        <v>1</v>
      </c>
      <c r="R48" s="39">
        <v>1</v>
      </c>
      <c r="S48" s="39">
        <v>1</v>
      </c>
      <c r="T48" s="39" t="s">
        <v>1393</v>
      </c>
      <c r="U48" s="39" t="s">
        <v>1276</v>
      </c>
      <c r="V48" s="39">
        <v>0</v>
      </c>
      <c r="W48" s="39">
        <v>0</v>
      </c>
      <c r="X48" s="39">
        <v>2</v>
      </c>
      <c r="Y48" s="39" t="s">
        <v>1397</v>
      </c>
      <c r="Z48" s="39" t="s">
        <v>1399</v>
      </c>
      <c r="AA48" s="39"/>
      <c r="AB48" s="39"/>
      <c r="AC48" s="39"/>
      <c r="AD48" s="39" t="s">
        <v>1395</v>
      </c>
      <c r="AE48" s="39">
        <v>100</v>
      </c>
      <c r="AF48" s="39" t="s">
        <v>281</v>
      </c>
    </row>
    <row r="49" spans="1:32">
      <c r="A49" s="39" t="s">
        <v>1388</v>
      </c>
      <c r="B49" s="39" t="s">
        <v>1237</v>
      </c>
      <c r="C49" s="39" t="s">
        <v>1230</v>
      </c>
      <c r="D49" s="39" t="s">
        <v>1366</v>
      </c>
      <c r="E49" s="785" t="s">
        <v>1882</v>
      </c>
      <c r="F49" s="39">
        <v>2</v>
      </c>
      <c r="G49" s="39">
        <v>2</v>
      </c>
      <c r="H49" s="787">
        <v>0</v>
      </c>
      <c r="I49" s="787">
        <v>0</v>
      </c>
      <c r="J49" s="787">
        <v>0</v>
      </c>
      <c r="K49" s="787">
        <v>0</v>
      </c>
      <c r="L49" s="787">
        <v>0</v>
      </c>
      <c r="M49" s="787">
        <v>0.5</v>
      </c>
      <c r="N49" s="787">
        <v>0</v>
      </c>
      <c r="O49" s="787">
        <v>0</v>
      </c>
      <c r="P49" s="787">
        <v>0</v>
      </c>
      <c r="Q49" s="39">
        <v>1</v>
      </c>
      <c r="R49" s="39">
        <v>1</v>
      </c>
      <c r="S49" s="39">
        <v>1</v>
      </c>
      <c r="T49" s="39" t="s">
        <v>1393</v>
      </c>
      <c r="U49" s="39" t="s">
        <v>1276</v>
      </c>
      <c r="V49" s="39">
        <v>0</v>
      </c>
      <c r="W49" s="39">
        <v>0</v>
      </c>
      <c r="X49" s="39">
        <v>2</v>
      </c>
      <c r="Y49" s="39" t="s">
        <v>1397</v>
      </c>
      <c r="Z49" s="39" t="s">
        <v>1399</v>
      </c>
      <c r="AA49" s="39"/>
      <c r="AB49" s="39"/>
      <c r="AC49" s="39"/>
      <c r="AD49" s="39" t="s">
        <v>1395</v>
      </c>
      <c r="AE49" s="39">
        <v>100</v>
      </c>
      <c r="AF49" s="39" t="s">
        <v>281</v>
      </c>
    </row>
    <row r="50" spans="1:32">
      <c r="A50" s="39" t="s">
        <v>1389</v>
      </c>
      <c r="B50" s="39" t="s">
        <v>1239</v>
      </c>
      <c r="C50" s="39" t="s">
        <v>1230</v>
      </c>
      <c r="D50" s="39" t="s">
        <v>1366</v>
      </c>
      <c r="E50" s="785" t="s">
        <v>1882</v>
      </c>
      <c r="F50" s="39">
        <v>2</v>
      </c>
      <c r="G50" s="39">
        <v>2</v>
      </c>
      <c r="H50" s="787">
        <v>0</v>
      </c>
      <c r="I50" s="787">
        <v>0.5</v>
      </c>
      <c r="J50" s="787">
        <v>0</v>
      </c>
      <c r="K50" s="787">
        <v>0</v>
      </c>
      <c r="L50" s="787">
        <v>0</v>
      </c>
      <c r="M50" s="787">
        <v>0</v>
      </c>
      <c r="N50" s="787">
        <v>0</v>
      </c>
      <c r="O50" s="787">
        <v>0</v>
      </c>
      <c r="P50" s="787">
        <v>0</v>
      </c>
      <c r="Q50" s="39">
        <v>1</v>
      </c>
      <c r="R50" s="39">
        <v>1</v>
      </c>
      <c r="S50" s="39">
        <v>1</v>
      </c>
      <c r="T50" s="39" t="s">
        <v>1393</v>
      </c>
      <c r="U50" s="39" t="s">
        <v>1276</v>
      </c>
      <c r="V50" s="39">
        <v>0</v>
      </c>
      <c r="W50" s="39">
        <v>0</v>
      </c>
      <c r="X50" s="39">
        <v>2</v>
      </c>
      <c r="Y50" s="39" t="s">
        <v>1397</v>
      </c>
      <c r="Z50" s="39" t="s">
        <v>1399</v>
      </c>
      <c r="AA50" s="39"/>
      <c r="AB50" s="39"/>
      <c r="AC50" s="39"/>
      <c r="AD50" s="39" t="s">
        <v>1395</v>
      </c>
      <c r="AE50" s="39">
        <v>100</v>
      </c>
      <c r="AF50" s="39" t="s">
        <v>281</v>
      </c>
    </row>
    <row r="51" spans="1:32">
      <c r="A51" s="39" t="s">
        <v>1390</v>
      </c>
      <c r="B51" s="39" t="s">
        <v>1241</v>
      </c>
      <c r="C51" s="39" t="s">
        <v>1230</v>
      </c>
      <c r="D51" s="39" t="s">
        <v>1366</v>
      </c>
      <c r="E51" s="785" t="s">
        <v>1882</v>
      </c>
      <c r="F51" s="39">
        <v>2</v>
      </c>
      <c r="G51" s="39">
        <v>2</v>
      </c>
      <c r="H51" s="787">
        <v>0.5</v>
      </c>
      <c r="I51" s="787">
        <v>0</v>
      </c>
      <c r="J51" s="787">
        <v>0</v>
      </c>
      <c r="K51" s="787">
        <v>0</v>
      </c>
      <c r="L51" s="787">
        <v>0</v>
      </c>
      <c r="M51" s="787">
        <v>0</v>
      </c>
      <c r="N51" s="787">
        <v>0</v>
      </c>
      <c r="O51" s="787">
        <v>0</v>
      </c>
      <c r="P51" s="787">
        <v>0</v>
      </c>
      <c r="Q51" s="39">
        <v>1</v>
      </c>
      <c r="R51" s="39">
        <v>1</v>
      </c>
      <c r="S51" s="39">
        <v>1</v>
      </c>
      <c r="T51" s="39" t="s">
        <v>1393</v>
      </c>
      <c r="U51" s="39" t="s">
        <v>1276</v>
      </c>
      <c r="V51" s="39">
        <v>0</v>
      </c>
      <c r="W51" s="39">
        <v>0</v>
      </c>
      <c r="X51" s="39">
        <v>2</v>
      </c>
      <c r="Y51" s="39" t="s">
        <v>1397</v>
      </c>
      <c r="Z51" s="39" t="s">
        <v>1399</v>
      </c>
      <c r="AA51" s="39"/>
      <c r="AB51" s="39"/>
      <c r="AC51" s="39"/>
      <c r="AD51" s="39" t="s">
        <v>1395</v>
      </c>
      <c r="AE51" s="39">
        <v>100</v>
      </c>
      <c r="AF51" s="39" t="s">
        <v>281</v>
      </c>
    </row>
    <row r="52" spans="1:32">
      <c r="A52" s="39" t="s">
        <v>1400</v>
      </c>
      <c r="B52" s="39" t="s">
        <v>1221</v>
      </c>
      <c r="C52" s="39" t="s">
        <v>1222</v>
      </c>
      <c r="D52" s="39" t="s">
        <v>1411</v>
      </c>
      <c r="E52" s="39" t="s">
        <v>1265</v>
      </c>
      <c r="F52" s="39">
        <v>1</v>
      </c>
      <c r="G52" s="39">
        <v>2</v>
      </c>
      <c r="H52" s="787">
        <v>0.1</v>
      </c>
      <c r="I52" s="787">
        <v>0.1</v>
      </c>
      <c r="J52" s="787">
        <v>0.1</v>
      </c>
      <c r="K52" s="787">
        <v>0.1</v>
      </c>
      <c r="L52" s="787">
        <v>0.1</v>
      </c>
      <c r="M52" s="787">
        <v>0.1</v>
      </c>
      <c r="N52" s="787">
        <v>0.1</v>
      </c>
      <c r="O52" s="787">
        <v>0.1</v>
      </c>
      <c r="P52" s="787">
        <v>0.1</v>
      </c>
      <c r="Q52" s="39">
        <v>1</v>
      </c>
      <c r="R52" s="39">
        <v>1</v>
      </c>
      <c r="S52" s="39">
        <v>1</v>
      </c>
      <c r="T52" s="39" t="s">
        <v>1415</v>
      </c>
      <c r="U52" s="39" t="s">
        <v>1277</v>
      </c>
      <c r="V52" s="39">
        <v>0</v>
      </c>
      <c r="W52" s="39">
        <v>0</v>
      </c>
      <c r="X52" s="39">
        <v>2</v>
      </c>
      <c r="Y52" s="39"/>
      <c r="Z52" s="39" t="s">
        <v>6506</v>
      </c>
      <c r="AA52" s="39"/>
      <c r="AB52" s="39"/>
      <c r="AC52" s="39"/>
      <c r="AD52" s="39" t="s">
        <v>1421</v>
      </c>
      <c r="AE52" s="39">
        <v>100</v>
      </c>
      <c r="AF52" s="39" t="s">
        <v>281</v>
      </c>
    </row>
    <row r="53" spans="1:32">
      <c r="A53" s="39" t="s">
        <v>1401</v>
      </c>
      <c r="B53" s="39" t="s">
        <v>1225</v>
      </c>
      <c r="C53" s="39" t="s">
        <v>1222</v>
      </c>
      <c r="D53" s="39" t="s">
        <v>1412</v>
      </c>
      <c r="E53" s="39" t="s">
        <v>1336</v>
      </c>
      <c r="F53" s="39">
        <v>1</v>
      </c>
      <c r="G53" s="39">
        <v>2</v>
      </c>
      <c r="H53" s="787">
        <v>0</v>
      </c>
      <c r="I53" s="787">
        <v>0</v>
      </c>
      <c r="J53" s="787">
        <v>0.1</v>
      </c>
      <c r="K53" s="787">
        <v>0</v>
      </c>
      <c r="L53" s="787">
        <v>0</v>
      </c>
      <c r="M53" s="787">
        <v>0</v>
      </c>
      <c r="N53" s="787">
        <v>0</v>
      </c>
      <c r="O53" s="787">
        <v>0</v>
      </c>
      <c r="P53" s="787">
        <v>0.5</v>
      </c>
      <c r="Q53" s="39">
        <v>1</v>
      </c>
      <c r="R53" s="39">
        <v>1</v>
      </c>
      <c r="S53" s="39">
        <v>1</v>
      </c>
      <c r="T53" s="39" t="s">
        <v>1416</v>
      </c>
      <c r="U53" s="39" t="s">
        <v>1276</v>
      </c>
      <c r="V53" s="39">
        <v>0</v>
      </c>
      <c r="W53" s="39">
        <v>0</v>
      </c>
      <c r="X53" s="39">
        <v>2</v>
      </c>
      <c r="Y53" s="39" t="s">
        <v>1422</v>
      </c>
      <c r="Z53" s="39"/>
      <c r="AA53" s="39"/>
      <c r="AB53" s="39"/>
      <c r="AC53" s="39"/>
      <c r="AD53" s="39" t="s">
        <v>1421</v>
      </c>
      <c r="AE53" s="39">
        <v>100</v>
      </c>
      <c r="AF53" s="39" t="s">
        <v>281</v>
      </c>
    </row>
    <row r="54" spans="1:32">
      <c r="A54" s="39" t="s">
        <v>1402</v>
      </c>
      <c r="B54" s="39" t="s">
        <v>1227</v>
      </c>
      <c r="C54" s="39" t="s">
        <v>1222</v>
      </c>
      <c r="D54" s="39" t="s">
        <v>1411</v>
      </c>
      <c r="E54" s="39" t="s">
        <v>1265</v>
      </c>
      <c r="F54" s="39">
        <v>1</v>
      </c>
      <c r="G54" s="39">
        <v>2</v>
      </c>
      <c r="H54" s="787">
        <v>0</v>
      </c>
      <c r="I54" s="787">
        <v>0.2</v>
      </c>
      <c r="J54" s="787">
        <v>0</v>
      </c>
      <c r="K54" s="787">
        <v>0.5</v>
      </c>
      <c r="L54" s="787">
        <v>0</v>
      </c>
      <c r="M54" s="787">
        <v>0</v>
      </c>
      <c r="N54" s="787">
        <v>0</v>
      </c>
      <c r="O54" s="787">
        <v>0</v>
      </c>
      <c r="P54" s="787">
        <v>0</v>
      </c>
      <c r="Q54" s="39">
        <v>1</v>
      </c>
      <c r="R54" s="39">
        <v>1</v>
      </c>
      <c r="S54" s="39">
        <v>1</v>
      </c>
      <c r="T54" s="39" t="s">
        <v>1415</v>
      </c>
      <c r="U54" s="39" t="s">
        <v>1276</v>
      </c>
      <c r="V54" s="39">
        <v>0</v>
      </c>
      <c r="W54" s="39">
        <v>0</v>
      </c>
      <c r="X54" s="39">
        <v>2</v>
      </c>
      <c r="Y54" s="39"/>
      <c r="Z54" s="39" t="s">
        <v>6507</v>
      </c>
      <c r="AA54" s="39"/>
      <c r="AB54" s="39"/>
      <c r="AC54" s="39"/>
      <c r="AD54" s="39" t="s">
        <v>1421</v>
      </c>
      <c r="AE54" s="39">
        <v>100</v>
      </c>
      <c r="AF54" s="39" t="s">
        <v>281</v>
      </c>
    </row>
    <row r="55" spans="1:32">
      <c r="A55" s="39" t="s">
        <v>1403</v>
      </c>
      <c r="B55" s="39" t="s">
        <v>1229</v>
      </c>
      <c r="C55" s="39" t="s">
        <v>1222</v>
      </c>
      <c r="D55" s="39" t="s">
        <v>1265</v>
      </c>
      <c r="E55" s="39" t="s">
        <v>1265</v>
      </c>
      <c r="F55" s="39">
        <v>1</v>
      </c>
      <c r="G55" s="39">
        <v>1</v>
      </c>
      <c r="H55" s="787">
        <v>0</v>
      </c>
      <c r="I55" s="787">
        <v>0</v>
      </c>
      <c r="J55" s="787">
        <v>0.2</v>
      </c>
      <c r="K55" s="787">
        <v>0</v>
      </c>
      <c r="L55" s="787">
        <v>0</v>
      </c>
      <c r="M55" s="787">
        <v>0</v>
      </c>
      <c r="N55" s="787">
        <v>0.5</v>
      </c>
      <c r="O55" s="787">
        <v>0</v>
      </c>
      <c r="P55" s="787">
        <v>0</v>
      </c>
      <c r="Q55" s="39">
        <v>1</v>
      </c>
      <c r="R55" s="39">
        <v>1</v>
      </c>
      <c r="S55" s="39">
        <v>1</v>
      </c>
      <c r="T55" s="39" t="s">
        <v>1417</v>
      </c>
      <c r="U55" s="39" t="s">
        <v>1276</v>
      </c>
      <c r="V55" s="39">
        <v>0</v>
      </c>
      <c r="W55" s="39">
        <v>0</v>
      </c>
      <c r="X55" s="39">
        <v>2</v>
      </c>
      <c r="Y55" s="39"/>
      <c r="Z55" s="39" t="s">
        <v>1429</v>
      </c>
      <c r="AA55" s="39"/>
      <c r="AB55" s="39"/>
      <c r="AC55" s="39"/>
      <c r="AD55" s="39" t="s">
        <v>1421</v>
      </c>
      <c r="AE55" s="39">
        <v>100</v>
      </c>
      <c r="AF55" s="39" t="s">
        <v>281</v>
      </c>
    </row>
    <row r="56" spans="1:32">
      <c r="A56" s="39" t="s">
        <v>1404</v>
      </c>
      <c r="B56" s="39" t="s">
        <v>1231</v>
      </c>
      <c r="C56" s="39" t="s">
        <v>1222</v>
      </c>
      <c r="D56" s="39" t="s">
        <v>1336</v>
      </c>
      <c r="E56" s="39" t="s">
        <v>1265</v>
      </c>
      <c r="F56" s="39">
        <v>1</v>
      </c>
      <c r="G56" s="39">
        <v>2</v>
      </c>
      <c r="H56" s="787">
        <v>0</v>
      </c>
      <c r="I56" s="787">
        <v>0</v>
      </c>
      <c r="J56" s="787">
        <v>0</v>
      </c>
      <c r="K56" s="787">
        <v>0</v>
      </c>
      <c r="L56" s="787">
        <v>0.5</v>
      </c>
      <c r="M56" s="787">
        <v>0</v>
      </c>
      <c r="N56" s="787">
        <v>0</v>
      </c>
      <c r="O56" s="787">
        <v>0</v>
      </c>
      <c r="P56" s="787">
        <v>0</v>
      </c>
      <c r="Q56" s="39">
        <v>1</v>
      </c>
      <c r="R56" s="39">
        <v>1</v>
      </c>
      <c r="S56" s="39">
        <v>1</v>
      </c>
      <c r="T56" s="39" t="s">
        <v>1418</v>
      </c>
      <c r="U56" s="39" t="s">
        <v>1276</v>
      </c>
      <c r="V56" s="39">
        <v>0</v>
      </c>
      <c r="W56" s="39">
        <v>0</v>
      </c>
      <c r="X56" s="39">
        <v>2</v>
      </c>
      <c r="Y56" s="39" t="s">
        <v>1423</v>
      </c>
      <c r="Z56" s="39"/>
      <c r="AA56" s="39"/>
      <c r="AB56" s="39"/>
      <c r="AC56" s="39"/>
      <c r="AD56" s="39" t="s">
        <v>1421</v>
      </c>
      <c r="AE56" s="39">
        <v>100</v>
      </c>
      <c r="AF56" s="39" t="s">
        <v>281</v>
      </c>
    </row>
    <row r="57" spans="1:32">
      <c r="A57" s="39" t="s">
        <v>1405</v>
      </c>
      <c r="B57" s="39" t="s">
        <v>1233</v>
      </c>
      <c r="C57" s="39" t="s">
        <v>1222</v>
      </c>
      <c r="D57" s="39" t="s">
        <v>1413</v>
      </c>
      <c r="E57" s="39" t="s">
        <v>1336</v>
      </c>
      <c r="F57" s="39">
        <v>1</v>
      </c>
      <c r="G57" s="39">
        <v>2</v>
      </c>
      <c r="H57" s="787">
        <v>0</v>
      </c>
      <c r="I57" s="787">
        <v>0</v>
      </c>
      <c r="J57" s="787">
        <v>0</v>
      </c>
      <c r="K57" s="787">
        <v>0</v>
      </c>
      <c r="L57" s="787">
        <v>0</v>
      </c>
      <c r="M57" s="787">
        <v>0</v>
      </c>
      <c r="N57" s="787">
        <v>0</v>
      </c>
      <c r="O57" s="787">
        <v>0.5</v>
      </c>
      <c r="P57" s="787">
        <v>0</v>
      </c>
      <c r="Q57" s="39">
        <v>1</v>
      </c>
      <c r="R57" s="39">
        <v>1</v>
      </c>
      <c r="S57" s="39">
        <v>1</v>
      </c>
      <c r="T57" s="39"/>
      <c r="U57" s="39" t="s">
        <v>1276</v>
      </c>
      <c r="V57" s="39">
        <v>0</v>
      </c>
      <c r="W57" s="39">
        <v>0</v>
      </c>
      <c r="X57" s="39">
        <v>2</v>
      </c>
      <c r="Y57" s="39" t="s">
        <v>1424</v>
      </c>
      <c r="Z57" s="39"/>
      <c r="AA57" s="39"/>
      <c r="AB57" s="39"/>
      <c r="AC57" s="39"/>
      <c r="AD57" s="39" t="s">
        <v>1421</v>
      </c>
      <c r="AE57" s="39">
        <v>100</v>
      </c>
      <c r="AF57" s="39" t="s">
        <v>281</v>
      </c>
    </row>
    <row r="58" spans="1:32">
      <c r="A58" s="39" t="s">
        <v>1406</v>
      </c>
      <c r="B58" s="39" t="s">
        <v>1235</v>
      </c>
      <c r="C58" s="39" t="s">
        <v>1222</v>
      </c>
      <c r="D58" s="39" t="s">
        <v>1411</v>
      </c>
      <c r="E58" s="39" t="s">
        <v>1265</v>
      </c>
      <c r="F58" s="39">
        <v>1</v>
      </c>
      <c r="G58" s="39">
        <v>2</v>
      </c>
      <c r="H58" s="787">
        <v>0</v>
      </c>
      <c r="I58" s="787">
        <v>0.2</v>
      </c>
      <c r="J58" s="787">
        <v>0.5</v>
      </c>
      <c r="K58" s="787">
        <v>0</v>
      </c>
      <c r="L58" s="787">
        <v>0</v>
      </c>
      <c r="M58" s="787">
        <v>0</v>
      </c>
      <c r="N58" s="787">
        <v>0</v>
      </c>
      <c r="O58" s="787">
        <v>0</v>
      </c>
      <c r="P58" s="787">
        <v>0</v>
      </c>
      <c r="Q58" s="39">
        <v>1</v>
      </c>
      <c r="R58" s="39">
        <v>1</v>
      </c>
      <c r="S58" s="39">
        <v>1</v>
      </c>
      <c r="T58" s="39" t="s">
        <v>1415</v>
      </c>
      <c r="U58" s="39" t="s">
        <v>1276</v>
      </c>
      <c r="V58" s="39">
        <v>0</v>
      </c>
      <c r="W58" s="39">
        <v>0</v>
      </c>
      <c r="X58" s="39">
        <v>2</v>
      </c>
      <c r="Y58" s="39" t="s">
        <v>1425</v>
      </c>
      <c r="Z58" s="39" t="s">
        <v>1430</v>
      </c>
      <c r="AA58" s="39"/>
      <c r="AB58" s="39"/>
      <c r="AC58" s="39"/>
      <c r="AD58" s="39" t="s">
        <v>1421</v>
      </c>
      <c r="AE58" s="39">
        <v>100</v>
      </c>
      <c r="AF58" s="39" t="s">
        <v>281</v>
      </c>
    </row>
    <row r="59" spans="1:32">
      <c r="A59" s="39" t="s">
        <v>1407</v>
      </c>
      <c r="B59" s="39" t="s">
        <v>1237</v>
      </c>
      <c r="C59" s="39" t="s">
        <v>1222</v>
      </c>
      <c r="D59" s="39" t="s">
        <v>1265</v>
      </c>
      <c r="E59" s="39" t="s">
        <v>1265</v>
      </c>
      <c r="F59" s="39">
        <v>2</v>
      </c>
      <c r="G59" s="39">
        <v>2</v>
      </c>
      <c r="H59" s="787">
        <v>0.1</v>
      </c>
      <c r="I59" s="787">
        <v>0.1</v>
      </c>
      <c r="J59" s="787">
        <v>0.1</v>
      </c>
      <c r="K59" s="787">
        <v>0.1</v>
      </c>
      <c r="L59" s="787">
        <v>0.1</v>
      </c>
      <c r="M59" s="787">
        <v>0.3</v>
      </c>
      <c r="N59" s="787">
        <v>0.1</v>
      </c>
      <c r="O59" s="787">
        <v>0.1</v>
      </c>
      <c r="P59" s="787">
        <v>0.1</v>
      </c>
      <c r="Q59" s="39">
        <v>1</v>
      </c>
      <c r="R59" s="39">
        <v>1</v>
      </c>
      <c r="S59" s="39">
        <v>1</v>
      </c>
      <c r="T59" s="39" t="s">
        <v>1418</v>
      </c>
      <c r="U59" s="39" t="s">
        <v>1276</v>
      </c>
      <c r="V59" s="39">
        <v>0</v>
      </c>
      <c r="W59" s="39">
        <v>0</v>
      </c>
      <c r="X59" s="39">
        <v>2</v>
      </c>
      <c r="Y59" s="39" t="s">
        <v>1426</v>
      </c>
      <c r="Z59" s="39"/>
      <c r="AA59" s="39"/>
      <c r="AB59" s="39"/>
      <c r="AC59" s="39"/>
      <c r="AD59" s="39" t="s">
        <v>1421</v>
      </c>
      <c r="AE59" s="39">
        <v>100</v>
      </c>
      <c r="AF59" s="39" t="s">
        <v>281</v>
      </c>
    </row>
    <row r="60" spans="1:32">
      <c r="A60" s="39" t="s">
        <v>1408</v>
      </c>
      <c r="B60" s="39" t="s">
        <v>1239</v>
      </c>
      <c r="C60" s="39" t="s">
        <v>1222</v>
      </c>
      <c r="D60" s="39" t="s">
        <v>1365</v>
      </c>
      <c r="E60" s="39" t="s">
        <v>1414</v>
      </c>
      <c r="F60" s="39">
        <v>2</v>
      </c>
      <c r="G60" s="39">
        <v>2</v>
      </c>
      <c r="H60" s="787">
        <v>0</v>
      </c>
      <c r="I60" s="787">
        <v>0.5</v>
      </c>
      <c r="J60" s="787">
        <v>0</v>
      </c>
      <c r="K60" s="787">
        <v>0</v>
      </c>
      <c r="L60" s="787">
        <v>0</v>
      </c>
      <c r="M60" s="787">
        <v>0</v>
      </c>
      <c r="N60" s="787">
        <v>0</v>
      </c>
      <c r="O60" s="787">
        <v>0</v>
      </c>
      <c r="P60" s="787">
        <v>0</v>
      </c>
      <c r="Q60" s="39">
        <v>1</v>
      </c>
      <c r="R60" s="39">
        <v>1</v>
      </c>
      <c r="S60" s="39">
        <v>1</v>
      </c>
      <c r="T60" s="39" t="s">
        <v>1419</v>
      </c>
      <c r="U60" s="39" t="s">
        <v>1276</v>
      </c>
      <c r="V60" s="39">
        <v>0</v>
      </c>
      <c r="W60" s="39">
        <v>0</v>
      </c>
      <c r="X60" s="39">
        <v>2</v>
      </c>
      <c r="Y60" s="39"/>
      <c r="Z60" s="39"/>
      <c r="AA60" s="39"/>
      <c r="AB60" s="39"/>
      <c r="AC60" s="39"/>
      <c r="AD60" s="39" t="s">
        <v>1421</v>
      </c>
      <c r="AE60" s="39">
        <v>100</v>
      </c>
      <c r="AF60" s="39" t="s">
        <v>281</v>
      </c>
    </row>
    <row r="61" spans="1:32">
      <c r="A61" s="39" t="s">
        <v>1409</v>
      </c>
      <c r="B61" s="39" t="s">
        <v>1241</v>
      </c>
      <c r="C61" s="39" t="s">
        <v>1222</v>
      </c>
      <c r="D61" s="39" t="s">
        <v>1411</v>
      </c>
      <c r="E61" s="39" t="s">
        <v>1265</v>
      </c>
      <c r="F61" s="39">
        <v>1</v>
      </c>
      <c r="G61" s="39">
        <v>2</v>
      </c>
      <c r="H61" s="787">
        <v>0.5</v>
      </c>
      <c r="I61" s="787">
        <v>0</v>
      </c>
      <c r="J61" s="787">
        <v>0.2</v>
      </c>
      <c r="K61" s="787">
        <v>0</v>
      </c>
      <c r="L61" s="787">
        <v>0</v>
      </c>
      <c r="M61" s="787">
        <v>0</v>
      </c>
      <c r="N61" s="787">
        <v>0</v>
      </c>
      <c r="O61" s="787">
        <v>0</v>
      </c>
      <c r="P61" s="787">
        <v>0</v>
      </c>
      <c r="Q61" s="39">
        <v>1</v>
      </c>
      <c r="R61" s="39">
        <v>1</v>
      </c>
      <c r="S61" s="39">
        <v>1</v>
      </c>
      <c r="T61" s="39" t="s">
        <v>1415</v>
      </c>
      <c r="U61" s="39" t="s">
        <v>1276</v>
      </c>
      <c r="V61" s="39">
        <v>0</v>
      </c>
      <c r="W61" s="39">
        <v>0</v>
      </c>
      <c r="X61" s="39">
        <v>2</v>
      </c>
      <c r="Y61" s="39"/>
      <c r="Z61" s="39" t="s">
        <v>1431</v>
      </c>
      <c r="AA61" s="39"/>
      <c r="AB61" s="39"/>
      <c r="AC61" s="39"/>
      <c r="AD61" s="39" t="s">
        <v>1421</v>
      </c>
      <c r="AE61" s="39">
        <v>100</v>
      </c>
      <c r="AF61" s="39" t="s">
        <v>281</v>
      </c>
    </row>
    <row r="62" spans="1:32">
      <c r="A62" s="39" t="s">
        <v>1432</v>
      </c>
      <c r="B62" s="39" t="s">
        <v>1221</v>
      </c>
      <c r="C62" s="39" t="s">
        <v>1228</v>
      </c>
      <c r="D62" s="39" t="s">
        <v>1365</v>
      </c>
      <c r="E62" s="39" t="s">
        <v>1265</v>
      </c>
      <c r="F62" s="39">
        <v>1</v>
      </c>
      <c r="G62" s="39">
        <v>1</v>
      </c>
      <c r="H62" s="787">
        <v>0</v>
      </c>
      <c r="I62" s="787">
        <v>0</v>
      </c>
      <c r="J62" s="787">
        <v>0</v>
      </c>
      <c r="K62" s="787">
        <v>0</v>
      </c>
      <c r="L62" s="787">
        <v>0</v>
      </c>
      <c r="M62" s="787">
        <v>0</v>
      </c>
      <c r="N62" s="787">
        <v>0</v>
      </c>
      <c r="O62" s="787">
        <v>0</v>
      </c>
      <c r="P62" s="787">
        <v>0</v>
      </c>
      <c r="Q62" s="39">
        <v>1</v>
      </c>
      <c r="R62" s="39">
        <v>1</v>
      </c>
      <c r="S62" s="39">
        <v>1</v>
      </c>
      <c r="T62" s="39" t="s">
        <v>1444</v>
      </c>
      <c r="U62" s="39" t="s">
        <v>1277</v>
      </c>
      <c r="V62" s="39">
        <v>0</v>
      </c>
      <c r="W62" s="39">
        <v>0</v>
      </c>
      <c r="X62" s="39">
        <v>2</v>
      </c>
      <c r="Y62" s="39"/>
      <c r="Z62" s="39" t="s">
        <v>1465</v>
      </c>
      <c r="AA62" s="39"/>
      <c r="AB62" s="39"/>
      <c r="AC62" s="39"/>
      <c r="AD62" s="39" t="s">
        <v>1455</v>
      </c>
      <c r="AE62" s="39">
        <v>100</v>
      </c>
      <c r="AF62" s="39" t="s">
        <v>281</v>
      </c>
    </row>
    <row r="63" spans="1:32">
      <c r="A63" s="39" t="s">
        <v>546</v>
      </c>
      <c r="B63" s="39" t="s">
        <v>1225</v>
      </c>
      <c r="C63" s="39" t="s">
        <v>1228</v>
      </c>
      <c r="D63" s="39" t="s">
        <v>1442</v>
      </c>
      <c r="E63" s="39" t="s">
        <v>1265</v>
      </c>
      <c r="F63" s="39">
        <v>1</v>
      </c>
      <c r="G63" s="39">
        <v>1</v>
      </c>
      <c r="H63" s="787">
        <v>0</v>
      </c>
      <c r="I63" s="787">
        <v>0</v>
      </c>
      <c r="J63" s="787">
        <v>0</v>
      </c>
      <c r="K63" s="787">
        <v>0</v>
      </c>
      <c r="L63" s="787">
        <v>0</v>
      </c>
      <c r="M63" s="787">
        <v>0</v>
      </c>
      <c r="N63" s="787">
        <v>0</v>
      </c>
      <c r="O63" s="787">
        <v>0</v>
      </c>
      <c r="P63" s="787">
        <v>0</v>
      </c>
      <c r="Q63" s="39">
        <v>1</v>
      </c>
      <c r="R63" s="39">
        <v>1</v>
      </c>
      <c r="S63" s="39">
        <v>1</v>
      </c>
      <c r="T63" s="39" t="s">
        <v>1445</v>
      </c>
      <c r="U63" s="39" t="s">
        <v>1276</v>
      </c>
      <c r="V63" s="39">
        <v>0</v>
      </c>
      <c r="W63" s="39">
        <v>0</v>
      </c>
      <c r="X63" s="39">
        <v>2</v>
      </c>
      <c r="Y63" s="39" t="s">
        <v>1458</v>
      </c>
      <c r="Z63" s="39" t="s">
        <v>1466</v>
      </c>
      <c r="AA63" s="39"/>
      <c r="AB63" s="39"/>
      <c r="AC63" s="39"/>
      <c r="AD63" s="39" t="s">
        <v>1455</v>
      </c>
      <c r="AE63" s="39">
        <v>100</v>
      </c>
      <c r="AF63" s="39" t="s">
        <v>281</v>
      </c>
    </row>
    <row r="64" spans="1:32">
      <c r="A64" s="39" t="s">
        <v>1433</v>
      </c>
      <c r="B64" s="39" t="s">
        <v>1227</v>
      </c>
      <c r="C64" s="39" t="s">
        <v>1228</v>
      </c>
      <c r="D64" s="39" t="s">
        <v>1411</v>
      </c>
      <c r="E64" s="39" t="s">
        <v>1265</v>
      </c>
      <c r="F64" s="39">
        <v>1</v>
      </c>
      <c r="G64" s="39">
        <v>3</v>
      </c>
      <c r="H64" s="787">
        <v>0</v>
      </c>
      <c r="I64" s="787">
        <v>0</v>
      </c>
      <c r="J64" s="787">
        <v>-1</v>
      </c>
      <c r="K64" s="787">
        <v>1</v>
      </c>
      <c r="L64" s="787">
        <v>-1</v>
      </c>
      <c r="M64" s="787">
        <v>0</v>
      </c>
      <c r="N64" s="787">
        <v>0</v>
      </c>
      <c r="O64" s="787">
        <v>-0.5</v>
      </c>
      <c r="P64" s="787">
        <v>0.5</v>
      </c>
      <c r="Q64" s="39">
        <v>1</v>
      </c>
      <c r="R64" s="39">
        <v>1</v>
      </c>
      <c r="S64" s="39">
        <v>1</v>
      </c>
      <c r="T64" s="39" t="s">
        <v>1446</v>
      </c>
      <c r="U64" s="39" t="s">
        <v>1276</v>
      </c>
      <c r="V64" s="39">
        <v>0</v>
      </c>
      <c r="W64" s="39">
        <v>0</v>
      </c>
      <c r="X64" s="39">
        <v>2</v>
      </c>
      <c r="Y64" s="39" t="s">
        <v>1459</v>
      </c>
      <c r="Z64" s="39" t="s">
        <v>1467</v>
      </c>
      <c r="AA64" s="39"/>
      <c r="AB64" s="39"/>
      <c r="AC64" s="39"/>
      <c r="AD64" s="39" t="s">
        <v>1456</v>
      </c>
      <c r="AE64" s="39">
        <v>100</v>
      </c>
      <c r="AF64" s="39" t="s">
        <v>281</v>
      </c>
    </row>
    <row r="65" spans="1:32">
      <c r="A65" s="39" t="s">
        <v>1434</v>
      </c>
      <c r="B65" s="39" t="s">
        <v>1229</v>
      </c>
      <c r="C65" s="39" t="s">
        <v>1228</v>
      </c>
      <c r="D65" s="784" t="s">
        <v>6544</v>
      </c>
      <c r="E65" s="785" t="s">
        <v>1882</v>
      </c>
      <c r="F65" s="39">
        <v>1</v>
      </c>
      <c r="G65" s="39">
        <v>1</v>
      </c>
      <c r="H65" s="787">
        <v>0</v>
      </c>
      <c r="I65" s="787">
        <v>0</v>
      </c>
      <c r="J65" s="787">
        <v>0</v>
      </c>
      <c r="K65" s="787">
        <v>0</v>
      </c>
      <c r="L65" s="787">
        <v>0</v>
      </c>
      <c r="M65" s="787">
        <v>0</v>
      </c>
      <c r="N65" s="787">
        <v>0</v>
      </c>
      <c r="O65" s="787">
        <v>0</v>
      </c>
      <c r="P65" s="787">
        <v>0</v>
      </c>
      <c r="Q65" s="39">
        <v>1</v>
      </c>
      <c r="R65" s="39">
        <v>1</v>
      </c>
      <c r="S65" s="39">
        <v>1</v>
      </c>
      <c r="T65" s="39" t="s">
        <v>1447</v>
      </c>
      <c r="U65" s="39" t="s">
        <v>1276</v>
      </c>
      <c r="V65" s="39">
        <v>0</v>
      </c>
      <c r="W65" s="39">
        <v>0</v>
      </c>
      <c r="X65" s="39">
        <v>2</v>
      </c>
      <c r="Y65" s="39" t="s">
        <v>1460</v>
      </c>
      <c r="Z65" s="39"/>
      <c r="AA65" s="39"/>
      <c r="AB65" s="39"/>
      <c r="AC65" s="39"/>
      <c r="AD65" s="39" t="s">
        <v>1455</v>
      </c>
      <c r="AE65" s="39">
        <v>100</v>
      </c>
      <c r="AF65" s="39" t="s">
        <v>281</v>
      </c>
    </row>
    <row r="66" spans="1:32">
      <c r="A66" s="39" t="s">
        <v>1435</v>
      </c>
      <c r="B66" s="39" t="s">
        <v>1231</v>
      </c>
      <c r="C66" s="39" t="s">
        <v>1228</v>
      </c>
      <c r="D66" s="39" t="s">
        <v>1414</v>
      </c>
      <c r="E66" s="39" t="s">
        <v>1265</v>
      </c>
      <c r="F66" s="39">
        <v>2</v>
      </c>
      <c r="G66" s="39">
        <v>1</v>
      </c>
      <c r="H66" s="787">
        <v>0</v>
      </c>
      <c r="I66" s="787">
        <v>0</v>
      </c>
      <c r="J66" s="787">
        <v>0</v>
      </c>
      <c r="K66" s="787">
        <v>0</v>
      </c>
      <c r="L66" s="787">
        <v>0</v>
      </c>
      <c r="M66" s="787">
        <v>0.5</v>
      </c>
      <c r="N66" s="787">
        <v>-0.5</v>
      </c>
      <c r="O66" s="787">
        <v>0</v>
      </c>
      <c r="P66" s="787">
        <v>0.5</v>
      </c>
      <c r="Q66" s="39">
        <v>1</v>
      </c>
      <c r="R66" s="39">
        <v>1</v>
      </c>
      <c r="S66" s="39">
        <v>1</v>
      </c>
      <c r="T66" s="39" t="s">
        <v>1448</v>
      </c>
      <c r="U66" s="39" t="s">
        <v>1276</v>
      </c>
      <c r="V66" s="39">
        <v>0</v>
      </c>
      <c r="W66" s="39">
        <v>0</v>
      </c>
      <c r="X66" s="39">
        <v>2</v>
      </c>
      <c r="Y66" s="39" t="s">
        <v>1461</v>
      </c>
      <c r="Z66" s="39"/>
      <c r="AA66" s="39"/>
      <c r="AB66" s="39"/>
      <c r="AC66" s="39"/>
      <c r="AD66" s="39" t="s">
        <v>1455</v>
      </c>
      <c r="AE66" s="39">
        <v>100</v>
      </c>
      <c r="AF66" s="39" t="s">
        <v>281</v>
      </c>
    </row>
    <row r="67" spans="1:32">
      <c r="A67" s="39" t="s">
        <v>1436</v>
      </c>
      <c r="B67" s="39" t="s">
        <v>1233</v>
      </c>
      <c r="C67" s="39" t="s">
        <v>1228</v>
      </c>
      <c r="D67" s="39" t="s">
        <v>1265</v>
      </c>
      <c r="E67" s="39" t="s">
        <v>1265</v>
      </c>
      <c r="F67" s="39">
        <v>1</v>
      </c>
      <c r="G67" s="39">
        <v>1</v>
      </c>
      <c r="H67" s="787">
        <v>-0.5</v>
      </c>
      <c r="I67" s="787">
        <v>0.5</v>
      </c>
      <c r="J67" s="787">
        <v>0</v>
      </c>
      <c r="K67" s="787">
        <v>0</v>
      </c>
      <c r="L67" s="787">
        <v>0</v>
      </c>
      <c r="M67" s="787">
        <v>0</v>
      </c>
      <c r="N67" s="787">
        <v>-0.5</v>
      </c>
      <c r="O67" s="787">
        <v>0.5</v>
      </c>
      <c r="P67" s="787">
        <v>0</v>
      </c>
      <c r="Q67" s="39">
        <v>1</v>
      </c>
      <c r="R67" s="39">
        <v>1</v>
      </c>
      <c r="S67" s="39">
        <v>1</v>
      </c>
      <c r="T67" s="39" t="s">
        <v>1449</v>
      </c>
      <c r="U67" s="39" t="s">
        <v>1276</v>
      </c>
      <c r="V67" s="39">
        <v>0</v>
      </c>
      <c r="W67" s="39">
        <v>0</v>
      </c>
      <c r="X67" s="39">
        <v>2</v>
      </c>
      <c r="Y67" s="39"/>
      <c r="Z67" s="39"/>
      <c r="AA67" s="39"/>
      <c r="AB67" s="39"/>
      <c r="AC67" s="39"/>
      <c r="AD67" s="39" t="s">
        <v>1455</v>
      </c>
      <c r="AE67" s="39">
        <v>100</v>
      </c>
      <c r="AF67" s="39" t="s">
        <v>281</v>
      </c>
    </row>
    <row r="68" spans="1:32">
      <c r="A68" s="39" t="s">
        <v>1437</v>
      </c>
      <c r="B68" s="39" t="s">
        <v>1235</v>
      </c>
      <c r="C68" s="39" t="s">
        <v>1228</v>
      </c>
      <c r="D68" s="39" t="s">
        <v>1263</v>
      </c>
      <c r="E68" s="39" t="s">
        <v>1263</v>
      </c>
      <c r="F68" s="39">
        <v>1</v>
      </c>
      <c r="G68" s="39">
        <v>1</v>
      </c>
      <c r="H68" s="787">
        <v>0</v>
      </c>
      <c r="I68" s="787">
        <v>0</v>
      </c>
      <c r="J68" s="787">
        <v>0</v>
      </c>
      <c r="K68" s="787">
        <v>0</v>
      </c>
      <c r="L68" s="787">
        <v>0</v>
      </c>
      <c r="M68" s="787">
        <v>0</v>
      </c>
      <c r="N68" s="787">
        <v>0</v>
      </c>
      <c r="O68" s="787">
        <v>0</v>
      </c>
      <c r="P68" s="787">
        <v>0</v>
      </c>
      <c r="Q68" s="39">
        <v>1</v>
      </c>
      <c r="R68" s="39">
        <v>1</v>
      </c>
      <c r="S68" s="39">
        <v>1</v>
      </c>
      <c r="T68" s="39" t="s">
        <v>1450</v>
      </c>
      <c r="U68" s="39" t="s">
        <v>1276</v>
      </c>
      <c r="V68" s="39">
        <v>0</v>
      </c>
      <c r="W68" s="39">
        <v>0</v>
      </c>
      <c r="X68" s="39">
        <v>2</v>
      </c>
      <c r="Y68" s="39" t="s">
        <v>1462</v>
      </c>
      <c r="Z68" s="39"/>
      <c r="AA68" s="39"/>
      <c r="AB68" s="39"/>
      <c r="AC68" s="39"/>
      <c r="AD68" s="39" t="s">
        <v>1456</v>
      </c>
      <c r="AE68" s="39">
        <v>100</v>
      </c>
      <c r="AF68" s="39" t="s">
        <v>281</v>
      </c>
    </row>
    <row r="69" spans="1:32">
      <c r="A69" s="39" t="s">
        <v>1438</v>
      </c>
      <c r="B69" s="39" t="s">
        <v>1237</v>
      </c>
      <c r="C69" s="39" t="s">
        <v>1228</v>
      </c>
      <c r="D69" s="39" t="s">
        <v>1411</v>
      </c>
      <c r="E69" s="39" t="s">
        <v>1265</v>
      </c>
      <c r="F69" s="39">
        <v>1</v>
      </c>
      <c r="G69" s="39">
        <v>1</v>
      </c>
      <c r="H69" s="787">
        <v>0</v>
      </c>
      <c r="I69" s="787">
        <v>0</v>
      </c>
      <c r="J69" s="787">
        <v>0</v>
      </c>
      <c r="K69" s="787">
        <v>0</v>
      </c>
      <c r="L69" s="787">
        <v>0</v>
      </c>
      <c r="M69" s="787">
        <v>0</v>
      </c>
      <c r="N69" s="787">
        <v>0</v>
      </c>
      <c r="O69" s="787">
        <v>0</v>
      </c>
      <c r="P69" s="787">
        <v>0</v>
      </c>
      <c r="Q69" s="39">
        <v>1</v>
      </c>
      <c r="R69" s="39">
        <v>1</v>
      </c>
      <c r="S69" s="39">
        <v>1</v>
      </c>
      <c r="T69" s="39" t="s">
        <v>1451</v>
      </c>
      <c r="U69" s="39" t="s">
        <v>1276</v>
      </c>
      <c r="V69" s="39">
        <v>0</v>
      </c>
      <c r="W69" s="39">
        <v>0</v>
      </c>
      <c r="X69" s="39">
        <v>2</v>
      </c>
      <c r="Y69" s="39" t="s">
        <v>1463</v>
      </c>
      <c r="Z69" s="39" t="s">
        <v>1468</v>
      </c>
      <c r="AA69" s="39"/>
      <c r="AB69" s="39"/>
      <c r="AC69" s="39"/>
      <c r="AD69" s="39" t="s">
        <v>1456</v>
      </c>
      <c r="AE69" s="39">
        <v>100</v>
      </c>
      <c r="AF69" s="39" t="s">
        <v>281</v>
      </c>
    </row>
    <row r="70" spans="1:32">
      <c r="A70" s="39" t="s">
        <v>1439</v>
      </c>
      <c r="B70" s="39" t="s">
        <v>1239</v>
      </c>
      <c r="C70" s="39" t="s">
        <v>1228</v>
      </c>
      <c r="D70" s="39" t="s">
        <v>1263</v>
      </c>
      <c r="E70" s="39" t="s">
        <v>1263</v>
      </c>
      <c r="F70" s="39">
        <v>1</v>
      </c>
      <c r="G70" s="39">
        <v>1</v>
      </c>
      <c r="H70" s="787">
        <v>0</v>
      </c>
      <c r="I70" s="787">
        <v>0</v>
      </c>
      <c r="J70" s="787">
        <v>0</v>
      </c>
      <c r="K70" s="787">
        <v>0</v>
      </c>
      <c r="L70" s="787">
        <v>0</v>
      </c>
      <c r="M70" s="787">
        <v>0</v>
      </c>
      <c r="N70" s="787">
        <v>0</v>
      </c>
      <c r="O70" s="787">
        <v>0</v>
      </c>
      <c r="P70" s="787">
        <v>0</v>
      </c>
      <c r="Q70" s="39">
        <v>1</v>
      </c>
      <c r="R70" s="39">
        <v>1</v>
      </c>
      <c r="S70" s="39">
        <v>1</v>
      </c>
      <c r="T70" s="39" t="s">
        <v>1452</v>
      </c>
      <c r="U70" s="39" t="s">
        <v>1276</v>
      </c>
      <c r="V70" s="39">
        <v>0</v>
      </c>
      <c r="W70" s="39">
        <v>0</v>
      </c>
      <c r="X70" s="39">
        <v>2</v>
      </c>
      <c r="Y70" s="39"/>
      <c r="Z70" s="39" t="s">
        <v>1469</v>
      </c>
      <c r="AA70" s="39"/>
      <c r="AB70" s="39"/>
      <c r="AC70" s="39"/>
      <c r="AD70" s="39" t="s">
        <v>1456</v>
      </c>
      <c r="AE70" s="39">
        <v>100</v>
      </c>
      <c r="AF70" s="39" t="s">
        <v>281</v>
      </c>
    </row>
    <row r="71" spans="1:32">
      <c r="A71" s="39" t="s">
        <v>1440</v>
      </c>
      <c r="B71" s="39" t="s">
        <v>1241</v>
      </c>
      <c r="C71" s="39" t="s">
        <v>1228</v>
      </c>
      <c r="D71" s="39" t="s">
        <v>1411</v>
      </c>
      <c r="E71" s="39" t="s">
        <v>1263</v>
      </c>
      <c r="F71" s="39">
        <v>1</v>
      </c>
      <c r="G71" s="39">
        <v>1</v>
      </c>
      <c r="H71" s="787">
        <v>0</v>
      </c>
      <c r="I71" s="787">
        <v>0</v>
      </c>
      <c r="J71" s="787">
        <v>0</v>
      </c>
      <c r="K71" s="787">
        <v>0</v>
      </c>
      <c r="L71" s="787">
        <v>0</v>
      </c>
      <c r="M71" s="787">
        <v>0</v>
      </c>
      <c r="N71" s="787">
        <v>0</v>
      </c>
      <c r="O71" s="787">
        <v>0</v>
      </c>
      <c r="P71" s="787">
        <v>0</v>
      </c>
      <c r="Q71" s="39">
        <v>1</v>
      </c>
      <c r="R71" s="39">
        <v>1</v>
      </c>
      <c r="S71" s="39">
        <v>1</v>
      </c>
      <c r="T71" s="39" t="s">
        <v>1453</v>
      </c>
      <c r="U71" s="39" t="s">
        <v>1276</v>
      </c>
      <c r="V71" s="39">
        <v>0</v>
      </c>
      <c r="W71" s="39">
        <v>0</v>
      </c>
      <c r="X71" s="39">
        <v>2</v>
      </c>
      <c r="Y71" s="39" t="s">
        <v>1463</v>
      </c>
      <c r="Z71" s="39" t="s">
        <v>1470</v>
      </c>
      <c r="AA71" s="39"/>
      <c r="AB71" s="39"/>
      <c r="AC71" s="39"/>
      <c r="AD71" s="39" t="s">
        <v>1455</v>
      </c>
      <c r="AE71" s="39">
        <v>100</v>
      </c>
      <c r="AF71" s="39" t="s">
        <v>281</v>
      </c>
    </row>
    <row r="72" spans="1:32">
      <c r="A72" s="39" t="s">
        <v>1472</v>
      </c>
      <c r="B72" s="39" t="s">
        <v>1221</v>
      </c>
      <c r="C72" s="39" t="s">
        <v>1224</v>
      </c>
      <c r="D72" s="39" t="s">
        <v>1412</v>
      </c>
      <c r="E72" s="785" t="s">
        <v>1882</v>
      </c>
      <c r="F72" s="39">
        <v>-5</v>
      </c>
      <c r="G72" s="39">
        <v>-5</v>
      </c>
      <c r="H72" s="787">
        <v>-0.5</v>
      </c>
      <c r="I72" s="787">
        <v>-0.5</v>
      </c>
      <c r="J72" s="787">
        <v>-0.5</v>
      </c>
      <c r="K72" s="787">
        <v>-0.5</v>
      </c>
      <c r="L72" s="787">
        <v>-0.5</v>
      </c>
      <c r="M72" s="787">
        <v>-0.5</v>
      </c>
      <c r="N72" s="787">
        <v>-0.5</v>
      </c>
      <c r="O72" s="787">
        <v>-0.5</v>
      </c>
      <c r="P72" s="787">
        <v>-0.5</v>
      </c>
      <c r="Q72" s="39">
        <v>1</v>
      </c>
      <c r="R72" s="39">
        <v>1</v>
      </c>
      <c r="S72" s="39">
        <v>1</v>
      </c>
      <c r="T72" s="39" t="s">
        <v>1490</v>
      </c>
      <c r="U72" s="39" t="s">
        <v>1277</v>
      </c>
      <c r="V72" s="39">
        <v>0</v>
      </c>
      <c r="W72" s="39">
        <v>0</v>
      </c>
      <c r="X72" s="39">
        <v>3</v>
      </c>
      <c r="Y72" s="39" t="s">
        <v>1515</v>
      </c>
      <c r="Z72" s="39" t="s">
        <v>1525</v>
      </c>
      <c r="AA72" s="39"/>
      <c r="AB72" s="39"/>
      <c r="AC72" s="39"/>
      <c r="AD72" s="39" t="s">
        <v>6557</v>
      </c>
      <c r="AE72" s="39">
        <v>200</v>
      </c>
      <c r="AF72" s="39" t="s">
        <v>6540</v>
      </c>
    </row>
    <row r="73" spans="1:32">
      <c r="A73" s="39" t="s">
        <v>1473</v>
      </c>
      <c r="B73" s="39" t="s">
        <v>1225</v>
      </c>
      <c r="C73" s="39" t="s">
        <v>1232</v>
      </c>
      <c r="D73" s="39" t="s">
        <v>1265</v>
      </c>
      <c r="E73" s="39" t="s">
        <v>1265</v>
      </c>
      <c r="F73" s="39">
        <v>3</v>
      </c>
      <c r="G73" s="39">
        <v>3</v>
      </c>
      <c r="H73" s="787">
        <v>0</v>
      </c>
      <c r="I73" s="787">
        <v>0</v>
      </c>
      <c r="J73" s="787">
        <v>0</v>
      </c>
      <c r="K73" s="787">
        <v>0</v>
      </c>
      <c r="L73" s="787">
        <v>0.2</v>
      </c>
      <c r="M73" s="787">
        <v>0.2</v>
      </c>
      <c r="N73" s="787">
        <v>0.2</v>
      </c>
      <c r="O73" s="787" t="s">
        <v>1489</v>
      </c>
      <c r="P73" s="787">
        <v>0.5</v>
      </c>
      <c r="Q73" s="39">
        <v>1</v>
      </c>
      <c r="R73" s="39">
        <v>1</v>
      </c>
      <c r="S73" s="39">
        <v>1</v>
      </c>
      <c r="T73" s="39" t="s">
        <v>1491</v>
      </c>
      <c r="U73" s="39" t="s">
        <v>1276</v>
      </c>
      <c r="V73" s="39">
        <v>0.3</v>
      </c>
      <c r="W73" s="39">
        <v>0</v>
      </c>
      <c r="X73" s="39">
        <v>3</v>
      </c>
      <c r="Y73" s="39"/>
      <c r="Z73" s="39" t="s">
        <v>1526</v>
      </c>
      <c r="AA73" s="39"/>
      <c r="AB73" s="39"/>
      <c r="AC73" s="39"/>
      <c r="AD73" s="39" t="s">
        <v>6558</v>
      </c>
      <c r="AE73" s="39">
        <v>200</v>
      </c>
      <c r="AF73" s="39" t="s">
        <v>6540</v>
      </c>
    </row>
    <row r="74" spans="1:32">
      <c r="A74" s="39" t="s">
        <v>1474</v>
      </c>
      <c r="B74" s="39" t="s">
        <v>1227</v>
      </c>
      <c r="C74" s="39" t="s">
        <v>1232</v>
      </c>
      <c r="D74" s="39" t="s">
        <v>1487</v>
      </c>
      <c r="E74" s="39" t="s">
        <v>1265</v>
      </c>
      <c r="F74" s="39">
        <v>1</v>
      </c>
      <c r="G74" s="39">
        <v>1</v>
      </c>
      <c r="H74" s="787">
        <v>0.2</v>
      </c>
      <c r="I74" s="787">
        <v>0</v>
      </c>
      <c r="J74" s="787">
        <v>0</v>
      </c>
      <c r="K74" s="787">
        <v>0.4</v>
      </c>
      <c r="L74" s="787">
        <v>0</v>
      </c>
      <c r="M74" s="787">
        <v>0</v>
      </c>
      <c r="N74" s="787">
        <v>0</v>
      </c>
      <c r="O74" s="787">
        <v>0</v>
      </c>
      <c r="P74" s="787">
        <v>0</v>
      </c>
      <c r="Q74" s="39">
        <v>1</v>
      </c>
      <c r="R74" s="39">
        <v>1</v>
      </c>
      <c r="S74" s="39">
        <v>1</v>
      </c>
      <c r="T74" s="39" t="s">
        <v>1492</v>
      </c>
      <c r="U74" s="39" t="s">
        <v>1276</v>
      </c>
      <c r="V74" s="39">
        <v>0.2</v>
      </c>
      <c r="W74" s="39">
        <v>0</v>
      </c>
      <c r="X74" s="39">
        <v>3</v>
      </c>
      <c r="Y74" s="39" t="s">
        <v>1516</v>
      </c>
      <c r="Z74" s="39" t="s">
        <v>1527</v>
      </c>
      <c r="AA74" s="39"/>
      <c r="AB74" s="39"/>
      <c r="AC74" s="39"/>
      <c r="AD74" s="39" t="s">
        <v>6559</v>
      </c>
      <c r="AE74" s="39">
        <v>200</v>
      </c>
      <c r="AF74" s="39" t="s">
        <v>6540</v>
      </c>
    </row>
    <row r="75" spans="1:32">
      <c r="A75" s="39" t="s">
        <v>1475</v>
      </c>
      <c r="B75" s="39" t="s">
        <v>1229</v>
      </c>
      <c r="C75" s="39" t="s">
        <v>1226</v>
      </c>
      <c r="D75" s="39" t="s">
        <v>1265</v>
      </c>
      <c r="E75" s="39" t="s">
        <v>1265</v>
      </c>
      <c r="F75" s="39">
        <v>0</v>
      </c>
      <c r="G75" s="39">
        <v>10</v>
      </c>
      <c r="H75" s="787">
        <v>-0.2</v>
      </c>
      <c r="I75" s="787">
        <v>-0.2</v>
      </c>
      <c r="J75" s="787">
        <v>-0.2</v>
      </c>
      <c r="K75" s="787">
        <v>-0.2</v>
      </c>
      <c r="L75" s="787">
        <v>-0.2</v>
      </c>
      <c r="M75" s="787">
        <v>-0.2</v>
      </c>
      <c r="N75" s="787">
        <v>-0.2</v>
      </c>
      <c r="O75" s="787">
        <v>-0.2</v>
      </c>
      <c r="P75" s="787">
        <v>-0.2</v>
      </c>
      <c r="Q75" s="39">
        <v>1</v>
      </c>
      <c r="R75" s="39">
        <v>1</v>
      </c>
      <c r="S75" s="39">
        <v>1</v>
      </c>
      <c r="T75" s="39" t="s">
        <v>1493</v>
      </c>
      <c r="U75" s="39" t="s">
        <v>1276</v>
      </c>
      <c r="V75" s="39">
        <v>0</v>
      </c>
      <c r="W75" s="39">
        <v>0</v>
      </c>
      <c r="X75" s="39">
        <v>3</v>
      </c>
      <c r="Y75" s="39" t="s">
        <v>1517</v>
      </c>
      <c r="Z75" s="39" t="s">
        <v>1528</v>
      </c>
      <c r="AA75" s="39"/>
      <c r="AB75" s="39"/>
      <c r="AC75" s="39"/>
      <c r="AD75" s="39" t="s">
        <v>6560</v>
      </c>
      <c r="AE75" s="39">
        <v>200</v>
      </c>
      <c r="AF75" s="39" t="s">
        <v>6540</v>
      </c>
    </row>
    <row r="76" spans="1:32">
      <c r="A76" s="39" t="s">
        <v>1476</v>
      </c>
      <c r="B76" s="39" t="s">
        <v>1231</v>
      </c>
      <c r="C76" s="39" t="s">
        <v>1232</v>
      </c>
      <c r="D76" s="39" t="s">
        <v>1336</v>
      </c>
      <c r="E76" s="39" t="s">
        <v>1265</v>
      </c>
      <c r="F76" s="39">
        <v>0</v>
      </c>
      <c r="G76" s="39">
        <v>0</v>
      </c>
      <c r="H76" s="787">
        <v>0</v>
      </c>
      <c r="I76" s="787">
        <v>0</v>
      </c>
      <c r="J76" s="787">
        <v>0</v>
      </c>
      <c r="K76" s="787">
        <v>0</v>
      </c>
      <c r="L76" s="787">
        <v>0.9</v>
      </c>
      <c r="M76" s="787">
        <v>0</v>
      </c>
      <c r="N76" s="787">
        <v>0</v>
      </c>
      <c r="O76" s="787">
        <v>0</v>
      </c>
      <c r="P76" s="787">
        <v>0</v>
      </c>
      <c r="Q76" s="39">
        <v>1</v>
      </c>
      <c r="R76" s="39">
        <v>1</v>
      </c>
      <c r="S76" s="39">
        <v>1</v>
      </c>
      <c r="T76" s="39" t="s">
        <v>1494</v>
      </c>
      <c r="U76" s="39" t="s">
        <v>1276</v>
      </c>
      <c r="V76" s="39">
        <v>0</v>
      </c>
      <c r="W76" s="39">
        <v>0</v>
      </c>
      <c r="X76" s="39">
        <v>3</v>
      </c>
      <c r="Y76" s="39" t="s">
        <v>1518</v>
      </c>
      <c r="Z76" s="39" t="s">
        <v>1529</v>
      </c>
      <c r="AA76" s="39"/>
      <c r="AB76" s="39"/>
      <c r="AC76" s="39"/>
      <c r="AD76" s="39" t="s">
        <v>6561</v>
      </c>
      <c r="AE76" s="39">
        <v>200</v>
      </c>
      <c r="AF76" s="39" t="s">
        <v>6540</v>
      </c>
    </row>
    <row r="77" spans="1:32">
      <c r="A77" s="39" t="s">
        <v>1477</v>
      </c>
      <c r="B77" s="39" t="s">
        <v>1221</v>
      </c>
      <c r="C77" s="39" t="s">
        <v>1224</v>
      </c>
      <c r="D77" s="39" t="s">
        <v>1365</v>
      </c>
      <c r="E77" s="785" t="s">
        <v>1882</v>
      </c>
      <c r="F77" s="39">
        <v>1</v>
      </c>
      <c r="G77" s="39">
        <v>1</v>
      </c>
      <c r="H77" s="787">
        <v>-0.5</v>
      </c>
      <c r="I77" s="787">
        <v>0.5</v>
      </c>
      <c r="J77" s="787">
        <v>-0.5</v>
      </c>
      <c r="K77" s="787">
        <v>-0.5</v>
      </c>
      <c r="L77" s="787">
        <v>0</v>
      </c>
      <c r="M77" s="787">
        <v>0</v>
      </c>
      <c r="N77" s="787">
        <v>0</v>
      </c>
      <c r="O77" s="787">
        <v>0.5</v>
      </c>
      <c r="P77" s="787">
        <v>0.5</v>
      </c>
      <c r="Q77" s="39">
        <v>1</v>
      </c>
      <c r="R77" s="39">
        <v>1</v>
      </c>
      <c r="S77" s="39">
        <v>1</v>
      </c>
      <c r="T77" s="39" t="s">
        <v>1495</v>
      </c>
      <c r="U77" s="39" t="s">
        <v>1277</v>
      </c>
      <c r="V77" s="39">
        <v>0</v>
      </c>
      <c r="W77" s="39">
        <v>0</v>
      </c>
      <c r="X77" s="39">
        <v>3</v>
      </c>
      <c r="Y77" s="39" t="s">
        <v>1519</v>
      </c>
      <c r="Z77" s="39" t="s">
        <v>1530</v>
      </c>
      <c r="AA77" s="39"/>
      <c r="AB77" s="39"/>
      <c r="AC77" s="39"/>
      <c r="AD77" s="39" t="s">
        <v>6562</v>
      </c>
      <c r="AE77" s="39">
        <v>200</v>
      </c>
      <c r="AF77" s="39" t="s">
        <v>6540</v>
      </c>
    </row>
    <row r="78" spans="1:32">
      <c r="A78" s="39" t="s">
        <v>1478</v>
      </c>
      <c r="B78" s="39" t="s">
        <v>1235</v>
      </c>
      <c r="C78" s="39" t="s">
        <v>1222</v>
      </c>
      <c r="D78" s="39" t="s">
        <v>1263</v>
      </c>
      <c r="E78" s="785" t="s">
        <v>1882</v>
      </c>
      <c r="F78" s="39">
        <v>2</v>
      </c>
      <c r="G78" s="39">
        <v>2</v>
      </c>
      <c r="H78" s="787">
        <v>0</v>
      </c>
      <c r="I78" s="787">
        <v>0</v>
      </c>
      <c r="J78" s="787">
        <v>2</v>
      </c>
      <c r="K78" s="787">
        <v>0</v>
      </c>
      <c r="L78" s="787">
        <v>0</v>
      </c>
      <c r="M78" s="787">
        <v>0</v>
      </c>
      <c r="N78" s="787">
        <v>0</v>
      </c>
      <c r="O78" s="787">
        <v>0</v>
      </c>
      <c r="P78" s="787">
        <v>0</v>
      </c>
      <c r="Q78" s="39">
        <v>1</v>
      </c>
      <c r="R78" s="39">
        <v>1</v>
      </c>
      <c r="S78" s="39">
        <v>1</v>
      </c>
      <c r="T78" s="39"/>
      <c r="U78" s="39" t="s">
        <v>1276</v>
      </c>
      <c r="V78" s="39">
        <v>0</v>
      </c>
      <c r="W78" s="39">
        <v>0</v>
      </c>
      <c r="X78" s="39">
        <v>3</v>
      </c>
      <c r="Y78" s="39" t="s">
        <v>1520</v>
      </c>
      <c r="Z78" s="39"/>
      <c r="AA78" s="39"/>
      <c r="AB78" s="39"/>
      <c r="AC78" s="39"/>
      <c r="AD78" s="39" t="s">
        <v>6563</v>
      </c>
      <c r="AE78" s="39">
        <v>200</v>
      </c>
      <c r="AF78" s="39" t="s">
        <v>6540</v>
      </c>
    </row>
    <row r="79" spans="1:32">
      <c r="A79" s="39" t="s">
        <v>1479</v>
      </c>
      <c r="B79" s="39" t="s">
        <v>1237</v>
      </c>
      <c r="C79" s="39" t="s">
        <v>1230</v>
      </c>
      <c r="D79" s="39" t="s">
        <v>1365</v>
      </c>
      <c r="E79" s="39" t="s">
        <v>1265</v>
      </c>
      <c r="F79" s="39">
        <v>2</v>
      </c>
      <c r="G79" s="39">
        <v>2</v>
      </c>
      <c r="H79" s="787">
        <v>0</v>
      </c>
      <c r="I79" s="787">
        <v>0</v>
      </c>
      <c r="J79" s="787">
        <v>0</v>
      </c>
      <c r="K79" s="787">
        <v>0</v>
      </c>
      <c r="L79" s="787">
        <v>0</v>
      </c>
      <c r="M79" s="787">
        <v>0</v>
      </c>
      <c r="N79" s="787">
        <v>0</v>
      </c>
      <c r="O79" s="787">
        <v>0</v>
      </c>
      <c r="P79" s="787">
        <v>0</v>
      </c>
      <c r="Q79" s="39">
        <v>1</v>
      </c>
      <c r="R79" s="39">
        <v>1</v>
      </c>
      <c r="S79" s="39">
        <v>1</v>
      </c>
      <c r="T79" s="39" t="s">
        <v>1496</v>
      </c>
      <c r="U79" s="39" t="s">
        <v>1276</v>
      </c>
      <c r="V79" s="39">
        <v>0</v>
      </c>
      <c r="W79" s="39">
        <v>0</v>
      </c>
      <c r="X79" s="39">
        <v>3</v>
      </c>
      <c r="Y79" s="39" t="s">
        <v>1399</v>
      </c>
      <c r="Z79" s="39" t="s">
        <v>1531</v>
      </c>
      <c r="AA79" s="39"/>
      <c r="AB79" s="39"/>
      <c r="AC79" s="39"/>
      <c r="AD79" s="39" t="s">
        <v>6564</v>
      </c>
      <c r="AE79" s="39">
        <v>200</v>
      </c>
      <c r="AF79" s="39" t="s">
        <v>6540</v>
      </c>
    </row>
    <row r="80" spans="1:32">
      <c r="A80" s="39" t="s">
        <v>1480</v>
      </c>
      <c r="B80" s="39" t="s">
        <v>1239</v>
      </c>
      <c r="C80" s="39" t="s">
        <v>1230</v>
      </c>
      <c r="D80" s="39" t="s">
        <v>1265</v>
      </c>
      <c r="E80" s="39" t="s">
        <v>1265</v>
      </c>
      <c r="F80" s="39">
        <v>4</v>
      </c>
      <c r="G80" s="39">
        <v>4</v>
      </c>
      <c r="H80" s="787">
        <v>0</v>
      </c>
      <c r="I80" s="787">
        <v>1</v>
      </c>
      <c r="J80" s="787">
        <v>0</v>
      </c>
      <c r="K80" s="787">
        <v>0</v>
      </c>
      <c r="L80" s="787">
        <v>0</v>
      </c>
      <c r="M80" s="787">
        <v>0</v>
      </c>
      <c r="N80" s="787">
        <v>0</v>
      </c>
      <c r="O80" s="787">
        <v>0</v>
      </c>
      <c r="P80" s="787">
        <v>0</v>
      </c>
      <c r="Q80" s="39">
        <v>1</v>
      </c>
      <c r="R80" s="39">
        <v>1</v>
      </c>
      <c r="S80" s="39">
        <v>1</v>
      </c>
      <c r="T80" s="39" t="s">
        <v>1497</v>
      </c>
      <c r="U80" s="39" t="s">
        <v>1276</v>
      </c>
      <c r="V80" s="39">
        <v>0</v>
      </c>
      <c r="W80" s="39">
        <v>0</v>
      </c>
      <c r="X80" s="39">
        <v>3</v>
      </c>
      <c r="Y80" s="39" t="s">
        <v>1521</v>
      </c>
      <c r="Z80" s="39" t="s">
        <v>1532</v>
      </c>
      <c r="AA80" s="39"/>
      <c r="AB80" s="39"/>
      <c r="AC80" s="39"/>
      <c r="AD80" s="39" t="s">
        <v>6565</v>
      </c>
      <c r="AE80" s="39">
        <v>200</v>
      </c>
      <c r="AF80" s="39" t="s">
        <v>6540</v>
      </c>
    </row>
    <row r="81" spans="1:32">
      <c r="A81" s="39" t="s">
        <v>1481</v>
      </c>
      <c r="B81" s="39" t="s">
        <v>1241</v>
      </c>
      <c r="C81" s="39" t="s">
        <v>1228</v>
      </c>
      <c r="D81" s="39" t="s">
        <v>1265</v>
      </c>
      <c r="E81" s="785" t="s">
        <v>1882</v>
      </c>
      <c r="F81" s="39">
        <v>5</v>
      </c>
      <c r="G81" s="39">
        <v>5</v>
      </c>
      <c r="H81" s="787">
        <v>0.8</v>
      </c>
      <c r="I81" s="787">
        <v>0</v>
      </c>
      <c r="J81" s="787">
        <v>0</v>
      </c>
      <c r="K81" s="787">
        <v>0</v>
      </c>
      <c r="L81" s="787">
        <v>0</v>
      </c>
      <c r="M81" s="787">
        <v>0</v>
      </c>
      <c r="N81" s="787">
        <v>0</v>
      </c>
      <c r="O81" s="787">
        <v>0</v>
      </c>
      <c r="P81" s="787">
        <v>0</v>
      </c>
      <c r="Q81" s="39">
        <v>1</v>
      </c>
      <c r="R81" s="39">
        <v>1</v>
      </c>
      <c r="S81" s="39">
        <v>1</v>
      </c>
      <c r="T81" s="39" t="s">
        <v>1498</v>
      </c>
      <c r="U81" s="39" t="s">
        <v>1276</v>
      </c>
      <c r="V81" s="39">
        <v>0</v>
      </c>
      <c r="W81" s="39">
        <v>0</v>
      </c>
      <c r="X81" s="39">
        <v>3</v>
      </c>
      <c r="Y81" s="39" t="s">
        <v>1522</v>
      </c>
      <c r="Z81" s="39" t="s">
        <v>1533</v>
      </c>
      <c r="AA81" s="39"/>
      <c r="AB81" s="39"/>
      <c r="AC81" s="39"/>
      <c r="AD81" s="39" t="s">
        <v>6566</v>
      </c>
      <c r="AE81" s="39">
        <v>200</v>
      </c>
      <c r="AF81" s="39" t="s">
        <v>6540</v>
      </c>
    </row>
    <row r="82" spans="1:32">
      <c r="A82" s="39" t="s">
        <v>1539</v>
      </c>
      <c r="B82" s="39" t="s">
        <v>1221</v>
      </c>
      <c r="C82" s="39" t="s">
        <v>1224</v>
      </c>
      <c r="D82" s="39" t="s">
        <v>1550</v>
      </c>
      <c r="E82" s="785" t="s">
        <v>1882</v>
      </c>
      <c r="F82" s="39">
        <v>4</v>
      </c>
      <c r="G82" s="39">
        <v>4</v>
      </c>
      <c r="H82" s="787">
        <v>0</v>
      </c>
      <c r="I82" s="787">
        <v>0</v>
      </c>
      <c r="J82" s="787">
        <v>0</v>
      </c>
      <c r="K82" s="787">
        <v>0</v>
      </c>
      <c r="L82" s="787">
        <v>0</v>
      </c>
      <c r="M82" s="787">
        <v>0</v>
      </c>
      <c r="N82" s="787">
        <v>0</v>
      </c>
      <c r="O82" s="787">
        <v>1</v>
      </c>
      <c r="P82" s="787">
        <v>1</v>
      </c>
      <c r="Q82" s="39">
        <v>4</v>
      </c>
      <c r="R82" s="39">
        <v>4</v>
      </c>
      <c r="S82" s="39">
        <v>4</v>
      </c>
      <c r="T82" s="39" t="s">
        <v>6508</v>
      </c>
      <c r="U82" s="39" t="s">
        <v>1276</v>
      </c>
      <c r="V82" s="39">
        <v>0</v>
      </c>
      <c r="W82" s="39">
        <v>0</v>
      </c>
      <c r="X82" s="39">
        <v>4</v>
      </c>
      <c r="Y82" s="39" t="s">
        <v>1284</v>
      </c>
      <c r="Z82" s="39"/>
      <c r="AA82" s="39"/>
      <c r="AB82" s="39"/>
      <c r="AC82" s="39"/>
      <c r="AD82" s="39" t="s">
        <v>1556</v>
      </c>
      <c r="AE82" s="39">
        <v>400</v>
      </c>
      <c r="AF82" t="s">
        <v>283</v>
      </c>
    </row>
    <row r="83" spans="1:32">
      <c r="A83" s="39" t="s">
        <v>1540</v>
      </c>
      <c r="B83" s="39" t="s">
        <v>1225</v>
      </c>
      <c r="C83" s="39" t="s">
        <v>1224</v>
      </c>
      <c r="D83" s="39" t="s">
        <v>1551</v>
      </c>
      <c r="E83" s="785" t="s">
        <v>1882</v>
      </c>
      <c r="F83" s="39">
        <v>4</v>
      </c>
      <c r="G83" s="39">
        <v>4</v>
      </c>
      <c r="H83" s="787">
        <v>0</v>
      </c>
      <c r="I83" s="787">
        <v>0</v>
      </c>
      <c r="J83" s="787">
        <v>0</v>
      </c>
      <c r="K83" s="787">
        <v>0</v>
      </c>
      <c r="L83" s="787">
        <v>0</v>
      </c>
      <c r="M83" s="787">
        <v>0</v>
      </c>
      <c r="N83" s="787">
        <v>0</v>
      </c>
      <c r="O83" s="787">
        <v>0</v>
      </c>
      <c r="P83" s="787">
        <v>1</v>
      </c>
      <c r="Q83" s="39">
        <v>4</v>
      </c>
      <c r="R83" s="39">
        <v>4</v>
      </c>
      <c r="S83" s="39">
        <v>4</v>
      </c>
      <c r="T83" s="39" t="s">
        <v>1554</v>
      </c>
      <c r="U83" s="39" t="s">
        <v>1276</v>
      </c>
      <c r="V83" s="39">
        <v>0</v>
      </c>
      <c r="W83" s="39">
        <v>0</v>
      </c>
      <c r="X83" s="39">
        <v>4</v>
      </c>
      <c r="Y83" s="39" t="s">
        <v>1285</v>
      </c>
      <c r="Z83" s="39" t="s">
        <v>1559</v>
      </c>
      <c r="AA83" s="39"/>
      <c r="AB83" s="39"/>
      <c r="AC83" s="39"/>
      <c r="AD83" s="39" t="s">
        <v>1556</v>
      </c>
      <c r="AE83" s="39">
        <v>400</v>
      </c>
      <c r="AF83" s="39" t="s">
        <v>283</v>
      </c>
    </row>
    <row r="84" spans="1:32">
      <c r="A84" s="39" t="s">
        <v>1541</v>
      </c>
      <c r="B84" s="39" t="s">
        <v>1227</v>
      </c>
      <c r="C84" s="39" t="s">
        <v>1224</v>
      </c>
      <c r="D84" s="39" t="s">
        <v>1551</v>
      </c>
      <c r="E84" s="785" t="s">
        <v>1882</v>
      </c>
      <c r="F84" s="39">
        <v>4</v>
      </c>
      <c r="G84" s="39">
        <v>4</v>
      </c>
      <c r="H84" s="787">
        <v>0</v>
      </c>
      <c r="I84" s="787">
        <v>0</v>
      </c>
      <c r="J84" s="787">
        <v>0</v>
      </c>
      <c r="K84" s="787">
        <v>1</v>
      </c>
      <c r="L84" s="787">
        <v>0</v>
      </c>
      <c r="M84" s="787">
        <v>0</v>
      </c>
      <c r="N84" s="787">
        <v>0</v>
      </c>
      <c r="O84" s="787">
        <v>0</v>
      </c>
      <c r="P84" s="787">
        <v>0</v>
      </c>
      <c r="Q84" s="39">
        <v>4</v>
      </c>
      <c r="R84" s="39">
        <v>4</v>
      </c>
      <c r="S84" s="39">
        <v>4</v>
      </c>
      <c r="T84" s="39" t="s">
        <v>1554</v>
      </c>
      <c r="U84" s="39" t="s">
        <v>1276</v>
      </c>
      <c r="V84" s="39">
        <v>0</v>
      </c>
      <c r="W84" s="39">
        <v>0</v>
      </c>
      <c r="X84" s="39">
        <v>4</v>
      </c>
      <c r="Y84" s="39" t="s">
        <v>1286</v>
      </c>
      <c r="Z84" s="39" t="s">
        <v>1560</v>
      </c>
      <c r="AA84" s="39"/>
      <c r="AB84" s="39"/>
      <c r="AC84" s="39"/>
      <c r="AD84" s="39" t="s">
        <v>1556</v>
      </c>
      <c r="AE84" s="39">
        <v>400</v>
      </c>
      <c r="AF84" s="39" t="s">
        <v>283</v>
      </c>
    </row>
    <row r="85" spans="1:32">
      <c r="A85" s="39" t="s">
        <v>1542</v>
      </c>
      <c r="B85" s="39" t="s">
        <v>1229</v>
      </c>
      <c r="C85" s="39" t="s">
        <v>1224</v>
      </c>
      <c r="D85" s="39" t="s">
        <v>1551</v>
      </c>
      <c r="E85" s="785" t="s">
        <v>1882</v>
      </c>
      <c r="F85" s="39">
        <v>4</v>
      </c>
      <c r="G85" s="39">
        <v>4</v>
      </c>
      <c r="H85" s="787">
        <v>0</v>
      </c>
      <c r="I85" s="787">
        <v>0</v>
      </c>
      <c r="J85" s="787">
        <v>0</v>
      </c>
      <c r="K85" s="787">
        <v>0</v>
      </c>
      <c r="L85" s="787">
        <v>0</v>
      </c>
      <c r="M85" s="787">
        <v>0</v>
      </c>
      <c r="N85" s="787">
        <v>1</v>
      </c>
      <c r="O85" s="787">
        <v>0</v>
      </c>
      <c r="P85" s="787">
        <v>0</v>
      </c>
      <c r="Q85" s="39">
        <v>4</v>
      </c>
      <c r="R85" s="39">
        <v>4</v>
      </c>
      <c r="S85" s="39">
        <v>4</v>
      </c>
      <c r="T85" s="39" t="s">
        <v>1554</v>
      </c>
      <c r="U85" s="39" t="s">
        <v>1276</v>
      </c>
      <c r="V85" s="39">
        <v>0</v>
      </c>
      <c r="W85" s="39">
        <v>0</v>
      </c>
      <c r="X85" s="39">
        <v>4</v>
      </c>
      <c r="Y85" s="39" t="s">
        <v>1287</v>
      </c>
      <c r="Z85" s="39" t="s">
        <v>1561</v>
      </c>
      <c r="AA85" s="39" t="s">
        <v>1568</v>
      </c>
      <c r="AB85" s="39"/>
      <c r="AC85" s="39"/>
      <c r="AD85" s="39" t="s">
        <v>1556</v>
      </c>
      <c r="AE85" s="39">
        <v>400</v>
      </c>
      <c r="AF85" s="39" t="s">
        <v>283</v>
      </c>
    </row>
    <row r="86" spans="1:32">
      <c r="A86" s="39" t="s">
        <v>1543</v>
      </c>
      <c r="B86" s="39" t="s">
        <v>1231</v>
      </c>
      <c r="C86" s="39" t="s">
        <v>1224</v>
      </c>
      <c r="D86" s="39" t="s">
        <v>1551</v>
      </c>
      <c r="E86" s="785" t="s">
        <v>1882</v>
      </c>
      <c r="F86" s="39">
        <v>4</v>
      </c>
      <c r="G86" s="39">
        <v>4</v>
      </c>
      <c r="H86" s="787">
        <v>0</v>
      </c>
      <c r="I86" s="787">
        <v>0</v>
      </c>
      <c r="J86" s="787">
        <v>0</v>
      </c>
      <c r="K86" s="787">
        <v>0</v>
      </c>
      <c r="L86" s="787">
        <v>1</v>
      </c>
      <c r="M86" s="787">
        <v>0</v>
      </c>
      <c r="N86" s="787">
        <v>0</v>
      </c>
      <c r="O86" s="787">
        <v>0</v>
      </c>
      <c r="P86" s="787">
        <v>0</v>
      </c>
      <c r="Q86" s="39">
        <v>4</v>
      </c>
      <c r="R86" s="39">
        <v>4</v>
      </c>
      <c r="S86" s="39">
        <v>4</v>
      </c>
      <c r="T86" s="39" t="s">
        <v>1554</v>
      </c>
      <c r="U86" s="39" t="s">
        <v>1276</v>
      </c>
      <c r="V86" s="39">
        <v>0</v>
      </c>
      <c r="W86" s="39">
        <v>0</v>
      </c>
      <c r="X86" s="39">
        <v>4</v>
      </c>
      <c r="Y86" s="39" t="s">
        <v>1288</v>
      </c>
      <c r="Z86" s="39" t="s">
        <v>1562</v>
      </c>
      <c r="AA86" s="39"/>
      <c r="AB86" s="39"/>
      <c r="AC86" s="39"/>
      <c r="AD86" s="39" t="s">
        <v>1556</v>
      </c>
      <c r="AE86" s="39">
        <v>400</v>
      </c>
      <c r="AF86" s="39" t="s">
        <v>283</v>
      </c>
    </row>
    <row r="87" spans="1:32">
      <c r="A87" s="39" t="s">
        <v>1544</v>
      </c>
      <c r="B87" s="39" t="s">
        <v>1233</v>
      </c>
      <c r="C87" s="39" t="s">
        <v>1224</v>
      </c>
      <c r="D87" s="39" t="s">
        <v>1552</v>
      </c>
      <c r="E87" s="785" t="s">
        <v>1882</v>
      </c>
      <c r="F87" s="39">
        <v>4</v>
      </c>
      <c r="G87" s="39">
        <v>4</v>
      </c>
      <c r="H87" s="787">
        <v>0</v>
      </c>
      <c r="I87" s="787">
        <v>0</v>
      </c>
      <c r="J87" s="787">
        <v>0</v>
      </c>
      <c r="K87" s="787">
        <v>0</v>
      </c>
      <c r="L87" s="787">
        <v>0</v>
      </c>
      <c r="M87" s="787">
        <v>0</v>
      </c>
      <c r="N87" s="787">
        <v>0</v>
      </c>
      <c r="O87" s="787">
        <v>1</v>
      </c>
      <c r="P87" s="787">
        <v>0</v>
      </c>
      <c r="Q87" s="39">
        <v>4</v>
      </c>
      <c r="R87" s="39">
        <v>4</v>
      </c>
      <c r="S87" s="39">
        <v>4</v>
      </c>
      <c r="T87" s="39" t="s">
        <v>1554</v>
      </c>
      <c r="U87" s="39" t="s">
        <v>1276</v>
      </c>
      <c r="V87" s="39">
        <v>0</v>
      </c>
      <c r="W87" s="39">
        <v>0</v>
      </c>
      <c r="X87" s="39">
        <v>4</v>
      </c>
      <c r="Y87" s="39" t="s">
        <v>1289</v>
      </c>
      <c r="Z87" s="39"/>
      <c r="AA87" s="39"/>
      <c r="AB87" s="39"/>
      <c r="AC87" s="39"/>
      <c r="AD87" s="39" t="s">
        <v>1556</v>
      </c>
      <c r="AE87" s="39">
        <v>400</v>
      </c>
      <c r="AF87" s="39" t="s">
        <v>283</v>
      </c>
    </row>
    <row r="88" spans="1:32">
      <c r="A88" s="39" t="s">
        <v>1545</v>
      </c>
      <c r="B88" s="39" t="s">
        <v>1235</v>
      </c>
      <c r="C88" s="39" t="s">
        <v>1224</v>
      </c>
      <c r="D88" s="39" t="s">
        <v>1551</v>
      </c>
      <c r="E88" s="785" t="s">
        <v>1882</v>
      </c>
      <c r="F88" s="39">
        <v>4</v>
      </c>
      <c r="G88" s="39">
        <v>4</v>
      </c>
      <c r="H88" s="787">
        <v>0</v>
      </c>
      <c r="I88" s="787">
        <v>0</v>
      </c>
      <c r="J88" s="787">
        <v>1</v>
      </c>
      <c r="K88" s="787">
        <v>0</v>
      </c>
      <c r="L88" s="787">
        <v>0</v>
      </c>
      <c r="M88" s="787">
        <v>0</v>
      </c>
      <c r="N88" s="787">
        <v>0</v>
      </c>
      <c r="O88" s="787">
        <v>0</v>
      </c>
      <c r="P88" s="787">
        <v>0</v>
      </c>
      <c r="Q88" s="39">
        <v>4</v>
      </c>
      <c r="R88" s="39">
        <v>4</v>
      </c>
      <c r="S88" s="39">
        <v>4</v>
      </c>
      <c r="T88" s="39" t="s">
        <v>1554</v>
      </c>
      <c r="U88" s="39" t="s">
        <v>1276</v>
      </c>
      <c r="V88" s="39">
        <v>0</v>
      </c>
      <c r="W88" s="39">
        <v>0</v>
      </c>
      <c r="X88" s="39">
        <v>4</v>
      </c>
      <c r="Y88" s="39" t="s">
        <v>1284</v>
      </c>
      <c r="Z88" s="39" t="s">
        <v>1563</v>
      </c>
      <c r="AA88" s="39"/>
      <c r="AB88" s="39"/>
      <c r="AC88" s="39"/>
      <c r="AD88" s="39" t="s">
        <v>1556</v>
      </c>
      <c r="AE88" s="39">
        <v>400</v>
      </c>
      <c r="AF88" s="39" t="s">
        <v>283</v>
      </c>
    </row>
    <row r="89" spans="1:32">
      <c r="A89" s="39" t="s">
        <v>1546</v>
      </c>
      <c r="B89" s="39" t="s">
        <v>1237</v>
      </c>
      <c r="C89" s="39" t="s">
        <v>1224</v>
      </c>
      <c r="D89" s="39" t="s">
        <v>1551</v>
      </c>
      <c r="E89" s="785" t="s">
        <v>1882</v>
      </c>
      <c r="F89" s="39">
        <v>4</v>
      </c>
      <c r="G89" s="39">
        <v>4</v>
      </c>
      <c r="H89" s="787">
        <v>0</v>
      </c>
      <c r="I89" s="787">
        <v>0</v>
      </c>
      <c r="J89" s="787">
        <v>0</v>
      </c>
      <c r="K89" s="787">
        <v>0</v>
      </c>
      <c r="L89" s="787">
        <v>0</v>
      </c>
      <c r="M89" s="787">
        <v>1</v>
      </c>
      <c r="N89" s="787">
        <v>0</v>
      </c>
      <c r="O89" s="787">
        <v>0</v>
      </c>
      <c r="P89" s="787">
        <v>0</v>
      </c>
      <c r="Q89" s="39">
        <v>4</v>
      </c>
      <c r="R89" s="39">
        <v>4</v>
      </c>
      <c r="S89" s="39">
        <v>4</v>
      </c>
      <c r="T89" s="39" t="s">
        <v>1554</v>
      </c>
      <c r="U89" s="39" t="s">
        <v>1276</v>
      </c>
      <c r="V89" s="39">
        <v>0</v>
      </c>
      <c r="W89" s="39">
        <v>0</v>
      </c>
      <c r="X89" s="39">
        <v>4</v>
      </c>
      <c r="Y89" s="39" t="s">
        <v>1290</v>
      </c>
      <c r="Z89" s="39" t="s">
        <v>1564</v>
      </c>
      <c r="AA89" s="39"/>
      <c r="AB89" s="39"/>
      <c r="AC89" s="39"/>
      <c r="AD89" s="39" t="s">
        <v>1556</v>
      </c>
      <c r="AE89" s="39">
        <v>400</v>
      </c>
      <c r="AF89" s="39" t="s">
        <v>283</v>
      </c>
    </row>
    <row r="90" spans="1:32">
      <c r="A90" s="39" t="s">
        <v>1547</v>
      </c>
      <c r="B90" s="39" t="s">
        <v>1239</v>
      </c>
      <c r="C90" s="39" t="s">
        <v>1224</v>
      </c>
      <c r="D90" s="39" t="s">
        <v>1551</v>
      </c>
      <c r="E90" s="785" t="s">
        <v>1882</v>
      </c>
      <c r="F90" s="39">
        <v>4</v>
      </c>
      <c r="G90" s="39">
        <v>4</v>
      </c>
      <c r="H90" s="787">
        <v>0</v>
      </c>
      <c r="I90" s="787">
        <v>1</v>
      </c>
      <c r="J90" s="787">
        <v>0</v>
      </c>
      <c r="K90" s="787">
        <v>0</v>
      </c>
      <c r="L90" s="787">
        <v>0</v>
      </c>
      <c r="M90" s="787">
        <v>0</v>
      </c>
      <c r="N90" s="787">
        <v>0</v>
      </c>
      <c r="O90" s="787">
        <v>0</v>
      </c>
      <c r="P90" s="787">
        <v>0</v>
      </c>
      <c r="Q90" s="39">
        <v>4</v>
      </c>
      <c r="R90" s="39">
        <v>4</v>
      </c>
      <c r="S90" s="39">
        <v>4</v>
      </c>
      <c r="T90" s="39" t="s">
        <v>1554</v>
      </c>
      <c r="U90" s="39" t="s">
        <v>1276</v>
      </c>
      <c r="V90" s="39">
        <v>0</v>
      </c>
      <c r="W90" s="39">
        <v>0</v>
      </c>
      <c r="X90" s="39">
        <v>4</v>
      </c>
      <c r="Y90" s="39" t="s">
        <v>1291</v>
      </c>
      <c r="Z90" s="39" t="s">
        <v>1565</v>
      </c>
      <c r="AA90" s="39"/>
      <c r="AB90" s="39"/>
      <c r="AC90" s="39"/>
      <c r="AD90" s="39" t="s">
        <v>1556</v>
      </c>
      <c r="AE90" s="39">
        <v>400</v>
      </c>
      <c r="AF90" s="39" t="s">
        <v>283</v>
      </c>
    </row>
    <row r="91" spans="1:32">
      <c r="A91" s="39" t="s">
        <v>1548</v>
      </c>
      <c r="B91" s="39" t="s">
        <v>1241</v>
      </c>
      <c r="C91" s="39" t="s">
        <v>1224</v>
      </c>
      <c r="D91" s="39" t="s">
        <v>1413</v>
      </c>
      <c r="E91" s="785" t="s">
        <v>1882</v>
      </c>
      <c r="F91" s="39">
        <v>0</v>
      </c>
      <c r="G91" s="39">
        <v>0</v>
      </c>
      <c r="H91" s="787">
        <v>1</v>
      </c>
      <c r="I91" s="787">
        <v>0</v>
      </c>
      <c r="J91" s="787">
        <v>0</v>
      </c>
      <c r="K91" s="787">
        <v>0</v>
      </c>
      <c r="L91" s="787">
        <v>0</v>
      </c>
      <c r="M91" s="787">
        <v>0</v>
      </c>
      <c r="N91" s="787">
        <v>0</v>
      </c>
      <c r="O91" s="787">
        <v>0</v>
      </c>
      <c r="P91" s="787">
        <v>0</v>
      </c>
      <c r="Q91" s="39">
        <v>4</v>
      </c>
      <c r="R91" s="39">
        <v>4</v>
      </c>
      <c r="S91" s="39">
        <v>4</v>
      </c>
      <c r="T91" s="39" t="s">
        <v>1554</v>
      </c>
      <c r="U91" s="39" t="s">
        <v>1276</v>
      </c>
      <c r="V91" s="39">
        <v>0</v>
      </c>
      <c r="W91" s="39">
        <v>0</v>
      </c>
      <c r="X91" s="39">
        <v>4</v>
      </c>
      <c r="Y91" s="39" t="s">
        <v>1292</v>
      </c>
      <c r="Z91" s="39" t="s">
        <v>1423</v>
      </c>
      <c r="AA91" s="39"/>
      <c r="AB91" s="39"/>
      <c r="AC91" s="39"/>
      <c r="AD91" s="39" t="s">
        <v>1556</v>
      </c>
      <c r="AE91" s="39">
        <v>400</v>
      </c>
      <c r="AF91" s="39" t="s">
        <v>283</v>
      </c>
    </row>
    <row r="92" spans="1:32">
      <c r="A92" s="39" t="s">
        <v>1569</v>
      </c>
      <c r="B92" s="39" t="s">
        <v>1221</v>
      </c>
      <c r="C92" s="39" t="s">
        <v>1232</v>
      </c>
      <c r="D92" s="39" t="s">
        <v>1551</v>
      </c>
      <c r="E92" s="785" t="s">
        <v>1882</v>
      </c>
      <c r="F92" s="39">
        <v>4</v>
      </c>
      <c r="G92" s="39">
        <v>4</v>
      </c>
      <c r="H92" s="787">
        <v>0</v>
      </c>
      <c r="I92" s="787">
        <v>0</v>
      </c>
      <c r="J92" s="787">
        <v>0</v>
      </c>
      <c r="K92" s="787">
        <v>0</v>
      </c>
      <c r="L92" s="787">
        <v>0</v>
      </c>
      <c r="M92" s="787">
        <v>0</v>
      </c>
      <c r="N92" s="787">
        <v>0</v>
      </c>
      <c r="O92" s="787">
        <v>0</v>
      </c>
      <c r="P92" s="787">
        <v>0</v>
      </c>
      <c r="Q92" s="39">
        <v>4</v>
      </c>
      <c r="R92" s="39">
        <v>4</v>
      </c>
      <c r="S92" s="39">
        <v>4</v>
      </c>
      <c r="T92" s="39" t="s">
        <v>1581</v>
      </c>
      <c r="U92" s="39" t="s">
        <v>1276</v>
      </c>
      <c r="V92" s="39">
        <v>0</v>
      </c>
      <c r="W92" s="39">
        <v>0</v>
      </c>
      <c r="X92" s="39">
        <v>4</v>
      </c>
      <c r="Y92" s="39"/>
      <c r="Z92" s="39" t="s">
        <v>1603</v>
      </c>
      <c r="AA92" s="39"/>
      <c r="AB92" s="39"/>
      <c r="AC92" s="39"/>
      <c r="AD92" s="39" t="s">
        <v>1585</v>
      </c>
      <c r="AE92" s="39">
        <v>400</v>
      </c>
      <c r="AF92" s="39" t="s">
        <v>283</v>
      </c>
    </row>
    <row r="93" spans="1:32">
      <c r="A93" s="39" t="s">
        <v>1570</v>
      </c>
      <c r="B93" s="39" t="s">
        <v>1225</v>
      </c>
      <c r="C93" s="39" t="s">
        <v>1232</v>
      </c>
      <c r="D93" s="39" t="s">
        <v>1413</v>
      </c>
      <c r="E93" s="785" t="s">
        <v>1882</v>
      </c>
      <c r="F93" s="39">
        <v>4</v>
      </c>
      <c r="G93" s="39">
        <v>4</v>
      </c>
      <c r="H93" s="787">
        <v>0</v>
      </c>
      <c r="I93" s="787">
        <v>0</v>
      </c>
      <c r="J93" s="787">
        <v>0</v>
      </c>
      <c r="K93" s="787">
        <v>0</v>
      </c>
      <c r="L93" s="787">
        <v>0</v>
      </c>
      <c r="M93" s="787">
        <v>0</v>
      </c>
      <c r="N93" s="787">
        <v>0</v>
      </c>
      <c r="O93" s="787">
        <v>0</v>
      </c>
      <c r="P93" s="787">
        <v>0.2</v>
      </c>
      <c r="Q93" s="39">
        <v>4</v>
      </c>
      <c r="R93" s="39">
        <v>4</v>
      </c>
      <c r="S93" s="39">
        <v>4</v>
      </c>
      <c r="T93" s="39" t="s">
        <v>1582</v>
      </c>
      <c r="U93" s="39" t="s">
        <v>1276</v>
      </c>
      <c r="V93" s="39">
        <v>0</v>
      </c>
      <c r="W93" s="39">
        <v>0</v>
      </c>
      <c r="X93" s="39">
        <v>4</v>
      </c>
      <c r="Y93" s="39" t="s">
        <v>1595</v>
      </c>
      <c r="Z93" s="39"/>
      <c r="AA93" s="39"/>
      <c r="AB93" s="39"/>
      <c r="AC93" s="39"/>
      <c r="AD93" s="39" t="s">
        <v>1586</v>
      </c>
      <c r="AE93" s="39">
        <v>400</v>
      </c>
      <c r="AF93" s="39" t="s">
        <v>283</v>
      </c>
    </row>
    <row r="94" spans="1:32">
      <c r="A94" s="39" t="s">
        <v>1571</v>
      </c>
      <c r="B94" s="39" t="s">
        <v>1227</v>
      </c>
      <c r="C94" s="39" t="s">
        <v>1232</v>
      </c>
      <c r="D94" s="39" t="s">
        <v>1413</v>
      </c>
      <c r="E94" s="785" t="s">
        <v>1882</v>
      </c>
      <c r="F94" s="39">
        <v>4</v>
      </c>
      <c r="G94" s="39">
        <v>4</v>
      </c>
      <c r="H94" s="787">
        <v>0</v>
      </c>
      <c r="I94" s="787">
        <v>0</v>
      </c>
      <c r="J94" s="787">
        <v>0</v>
      </c>
      <c r="K94" s="787">
        <v>0.2</v>
      </c>
      <c r="L94" s="787">
        <v>0</v>
      </c>
      <c r="M94" s="787">
        <v>0</v>
      </c>
      <c r="N94" s="787">
        <v>0</v>
      </c>
      <c r="O94" s="787">
        <v>0</v>
      </c>
      <c r="P94" s="787">
        <v>0</v>
      </c>
      <c r="Q94" s="39">
        <v>4</v>
      </c>
      <c r="R94" s="39">
        <v>4</v>
      </c>
      <c r="S94" s="39">
        <v>4</v>
      </c>
      <c r="T94" s="39" t="s">
        <v>1581</v>
      </c>
      <c r="U94" s="39" t="s">
        <v>1276</v>
      </c>
      <c r="V94" s="39">
        <v>0</v>
      </c>
      <c r="W94" s="39">
        <v>0</v>
      </c>
      <c r="X94" s="39">
        <v>4</v>
      </c>
      <c r="Y94" s="39" t="s">
        <v>1596</v>
      </c>
      <c r="Z94" s="39" t="s">
        <v>1603</v>
      </c>
      <c r="AA94" s="39"/>
      <c r="AB94" s="39"/>
      <c r="AC94" s="39"/>
      <c r="AD94" s="39" t="s">
        <v>6509</v>
      </c>
      <c r="AE94" s="39">
        <v>400</v>
      </c>
      <c r="AF94" s="39" t="s">
        <v>283</v>
      </c>
    </row>
    <row r="95" spans="1:32">
      <c r="A95" s="39" t="s">
        <v>1572</v>
      </c>
      <c r="B95" s="39" t="s">
        <v>1229</v>
      </c>
      <c r="C95" s="39" t="s">
        <v>1232</v>
      </c>
      <c r="D95" s="39" t="s">
        <v>1413</v>
      </c>
      <c r="E95" s="39" t="s">
        <v>1551</v>
      </c>
      <c r="F95" s="39">
        <v>4</v>
      </c>
      <c r="G95" s="39">
        <v>4</v>
      </c>
      <c r="H95" s="787">
        <v>0</v>
      </c>
      <c r="I95" s="787">
        <v>0</v>
      </c>
      <c r="J95" s="787">
        <v>0</v>
      </c>
      <c r="K95" s="787">
        <v>0</v>
      </c>
      <c r="L95" s="787">
        <v>0</v>
      </c>
      <c r="M95" s="787">
        <v>0</v>
      </c>
      <c r="N95" s="787">
        <v>0.2</v>
      </c>
      <c r="O95" s="787">
        <v>0</v>
      </c>
      <c r="P95" s="787">
        <v>0</v>
      </c>
      <c r="Q95" s="39">
        <v>4</v>
      </c>
      <c r="R95" s="39">
        <v>4</v>
      </c>
      <c r="S95" s="39">
        <v>4</v>
      </c>
      <c r="T95" s="39" t="s">
        <v>1583</v>
      </c>
      <c r="U95" s="39" t="s">
        <v>1276</v>
      </c>
      <c r="V95" s="39">
        <v>0</v>
      </c>
      <c r="W95" s="39">
        <v>0</v>
      </c>
      <c r="X95" s="39">
        <v>4</v>
      </c>
      <c r="Y95" s="39" t="s">
        <v>1516</v>
      </c>
      <c r="Z95" s="39" t="s">
        <v>1604</v>
      </c>
      <c r="AA95" s="39" t="s">
        <v>1609</v>
      </c>
      <c r="AB95" s="39"/>
      <c r="AC95" s="39"/>
      <c r="AD95" s="39" t="s">
        <v>6510</v>
      </c>
      <c r="AE95" s="39">
        <v>400</v>
      </c>
      <c r="AF95" s="39" t="s">
        <v>283</v>
      </c>
    </row>
    <row r="96" spans="1:32">
      <c r="A96" s="39" t="s">
        <v>1573</v>
      </c>
      <c r="B96" s="39" t="s">
        <v>1231</v>
      </c>
      <c r="C96" s="39" t="s">
        <v>1232</v>
      </c>
      <c r="D96" s="39" t="s">
        <v>1413</v>
      </c>
      <c r="E96" s="39" t="s">
        <v>1413</v>
      </c>
      <c r="F96" s="39">
        <v>4</v>
      </c>
      <c r="G96" s="39">
        <v>4</v>
      </c>
      <c r="H96" s="787">
        <v>0</v>
      </c>
      <c r="I96" s="787">
        <v>0</v>
      </c>
      <c r="J96" s="787">
        <v>0</v>
      </c>
      <c r="K96" s="787">
        <v>0</v>
      </c>
      <c r="L96" s="787">
        <v>0</v>
      </c>
      <c r="M96" s="787">
        <v>0</v>
      </c>
      <c r="N96" s="787">
        <v>0</v>
      </c>
      <c r="O96" s="787">
        <v>0</v>
      </c>
      <c r="P96" s="787">
        <v>0</v>
      </c>
      <c r="Q96" s="39">
        <v>4</v>
      </c>
      <c r="R96" s="39">
        <v>4</v>
      </c>
      <c r="S96" s="39">
        <v>4</v>
      </c>
      <c r="T96" s="39" t="s">
        <v>1584</v>
      </c>
      <c r="U96" s="39" t="s">
        <v>1276</v>
      </c>
      <c r="V96" s="39">
        <v>0</v>
      </c>
      <c r="W96" s="39">
        <v>0</v>
      </c>
      <c r="X96" s="39">
        <v>4</v>
      </c>
      <c r="Y96" s="39" t="s">
        <v>1597</v>
      </c>
      <c r="Z96" s="39" t="s">
        <v>1605</v>
      </c>
      <c r="AA96" s="39" t="s">
        <v>1610</v>
      </c>
      <c r="AB96" s="39"/>
      <c r="AC96" s="39"/>
      <c r="AD96" s="39" t="s">
        <v>6511</v>
      </c>
      <c r="AE96" s="39">
        <v>400</v>
      </c>
      <c r="AF96" s="39" t="s">
        <v>283</v>
      </c>
    </row>
    <row r="97" spans="1:32">
      <c r="A97" s="39" t="s">
        <v>1574</v>
      </c>
      <c r="B97" s="39" t="s">
        <v>1233</v>
      </c>
      <c r="C97" s="39" t="s">
        <v>1232</v>
      </c>
      <c r="D97" s="39" t="s">
        <v>1413</v>
      </c>
      <c r="E97" s="39" t="s">
        <v>1580</v>
      </c>
      <c r="F97" s="39">
        <v>4</v>
      </c>
      <c r="G97" s="39">
        <v>4</v>
      </c>
      <c r="H97" s="787">
        <v>0</v>
      </c>
      <c r="I97" s="787">
        <v>0</v>
      </c>
      <c r="J97" s="787">
        <v>0</v>
      </c>
      <c r="K97" s="787">
        <v>0</v>
      </c>
      <c r="L97" s="787">
        <v>0</v>
      </c>
      <c r="M97" s="787">
        <v>0</v>
      </c>
      <c r="N97" s="787">
        <v>0</v>
      </c>
      <c r="O97" s="787">
        <v>0.2</v>
      </c>
      <c r="P97" s="787">
        <v>0</v>
      </c>
      <c r="Q97" s="39">
        <v>4</v>
      </c>
      <c r="R97" s="39">
        <v>4</v>
      </c>
      <c r="S97" s="39">
        <v>4</v>
      </c>
      <c r="T97" s="39"/>
      <c r="U97" s="39" t="s">
        <v>1276</v>
      </c>
      <c r="V97" s="39">
        <v>0</v>
      </c>
      <c r="W97" s="39">
        <v>0</v>
      </c>
      <c r="X97" s="39">
        <v>4</v>
      </c>
      <c r="Y97" s="39" t="s">
        <v>1598</v>
      </c>
      <c r="Z97" s="39" t="s">
        <v>1606</v>
      </c>
      <c r="AA97" s="39" t="s">
        <v>1611</v>
      </c>
      <c r="AB97" s="39"/>
      <c r="AC97" s="39"/>
      <c r="AD97" s="39" t="s">
        <v>1590</v>
      </c>
      <c r="AE97" s="39">
        <v>400</v>
      </c>
      <c r="AF97" s="39" t="s">
        <v>283</v>
      </c>
    </row>
    <row r="98" spans="1:32">
      <c r="A98" s="39" t="s">
        <v>1575</v>
      </c>
      <c r="B98" s="39" t="s">
        <v>1235</v>
      </c>
      <c r="C98" s="39" t="s">
        <v>1232</v>
      </c>
      <c r="D98" s="39" t="s">
        <v>1413</v>
      </c>
      <c r="E98" s="785" t="s">
        <v>1882</v>
      </c>
      <c r="F98" s="39">
        <v>4</v>
      </c>
      <c r="G98" s="39">
        <v>4</v>
      </c>
      <c r="H98" s="787">
        <v>0</v>
      </c>
      <c r="I98" s="787">
        <v>0</v>
      </c>
      <c r="J98" s="787">
        <v>0.2</v>
      </c>
      <c r="K98" s="787">
        <v>0</v>
      </c>
      <c r="L98" s="787">
        <v>0</v>
      </c>
      <c r="M98" s="787">
        <v>0</v>
      </c>
      <c r="N98" s="787">
        <v>0</v>
      </c>
      <c r="O98" s="787">
        <v>0</v>
      </c>
      <c r="P98" s="787">
        <v>0</v>
      </c>
      <c r="Q98" s="39">
        <v>4</v>
      </c>
      <c r="R98" s="39">
        <v>4</v>
      </c>
      <c r="S98" s="39">
        <v>4</v>
      </c>
      <c r="T98" s="39" t="s">
        <v>1581</v>
      </c>
      <c r="U98" s="39" t="s">
        <v>1276</v>
      </c>
      <c r="V98" s="39">
        <v>0</v>
      </c>
      <c r="W98" s="39">
        <v>0</v>
      </c>
      <c r="X98" s="39">
        <v>4</v>
      </c>
      <c r="Y98" s="39" t="s">
        <v>1599</v>
      </c>
      <c r="Z98" s="39" t="s">
        <v>1607</v>
      </c>
      <c r="AA98" s="39"/>
      <c r="AB98" s="39"/>
      <c r="AC98" s="39"/>
      <c r="AD98" s="39" t="s">
        <v>6512</v>
      </c>
      <c r="AE98" s="39">
        <v>400</v>
      </c>
      <c r="AF98" s="39" t="s">
        <v>283</v>
      </c>
    </row>
    <row r="99" spans="1:32">
      <c r="A99" s="39" t="s">
        <v>1576</v>
      </c>
      <c r="B99" s="39" t="s">
        <v>1237</v>
      </c>
      <c r="C99" s="39" t="s">
        <v>1232</v>
      </c>
      <c r="D99" s="39" t="s">
        <v>1413</v>
      </c>
      <c r="E99" s="785" t="s">
        <v>1882</v>
      </c>
      <c r="F99" s="39">
        <v>6</v>
      </c>
      <c r="G99" s="39">
        <v>4</v>
      </c>
      <c r="H99" s="787">
        <v>0</v>
      </c>
      <c r="I99" s="787">
        <v>0</v>
      </c>
      <c r="J99" s="787">
        <v>0</v>
      </c>
      <c r="K99" s="787">
        <v>0</v>
      </c>
      <c r="L99" s="787">
        <v>0</v>
      </c>
      <c r="M99" s="787">
        <v>0.2</v>
      </c>
      <c r="N99" s="787">
        <v>0</v>
      </c>
      <c r="O99" s="787">
        <v>0</v>
      </c>
      <c r="P99" s="787">
        <v>0</v>
      </c>
      <c r="Q99" s="39">
        <v>4</v>
      </c>
      <c r="R99" s="39">
        <v>4</v>
      </c>
      <c r="S99" s="39">
        <v>4</v>
      </c>
      <c r="T99" s="39" t="s">
        <v>1581</v>
      </c>
      <c r="U99" s="39" t="s">
        <v>1276</v>
      </c>
      <c r="V99" s="39">
        <v>0</v>
      </c>
      <c r="W99" s="39">
        <v>0</v>
      </c>
      <c r="X99" s="39">
        <v>4</v>
      </c>
      <c r="Y99" s="39" t="s">
        <v>1600</v>
      </c>
      <c r="Z99" s="39" t="s">
        <v>1608</v>
      </c>
      <c r="AA99" s="39"/>
      <c r="AB99" s="39"/>
      <c r="AC99" s="39"/>
      <c r="AD99" s="39" t="s">
        <v>6513</v>
      </c>
      <c r="AE99" s="39">
        <v>400</v>
      </c>
      <c r="AF99" s="39" t="s">
        <v>283</v>
      </c>
    </row>
    <row r="100" spans="1:32">
      <c r="A100" s="39" t="s">
        <v>1577</v>
      </c>
      <c r="B100" s="39" t="s">
        <v>1239</v>
      </c>
      <c r="C100" s="39" t="s">
        <v>1232</v>
      </c>
      <c r="D100" s="39" t="s">
        <v>1365</v>
      </c>
      <c r="E100" s="785" t="s">
        <v>1882</v>
      </c>
      <c r="F100" s="39">
        <v>0</v>
      </c>
      <c r="G100" s="39">
        <v>0</v>
      </c>
      <c r="H100" s="787">
        <v>0</v>
      </c>
      <c r="I100" s="787">
        <v>0.2</v>
      </c>
      <c r="J100" s="787">
        <v>0</v>
      </c>
      <c r="K100" s="787">
        <v>0</v>
      </c>
      <c r="L100" s="787">
        <v>0</v>
      </c>
      <c r="M100" s="787">
        <v>0</v>
      </c>
      <c r="N100" s="787">
        <v>0</v>
      </c>
      <c r="O100" s="787">
        <v>0</v>
      </c>
      <c r="P100" s="787">
        <v>0</v>
      </c>
      <c r="Q100" s="39">
        <v>4</v>
      </c>
      <c r="R100" s="39">
        <v>4</v>
      </c>
      <c r="S100" s="39">
        <v>4</v>
      </c>
      <c r="T100" s="39" t="s">
        <v>1581</v>
      </c>
      <c r="U100" s="39" t="s">
        <v>1276</v>
      </c>
      <c r="V100" s="39">
        <v>0</v>
      </c>
      <c r="W100" s="39">
        <v>0</v>
      </c>
      <c r="X100" s="39">
        <v>4</v>
      </c>
      <c r="Y100" s="39" t="s">
        <v>1601</v>
      </c>
      <c r="Z100" s="39"/>
      <c r="AA100" s="39"/>
      <c r="AB100" s="39"/>
      <c r="AC100" s="39"/>
      <c r="AD100" s="39" t="s">
        <v>6514</v>
      </c>
      <c r="AE100" s="39">
        <v>400</v>
      </c>
      <c r="AF100" s="39" t="s">
        <v>283</v>
      </c>
    </row>
    <row r="101" spans="1:32">
      <c r="A101" s="39" t="s">
        <v>1578</v>
      </c>
      <c r="B101" s="39" t="s">
        <v>1241</v>
      </c>
      <c r="C101" s="39" t="s">
        <v>1232</v>
      </c>
      <c r="D101" s="39" t="s">
        <v>1413</v>
      </c>
      <c r="E101" s="785" t="s">
        <v>1882</v>
      </c>
      <c r="F101" s="39">
        <v>4</v>
      </c>
      <c r="G101" s="39">
        <v>4</v>
      </c>
      <c r="H101" s="787">
        <v>0.2</v>
      </c>
      <c r="I101" s="787">
        <v>0</v>
      </c>
      <c r="J101" s="787">
        <v>0</v>
      </c>
      <c r="K101" s="787">
        <v>0</v>
      </c>
      <c r="L101" s="787">
        <v>0</v>
      </c>
      <c r="M101" s="787">
        <v>0</v>
      </c>
      <c r="N101" s="787">
        <v>0</v>
      </c>
      <c r="O101" s="787">
        <v>0</v>
      </c>
      <c r="P101" s="787">
        <v>0</v>
      </c>
      <c r="Q101" s="39">
        <v>4</v>
      </c>
      <c r="R101" s="39">
        <v>4</v>
      </c>
      <c r="S101" s="39">
        <v>4</v>
      </c>
      <c r="T101" s="39" t="s">
        <v>1581</v>
      </c>
      <c r="U101" s="39" t="s">
        <v>1276</v>
      </c>
      <c r="V101" s="39">
        <v>0</v>
      </c>
      <c r="W101" s="39">
        <v>0</v>
      </c>
      <c r="X101" s="39">
        <v>4</v>
      </c>
      <c r="Y101" s="39" t="s">
        <v>1423</v>
      </c>
      <c r="Z101" s="39" t="s">
        <v>1603</v>
      </c>
      <c r="AA101" s="39"/>
      <c r="AB101" s="39"/>
      <c r="AC101" s="39"/>
      <c r="AD101" s="39" t="s">
        <v>6515</v>
      </c>
      <c r="AE101" s="39">
        <v>400</v>
      </c>
      <c r="AF101" s="39" t="s">
        <v>283</v>
      </c>
    </row>
    <row r="102" spans="1:32">
      <c r="A102" s="39" t="s">
        <v>1612</v>
      </c>
      <c r="B102" s="39" t="s">
        <v>1221</v>
      </c>
      <c r="C102" s="39" t="s">
        <v>1232</v>
      </c>
      <c r="D102" s="39" t="s">
        <v>1623</v>
      </c>
      <c r="E102" s="39" t="s">
        <v>1551</v>
      </c>
      <c r="F102" s="39">
        <v>4</v>
      </c>
      <c r="G102" s="39">
        <v>4</v>
      </c>
      <c r="H102" s="787">
        <v>-0.4</v>
      </c>
      <c r="I102" s="787">
        <v>0.4</v>
      </c>
      <c r="J102" s="787">
        <v>-0.3</v>
      </c>
      <c r="K102" s="787">
        <v>-0.3</v>
      </c>
      <c r="L102" s="787">
        <v>0.3</v>
      </c>
      <c r="M102" s="787">
        <v>-0.8</v>
      </c>
      <c r="N102" s="787">
        <v>0.6</v>
      </c>
      <c r="O102" s="787">
        <v>-0.3</v>
      </c>
      <c r="P102" s="787">
        <v>0</v>
      </c>
      <c r="Q102" s="39">
        <v>4</v>
      </c>
      <c r="R102" s="39">
        <v>4</v>
      </c>
      <c r="S102" s="39">
        <v>4</v>
      </c>
      <c r="T102" s="39" t="s">
        <v>1625</v>
      </c>
      <c r="U102" s="39" t="s">
        <v>1276</v>
      </c>
      <c r="V102" s="39">
        <v>0</v>
      </c>
      <c r="W102" s="39">
        <v>0</v>
      </c>
      <c r="X102" s="39">
        <v>4</v>
      </c>
      <c r="Y102" s="39" t="s">
        <v>1425</v>
      </c>
      <c r="Z102" s="39" t="s">
        <v>1648</v>
      </c>
      <c r="AA102" s="39" t="s">
        <v>1658</v>
      </c>
      <c r="AB102" s="39"/>
      <c r="AC102" s="39"/>
      <c r="AD102" s="39" t="s">
        <v>1632</v>
      </c>
      <c r="AE102" s="39">
        <v>400</v>
      </c>
      <c r="AF102" s="39" t="s">
        <v>283</v>
      </c>
    </row>
    <row r="103" spans="1:32">
      <c r="A103" s="39" t="s">
        <v>1613</v>
      </c>
      <c r="B103" s="39" t="s">
        <v>1225</v>
      </c>
      <c r="C103" s="39" t="s">
        <v>1232</v>
      </c>
      <c r="D103" s="39" t="s">
        <v>1552</v>
      </c>
      <c r="E103" s="785" t="s">
        <v>1882</v>
      </c>
      <c r="F103" s="39">
        <v>5</v>
      </c>
      <c r="G103" s="39">
        <v>2</v>
      </c>
      <c r="H103" s="787">
        <v>0</v>
      </c>
      <c r="I103" s="787">
        <v>0</v>
      </c>
      <c r="J103" s="787">
        <v>0</v>
      </c>
      <c r="K103" s="787">
        <v>0</v>
      </c>
      <c r="L103" s="787">
        <v>0</v>
      </c>
      <c r="M103" s="787">
        <v>0</v>
      </c>
      <c r="N103" s="787">
        <v>0</v>
      </c>
      <c r="O103" s="787">
        <v>0</v>
      </c>
      <c r="P103" s="787">
        <v>0</v>
      </c>
      <c r="Q103" s="39">
        <v>4</v>
      </c>
      <c r="R103" s="39">
        <v>4</v>
      </c>
      <c r="S103" s="39">
        <v>4</v>
      </c>
      <c r="T103" s="39" t="s">
        <v>1626</v>
      </c>
      <c r="U103" s="39" t="s">
        <v>1276</v>
      </c>
      <c r="V103" s="39">
        <v>0</v>
      </c>
      <c r="W103" s="39">
        <v>0</v>
      </c>
      <c r="X103" s="39">
        <v>4</v>
      </c>
      <c r="Y103" s="39" t="s">
        <v>1642</v>
      </c>
      <c r="Z103" s="39" t="s">
        <v>1649</v>
      </c>
      <c r="AA103" s="39"/>
      <c r="AB103" s="39"/>
      <c r="AC103" s="39"/>
      <c r="AD103" s="39" t="s">
        <v>1633</v>
      </c>
      <c r="AE103" s="39">
        <v>400</v>
      </c>
      <c r="AF103" s="39" t="s">
        <v>283</v>
      </c>
    </row>
    <row r="104" spans="1:32">
      <c r="A104" s="39" t="s">
        <v>1614</v>
      </c>
      <c r="B104" s="39" t="s">
        <v>1227</v>
      </c>
      <c r="C104" s="39" t="s">
        <v>1232</v>
      </c>
      <c r="D104" s="39" t="s">
        <v>1551</v>
      </c>
      <c r="E104" s="39" t="s">
        <v>1551</v>
      </c>
      <c r="F104" s="39">
        <v>4</v>
      </c>
      <c r="G104" s="39">
        <v>4</v>
      </c>
      <c r="H104" s="787">
        <v>0</v>
      </c>
      <c r="I104" s="787">
        <v>0</v>
      </c>
      <c r="J104" s="787">
        <v>-0.4</v>
      </c>
      <c r="K104" s="787">
        <v>0.2</v>
      </c>
      <c r="L104" s="787">
        <v>0</v>
      </c>
      <c r="M104" s="787">
        <v>0</v>
      </c>
      <c r="N104" s="787">
        <v>0</v>
      </c>
      <c r="O104" s="787">
        <v>0</v>
      </c>
      <c r="P104" s="787">
        <v>0</v>
      </c>
      <c r="Q104" s="39">
        <v>4</v>
      </c>
      <c r="R104" s="39">
        <v>4</v>
      </c>
      <c r="S104" s="39">
        <v>4</v>
      </c>
      <c r="T104" s="39" t="s">
        <v>1627</v>
      </c>
      <c r="U104" s="39" t="s">
        <v>1276</v>
      </c>
      <c r="V104" s="39">
        <v>0</v>
      </c>
      <c r="W104" s="39">
        <v>0</v>
      </c>
      <c r="X104" s="39">
        <v>4</v>
      </c>
      <c r="Y104" s="39" t="s">
        <v>1643</v>
      </c>
      <c r="Z104" s="39" t="s">
        <v>1650</v>
      </c>
      <c r="AA104" s="39"/>
      <c r="AB104" s="39"/>
      <c r="AC104" s="39"/>
      <c r="AD104" s="39" t="s">
        <v>1634</v>
      </c>
      <c r="AE104" s="39">
        <v>400</v>
      </c>
      <c r="AF104" s="39" t="s">
        <v>283</v>
      </c>
    </row>
    <row r="105" spans="1:32">
      <c r="A105" s="39" t="s">
        <v>1615</v>
      </c>
      <c r="B105" s="39" t="s">
        <v>1229</v>
      </c>
      <c r="C105" s="39" t="s">
        <v>1232</v>
      </c>
      <c r="D105" s="39" t="s">
        <v>1551</v>
      </c>
      <c r="E105" s="39" t="s">
        <v>1551</v>
      </c>
      <c r="F105" s="39">
        <v>4</v>
      </c>
      <c r="G105" s="39">
        <v>4</v>
      </c>
      <c r="H105" s="787">
        <v>0</v>
      </c>
      <c r="I105" s="787">
        <v>0</v>
      </c>
      <c r="J105" s="787">
        <v>0</v>
      </c>
      <c r="K105" s="787">
        <v>-0.7</v>
      </c>
      <c r="L105" s="787">
        <v>0</v>
      </c>
      <c r="M105" s="787">
        <v>0</v>
      </c>
      <c r="N105" s="787">
        <v>0.2</v>
      </c>
      <c r="O105" s="787">
        <v>0</v>
      </c>
      <c r="P105" s="787">
        <v>0</v>
      </c>
      <c r="Q105" s="39">
        <v>4</v>
      </c>
      <c r="R105" s="39">
        <v>4</v>
      </c>
      <c r="S105" s="39">
        <v>4</v>
      </c>
      <c r="T105" s="39" t="s">
        <v>1627</v>
      </c>
      <c r="U105" s="39" t="s">
        <v>1276</v>
      </c>
      <c r="V105" s="39">
        <v>0</v>
      </c>
      <c r="W105" s="39">
        <v>0</v>
      </c>
      <c r="X105" s="39">
        <v>4</v>
      </c>
      <c r="Y105" s="39" t="s">
        <v>1644</v>
      </c>
      <c r="Z105" s="39" t="s">
        <v>1651</v>
      </c>
      <c r="AA105" s="39"/>
      <c r="AB105" s="39"/>
      <c r="AC105" s="39"/>
      <c r="AD105" s="39" t="s">
        <v>1635</v>
      </c>
      <c r="AE105" s="39">
        <v>400</v>
      </c>
      <c r="AF105" s="39" t="s">
        <v>283</v>
      </c>
    </row>
    <row r="106" spans="1:32">
      <c r="A106" s="39" t="s">
        <v>1616</v>
      </c>
      <c r="B106" s="39" t="s">
        <v>1231</v>
      </c>
      <c r="C106" s="39" t="s">
        <v>1232</v>
      </c>
      <c r="D106" s="39" t="s">
        <v>1551</v>
      </c>
      <c r="E106" s="39" t="s">
        <v>1551</v>
      </c>
      <c r="F106" s="39">
        <v>4</v>
      </c>
      <c r="G106" s="39">
        <v>4</v>
      </c>
      <c r="H106" s="787">
        <v>0.2</v>
      </c>
      <c r="I106" s="787">
        <v>0</v>
      </c>
      <c r="J106" s="787">
        <v>-0.1</v>
      </c>
      <c r="K106" s="787">
        <v>-0.6</v>
      </c>
      <c r="L106" s="787">
        <v>0.2</v>
      </c>
      <c r="M106" s="787">
        <v>0.2</v>
      </c>
      <c r="N106" s="787">
        <v>-0.6</v>
      </c>
      <c r="O106" s="787">
        <v>0</v>
      </c>
      <c r="P106" s="787">
        <v>0.2</v>
      </c>
      <c r="Q106" s="39">
        <v>4</v>
      </c>
      <c r="R106" s="39">
        <v>4</v>
      </c>
      <c r="S106" s="39">
        <v>4</v>
      </c>
      <c r="T106" s="39" t="s">
        <v>1628</v>
      </c>
      <c r="U106" s="39" t="s">
        <v>1276</v>
      </c>
      <c r="V106" s="39">
        <v>0</v>
      </c>
      <c r="W106" s="39">
        <v>0</v>
      </c>
      <c r="X106" s="39">
        <v>4</v>
      </c>
      <c r="Y106" s="39" t="s">
        <v>1645</v>
      </c>
      <c r="Z106" s="39" t="s">
        <v>1652</v>
      </c>
      <c r="AA106" s="39"/>
      <c r="AB106" s="39"/>
      <c r="AC106" s="39"/>
      <c r="AD106" s="39" t="s">
        <v>1632</v>
      </c>
      <c r="AE106" s="39">
        <v>400</v>
      </c>
      <c r="AF106" s="39" t="s">
        <v>283</v>
      </c>
    </row>
    <row r="107" spans="1:32">
      <c r="A107" s="39" t="s">
        <v>1617</v>
      </c>
      <c r="B107" s="39" t="s">
        <v>1233</v>
      </c>
      <c r="C107" s="39" t="s">
        <v>1232</v>
      </c>
      <c r="D107" s="39" t="s">
        <v>1551</v>
      </c>
      <c r="E107" s="39" t="s">
        <v>1551</v>
      </c>
      <c r="F107" s="39">
        <v>4</v>
      </c>
      <c r="G107" s="39">
        <v>4</v>
      </c>
      <c r="H107" s="787">
        <v>0</v>
      </c>
      <c r="I107" s="787">
        <v>0</v>
      </c>
      <c r="J107" s="787">
        <v>0</v>
      </c>
      <c r="K107" s="787">
        <v>0</v>
      </c>
      <c r="L107" s="787">
        <v>-0.8</v>
      </c>
      <c r="M107" s="787">
        <v>0</v>
      </c>
      <c r="N107" s="787">
        <v>0</v>
      </c>
      <c r="O107" s="787">
        <v>0.3</v>
      </c>
      <c r="P107" s="787">
        <v>0</v>
      </c>
      <c r="Q107" s="39">
        <v>4</v>
      </c>
      <c r="R107" s="39">
        <v>4</v>
      </c>
      <c r="S107" s="39">
        <v>4</v>
      </c>
      <c r="T107" s="39" t="s">
        <v>1627</v>
      </c>
      <c r="U107" s="39" t="s">
        <v>1276</v>
      </c>
      <c r="V107" s="39">
        <v>0</v>
      </c>
      <c r="W107" s="39">
        <v>0</v>
      </c>
      <c r="X107" s="39">
        <v>4</v>
      </c>
      <c r="Y107" s="39" t="s">
        <v>1643</v>
      </c>
      <c r="Z107" s="39" t="s">
        <v>1653</v>
      </c>
      <c r="AA107" s="39"/>
      <c r="AB107" s="39"/>
      <c r="AC107" s="39"/>
      <c r="AD107" s="39" t="s">
        <v>1636</v>
      </c>
      <c r="AE107" s="39">
        <v>400</v>
      </c>
      <c r="AF107" s="39" t="s">
        <v>283</v>
      </c>
    </row>
    <row r="108" spans="1:32">
      <c r="A108" s="39" t="s">
        <v>1618</v>
      </c>
      <c r="B108" s="39" t="s">
        <v>1235</v>
      </c>
      <c r="C108" s="39" t="s">
        <v>1232</v>
      </c>
      <c r="D108" s="39" t="s">
        <v>1551</v>
      </c>
      <c r="E108" s="39" t="s">
        <v>1551</v>
      </c>
      <c r="F108" s="39">
        <v>4</v>
      </c>
      <c r="G108" s="39">
        <v>4</v>
      </c>
      <c r="H108" s="787">
        <v>0</v>
      </c>
      <c r="I108" s="787">
        <v>0</v>
      </c>
      <c r="J108" s="787">
        <v>0.8</v>
      </c>
      <c r="K108" s="787">
        <v>-0.8</v>
      </c>
      <c r="L108" s="787">
        <v>0.3</v>
      </c>
      <c r="M108" s="787">
        <v>0</v>
      </c>
      <c r="N108" s="787">
        <v>-0.2</v>
      </c>
      <c r="O108" s="787">
        <v>-0.2</v>
      </c>
      <c r="P108" s="787">
        <v>0</v>
      </c>
      <c r="Q108" s="39">
        <v>4</v>
      </c>
      <c r="R108" s="39">
        <v>4</v>
      </c>
      <c r="S108" s="39">
        <v>4</v>
      </c>
      <c r="T108" s="39" t="s">
        <v>1629</v>
      </c>
      <c r="U108" s="39" t="s">
        <v>1276</v>
      </c>
      <c r="V108" s="39">
        <v>0</v>
      </c>
      <c r="W108" s="39">
        <v>0</v>
      </c>
      <c r="X108" s="39">
        <v>4</v>
      </c>
      <c r="Y108" s="39" t="s">
        <v>1645</v>
      </c>
      <c r="Z108" s="39" t="s">
        <v>1654</v>
      </c>
      <c r="AA108" s="39"/>
      <c r="AB108" s="39"/>
      <c r="AC108" s="39"/>
      <c r="AD108" s="39" t="s">
        <v>1637</v>
      </c>
      <c r="AE108" s="39">
        <v>400</v>
      </c>
      <c r="AF108" s="39" t="s">
        <v>283</v>
      </c>
    </row>
    <row r="109" spans="1:32">
      <c r="A109" s="39" t="s">
        <v>1619</v>
      </c>
      <c r="B109" s="39" t="s">
        <v>1237</v>
      </c>
      <c r="C109" s="39" t="s">
        <v>1232</v>
      </c>
      <c r="D109" s="39" t="s">
        <v>1624</v>
      </c>
      <c r="E109" s="785" t="s">
        <v>1882</v>
      </c>
      <c r="F109" s="39">
        <v>5</v>
      </c>
      <c r="G109" s="39">
        <v>4</v>
      </c>
      <c r="H109" s="787">
        <v>0</v>
      </c>
      <c r="I109" s="787">
        <v>0</v>
      </c>
      <c r="J109" s="787">
        <v>0</v>
      </c>
      <c r="K109" s="787">
        <v>0</v>
      </c>
      <c r="L109" s="787">
        <v>0</v>
      </c>
      <c r="M109" s="787">
        <v>0.2</v>
      </c>
      <c r="N109" s="787">
        <v>0</v>
      </c>
      <c r="O109" s="787">
        <v>0</v>
      </c>
      <c r="P109" s="787">
        <v>0</v>
      </c>
      <c r="Q109" s="39">
        <v>4</v>
      </c>
      <c r="R109" s="39">
        <v>4</v>
      </c>
      <c r="S109" s="39">
        <v>4</v>
      </c>
      <c r="T109" s="39" t="s">
        <v>1630</v>
      </c>
      <c r="U109" s="39" t="s">
        <v>1276</v>
      </c>
      <c r="V109" s="39">
        <v>0</v>
      </c>
      <c r="W109" s="39">
        <v>0</v>
      </c>
      <c r="X109" s="39">
        <v>4</v>
      </c>
      <c r="Y109" s="39"/>
      <c r="Z109" s="39"/>
      <c r="AA109" s="39"/>
      <c r="AB109" s="39"/>
      <c r="AC109" s="39"/>
      <c r="AD109" s="39" t="s">
        <v>1638</v>
      </c>
      <c r="AE109" s="39">
        <v>400</v>
      </c>
      <c r="AF109" s="39" t="s">
        <v>283</v>
      </c>
    </row>
    <row r="110" spans="1:32">
      <c r="A110" s="39" t="s">
        <v>1620</v>
      </c>
      <c r="B110" s="39" t="s">
        <v>1239</v>
      </c>
      <c r="C110" s="39" t="s">
        <v>1232</v>
      </c>
      <c r="D110" s="39" t="s">
        <v>1551</v>
      </c>
      <c r="E110" s="39" t="s">
        <v>1551</v>
      </c>
      <c r="F110" s="39">
        <v>4</v>
      </c>
      <c r="G110" s="39">
        <v>4</v>
      </c>
      <c r="H110" s="787">
        <v>0</v>
      </c>
      <c r="I110" s="787">
        <v>0</v>
      </c>
      <c r="J110" s="787">
        <v>-0.4</v>
      </c>
      <c r="K110" s="787">
        <v>0</v>
      </c>
      <c r="L110" s="787">
        <v>0</v>
      </c>
      <c r="M110" s="787">
        <v>0</v>
      </c>
      <c r="N110" s="787">
        <v>0</v>
      </c>
      <c r="O110" s="787">
        <v>0</v>
      </c>
      <c r="P110" s="787">
        <v>0.3</v>
      </c>
      <c r="Q110" s="39">
        <v>4</v>
      </c>
      <c r="R110" s="39">
        <v>4</v>
      </c>
      <c r="S110" s="39">
        <v>4</v>
      </c>
      <c r="T110" s="39" t="s">
        <v>1627</v>
      </c>
      <c r="U110" s="39" t="s">
        <v>1276</v>
      </c>
      <c r="V110" s="39">
        <v>0</v>
      </c>
      <c r="W110" s="39">
        <v>0</v>
      </c>
      <c r="X110" s="39">
        <v>4</v>
      </c>
      <c r="Y110" s="39" t="s">
        <v>1646</v>
      </c>
      <c r="Z110" s="39" t="s">
        <v>1655</v>
      </c>
      <c r="AA110" s="39"/>
      <c r="AB110" s="39"/>
      <c r="AC110" s="39"/>
      <c r="AD110" s="39" t="s">
        <v>1639</v>
      </c>
      <c r="AE110" s="39">
        <v>400</v>
      </c>
      <c r="AF110" s="39" t="s">
        <v>283</v>
      </c>
    </row>
    <row r="111" spans="1:32">
      <c r="A111" s="39" t="s">
        <v>1621</v>
      </c>
      <c r="B111" s="39" t="s">
        <v>1241</v>
      </c>
      <c r="C111" s="39" t="s">
        <v>1232</v>
      </c>
      <c r="D111" s="39" t="s">
        <v>1623</v>
      </c>
      <c r="E111" s="39" t="s">
        <v>1551</v>
      </c>
      <c r="F111" s="39">
        <v>5</v>
      </c>
      <c r="G111" s="39">
        <v>3</v>
      </c>
      <c r="H111" s="787">
        <v>-0.5</v>
      </c>
      <c r="I111" s="787">
        <v>0.5</v>
      </c>
      <c r="J111" s="787">
        <v>0.5</v>
      </c>
      <c r="K111" s="787">
        <v>-0.5</v>
      </c>
      <c r="L111" s="787">
        <v>0.5</v>
      </c>
      <c r="M111" s="787">
        <v>0</v>
      </c>
      <c r="N111" s="787">
        <v>-0.2</v>
      </c>
      <c r="O111" s="787">
        <v>0</v>
      </c>
      <c r="P111" s="787">
        <v>0</v>
      </c>
      <c r="Q111" s="39">
        <v>4</v>
      </c>
      <c r="R111" s="39">
        <v>4</v>
      </c>
      <c r="S111" s="39">
        <v>4</v>
      </c>
      <c r="T111" s="39" t="s">
        <v>1631</v>
      </c>
      <c r="U111" s="39" t="s">
        <v>1276</v>
      </c>
      <c r="V111" s="39">
        <v>0</v>
      </c>
      <c r="W111" s="39">
        <v>0</v>
      </c>
      <c r="X111" s="39">
        <v>4</v>
      </c>
      <c r="Y111" s="39"/>
      <c r="Z111" s="39" t="s">
        <v>1656</v>
      </c>
      <c r="AA111" s="39" t="s">
        <v>1659</v>
      </c>
      <c r="AB111" s="39"/>
      <c r="AC111" s="39"/>
      <c r="AD111" s="39" t="s">
        <v>1640</v>
      </c>
      <c r="AE111" s="39">
        <v>400</v>
      </c>
      <c r="AF111" s="39" t="s">
        <v>283</v>
      </c>
    </row>
    <row r="112" spans="1:32">
      <c r="A112" s="39" t="s">
        <v>1660</v>
      </c>
      <c r="B112" s="39" t="s">
        <v>1221</v>
      </c>
      <c r="C112" s="39" t="s">
        <v>1226</v>
      </c>
      <c r="D112" s="39" t="s">
        <v>1550</v>
      </c>
      <c r="E112" s="39" t="s">
        <v>1624</v>
      </c>
      <c r="F112" s="39">
        <v>3</v>
      </c>
      <c r="G112" s="39">
        <v>3</v>
      </c>
      <c r="H112" s="787">
        <v>0.2</v>
      </c>
      <c r="I112" s="787">
        <v>0.2</v>
      </c>
      <c r="J112" s="787">
        <v>0.2</v>
      </c>
      <c r="K112" s="787">
        <v>0.2</v>
      </c>
      <c r="L112" s="787">
        <v>0.2</v>
      </c>
      <c r="M112" s="787">
        <v>0.2</v>
      </c>
      <c r="N112" s="787">
        <v>0.2</v>
      </c>
      <c r="O112" s="787">
        <v>0.2</v>
      </c>
      <c r="P112" s="787">
        <v>0.2</v>
      </c>
      <c r="Q112" s="39">
        <v>4</v>
      </c>
      <c r="R112" s="39">
        <v>4</v>
      </c>
      <c r="S112" s="39">
        <v>4</v>
      </c>
      <c r="T112" s="39" t="s">
        <v>1674</v>
      </c>
      <c r="U112" s="39" t="s">
        <v>1276</v>
      </c>
      <c r="V112" s="39">
        <v>0</v>
      </c>
      <c r="W112" s="39">
        <v>0</v>
      </c>
      <c r="X112" s="39">
        <v>4</v>
      </c>
      <c r="Y112" s="39" t="s">
        <v>1691</v>
      </c>
      <c r="Z112" s="39" t="s">
        <v>1698</v>
      </c>
      <c r="AA112" s="39"/>
      <c r="AB112" s="39"/>
      <c r="AC112" s="39"/>
      <c r="AD112" s="39" t="s">
        <v>1681</v>
      </c>
      <c r="AE112" s="39">
        <v>400</v>
      </c>
      <c r="AF112" s="39" t="s">
        <v>283</v>
      </c>
    </row>
    <row r="113" spans="1:32">
      <c r="A113" s="39" t="s">
        <v>1661</v>
      </c>
      <c r="B113" s="39" t="s">
        <v>1225</v>
      </c>
      <c r="C113" s="39" t="s">
        <v>1226</v>
      </c>
      <c r="D113" s="39" t="s">
        <v>1623</v>
      </c>
      <c r="E113" s="39" t="s">
        <v>1551</v>
      </c>
      <c r="F113" s="39">
        <v>5</v>
      </c>
      <c r="G113" s="39">
        <v>4</v>
      </c>
      <c r="H113" s="787">
        <v>0.2</v>
      </c>
      <c r="I113" s="787">
        <v>-0.2</v>
      </c>
      <c r="J113" s="787">
        <v>-1</v>
      </c>
      <c r="K113" s="787">
        <v>0.2</v>
      </c>
      <c r="L113" s="787">
        <v>0.8</v>
      </c>
      <c r="M113" s="787">
        <v>0.2</v>
      </c>
      <c r="N113" s="787">
        <v>-0.8</v>
      </c>
      <c r="O113" s="787">
        <v>0.4</v>
      </c>
      <c r="P113" s="787">
        <v>1</v>
      </c>
      <c r="Q113" s="39">
        <v>4</v>
      </c>
      <c r="R113" s="39">
        <v>4</v>
      </c>
      <c r="S113" s="39">
        <v>4</v>
      </c>
      <c r="T113" s="39" t="s">
        <v>1675</v>
      </c>
      <c r="U113" s="39" t="s">
        <v>1276</v>
      </c>
      <c r="V113" s="39">
        <v>0</v>
      </c>
      <c r="W113" s="39">
        <v>0</v>
      </c>
      <c r="X113" s="39">
        <v>4</v>
      </c>
      <c r="Y113" s="39" t="s">
        <v>1692</v>
      </c>
      <c r="Z113" s="39" t="s">
        <v>1699</v>
      </c>
      <c r="AA113" s="39"/>
      <c r="AB113" s="39"/>
      <c r="AC113" s="39"/>
      <c r="AD113" s="39" t="s">
        <v>1682</v>
      </c>
      <c r="AE113" s="39">
        <v>400</v>
      </c>
      <c r="AF113" s="39" t="s">
        <v>283</v>
      </c>
    </row>
    <row r="114" spans="1:32">
      <c r="A114" s="39" t="s">
        <v>1662</v>
      </c>
      <c r="B114" s="39" t="s">
        <v>1227</v>
      </c>
      <c r="C114" s="39" t="s">
        <v>1226</v>
      </c>
      <c r="D114" s="39" t="s">
        <v>1671</v>
      </c>
      <c r="E114" s="39" t="s">
        <v>1672</v>
      </c>
      <c r="F114" s="39">
        <v>0</v>
      </c>
      <c r="G114" s="39">
        <v>0</v>
      </c>
      <c r="H114" s="787">
        <v>0.5</v>
      </c>
      <c r="I114" s="787">
        <v>0.5</v>
      </c>
      <c r="J114" s="787">
        <v>0.5</v>
      </c>
      <c r="K114" s="787">
        <v>0.5</v>
      </c>
      <c r="L114" s="787">
        <v>0.5</v>
      </c>
      <c r="M114" s="787">
        <v>0.5</v>
      </c>
      <c r="N114" s="787">
        <v>0.5</v>
      </c>
      <c r="O114" s="787">
        <v>0.5</v>
      </c>
      <c r="P114" s="787">
        <v>0.5</v>
      </c>
      <c r="Q114" s="39">
        <v>4</v>
      </c>
      <c r="R114" s="39">
        <v>4</v>
      </c>
      <c r="S114" s="39">
        <v>4</v>
      </c>
      <c r="T114" s="39"/>
      <c r="U114" s="39" t="s">
        <v>1276</v>
      </c>
      <c r="V114" s="39">
        <v>0</v>
      </c>
      <c r="W114" s="39">
        <v>0</v>
      </c>
      <c r="X114" s="39">
        <v>4</v>
      </c>
      <c r="Y114" s="39" t="s">
        <v>1693</v>
      </c>
      <c r="Z114" s="39" t="s">
        <v>1700</v>
      </c>
      <c r="AA114" s="39" t="s">
        <v>1708</v>
      </c>
      <c r="AB114" s="39"/>
      <c r="AC114" s="39"/>
      <c r="AD114" s="39" t="s">
        <v>1683</v>
      </c>
      <c r="AE114" s="39">
        <v>400</v>
      </c>
      <c r="AF114" s="39" t="s">
        <v>283</v>
      </c>
    </row>
    <row r="115" spans="1:32">
      <c r="A115" s="39" t="s">
        <v>1663</v>
      </c>
      <c r="B115" s="39" t="s">
        <v>1229</v>
      </c>
      <c r="C115" s="39" t="s">
        <v>1226</v>
      </c>
      <c r="D115" s="39" t="s">
        <v>1623</v>
      </c>
      <c r="E115" s="39" t="s">
        <v>1551</v>
      </c>
      <c r="F115" s="39">
        <v>4</v>
      </c>
      <c r="G115" s="39">
        <v>4</v>
      </c>
      <c r="H115" s="787">
        <v>0.2</v>
      </c>
      <c r="I115" s="787">
        <v>-0.2</v>
      </c>
      <c r="J115" s="787">
        <v>-1</v>
      </c>
      <c r="K115" s="787">
        <v>0.2</v>
      </c>
      <c r="L115" s="787">
        <v>0.8</v>
      </c>
      <c r="M115" s="787">
        <v>0.2</v>
      </c>
      <c r="N115" s="787">
        <v>-0.8</v>
      </c>
      <c r="O115" s="787">
        <v>0.4</v>
      </c>
      <c r="P115" s="787">
        <v>1</v>
      </c>
      <c r="Q115" s="39">
        <v>4</v>
      </c>
      <c r="R115" s="39">
        <v>4</v>
      </c>
      <c r="S115" s="39">
        <v>4</v>
      </c>
      <c r="T115" s="39" t="s">
        <v>1675</v>
      </c>
      <c r="U115" s="39" t="s">
        <v>1276</v>
      </c>
      <c r="V115" s="39">
        <v>0</v>
      </c>
      <c r="W115" s="39">
        <v>0</v>
      </c>
      <c r="X115" s="39">
        <v>4</v>
      </c>
      <c r="Y115" s="39" t="s">
        <v>1692</v>
      </c>
      <c r="Z115" s="39" t="s">
        <v>1701</v>
      </c>
      <c r="AA115" s="39"/>
      <c r="AB115" s="39"/>
      <c r="AC115" s="39"/>
      <c r="AD115" s="39" t="s">
        <v>1684</v>
      </c>
      <c r="AE115" s="39">
        <v>400</v>
      </c>
      <c r="AF115" s="39" t="s">
        <v>283</v>
      </c>
    </row>
    <row r="116" spans="1:32">
      <c r="A116" s="39" t="s">
        <v>1664</v>
      </c>
      <c r="B116" s="39" t="s">
        <v>1231</v>
      </c>
      <c r="C116" s="39" t="s">
        <v>1226</v>
      </c>
      <c r="D116" s="39" t="s">
        <v>1412</v>
      </c>
      <c r="E116" s="39" t="s">
        <v>1551</v>
      </c>
      <c r="F116" s="39">
        <v>2</v>
      </c>
      <c r="G116" s="39">
        <v>5</v>
      </c>
      <c r="H116" s="787">
        <v>0.4</v>
      </c>
      <c r="I116" s="787">
        <v>-0.4</v>
      </c>
      <c r="J116" s="787">
        <v>0</v>
      </c>
      <c r="K116" s="787">
        <v>0</v>
      </c>
      <c r="L116" s="787">
        <v>0.2</v>
      </c>
      <c r="M116" s="787">
        <v>-0.2</v>
      </c>
      <c r="N116" s="787">
        <v>0</v>
      </c>
      <c r="O116" s="787">
        <v>0</v>
      </c>
      <c r="P116" s="787">
        <v>0</v>
      </c>
      <c r="Q116" s="39">
        <v>4</v>
      </c>
      <c r="R116" s="39">
        <v>4</v>
      </c>
      <c r="S116" s="39">
        <v>4</v>
      </c>
      <c r="T116" s="39" t="s">
        <v>1676</v>
      </c>
      <c r="U116" s="39" t="s">
        <v>1276</v>
      </c>
      <c r="V116" s="39">
        <v>0</v>
      </c>
      <c r="W116" s="39">
        <v>0</v>
      </c>
      <c r="X116" s="39">
        <v>4</v>
      </c>
      <c r="Y116" s="39" t="s">
        <v>1694</v>
      </c>
      <c r="Z116" s="39" t="s">
        <v>1702</v>
      </c>
      <c r="AA116" s="39" t="s">
        <v>1709</v>
      </c>
      <c r="AB116" s="39"/>
      <c r="AC116" s="39"/>
      <c r="AD116" s="39" t="s">
        <v>1685</v>
      </c>
      <c r="AE116" s="39">
        <v>400</v>
      </c>
      <c r="AF116" s="39" t="s">
        <v>283</v>
      </c>
    </row>
    <row r="117" spans="1:32">
      <c r="A117" s="39" t="s">
        <v>1665</v>
      </c>
      <c r="B117" s="39" t="s">
        <v>1233</v>
      </c>
      <c r="C117" s="39" t="s">
        <v>1226</v>
      </c>
      <c r="D117" s="39" t="s">
        <v>1551</v>
      </c>
      <c r="E117" s="39" t="s">
        <v>1551</v>
      </c>
      <c r="F117" s="39">
        <v>3</v>
      </c>
      <c r="G117" s="39">
        <v>3</v>
      </c>
      <c r="H117" s="787">
        <v>0</v>
      </c>
      <c r="I117" s="787">
        <v>0</v>
      </c>
      <c r="J117" s="787">
        <v>0</v>
      </c>
      <c r="K117" s="787">
        <v>0</v>
      </c>
      <c r="L117" s="787">
        <v>0</v>
      </c>
      <c r="M117" s="787">
        <v>0</v>
      </c>
      <c r="N117" s="787">
        <v>0</v>
      </c>
      <c r="O117" s="787">
        <v>1</v>
      </c>
      <c r="P117" s="787">
        <v>0</v>
      </c>
      <c r="Q117" s="39">
        <v>4</v>
      </c>
      <c r="R117" s="39">
        <v>4</v>
      </c>
      <c r="S117" s="39">
        <v>4</v>
      </c>
      <c r="T117" s="39" t="s">
        <v>1677</v>
      </c>
      <c r="U117" s="39" t="s">
        <v>1276</v>
      </c>
      <c r="V117" s="39">
        <v>0</v>
      </c>
      <c r="W117" s="39">
        <v>0</v>
      </c>
      <c r="X117" s="39">
        <v>4</v>
      </c>
      <c r="Y117" s="39" t="s">
        <v>1695</v>
      </c>
      <c r="Z117" s="39" t="s">
        <v>1703</v>
      </c>
      <c r="AA117" s="39" t="s">
        <v>1710</v>
      </c>
      <c r="AB117" s="39"/>
      <c r="AC117" s="39"/>
      <c r="AD117" s="39" t="s">
        <v>6567</v>
      </c>
      <c r="AE117" s="39">
        <v>400</v>
      </c>
      <c r="AF117" s="39" t="s">
        <v>283</v>
      </c>
    </row>
    <row r="118" spans="1:32">
      <c r="A118" s="39" t="s">
        <v>1666</v>
      </c>
      <c r="B118" s="39" t="s">
        <v>1235</v>
      </c>
      <c r="C118" s="39" t="s">
        <v>1226</v>
      </c>
      <c r="D118" s="39" t="s">
        <v>1623</v>
      </c>
      <c r="E118" s="39" t="s">
        <v>1673</v>
      </c>
      <c r="F118" s="39">
        <v>5</v>
      </c>
      <c r="G118" s="39">
        <v>5</v>
      </c>
      <c r="H118" s="787">
        <v>0.1</v>
      </c>
      <c r="I118" s="787">
        <v>0.1</v>
      </c>
      <c r="J118" s="787">
        <v>0.1</v>
      </c>
      <c r="K118" s="787">
        <v>0.1</v>
      </c>
      <c r="L118" s="787">
        <v>0.1</v>
      </c>
      <c r="M118" s="787">
        <v>0.1</v>
      </c>
      <c r="N118" s="787">
        <v>0.1</v>
      </c>
      <c r="O118" s="787">
        <v>0.1</v>
      </c>
      <c r="P118" s="787">
        <v>0.1</v>
      </c>
      <c r="Q118" s="39">
        <v>4</v>
      </c>
      <c r="R118" s="39">
        <v>4</v>
      </c>
      <c r="S118" s="39">
        <v>4</v>
      </c>
      <c r="T118" s="39" t="s">
        <v>1678</v>
      </c>
      <c r="U118" s="39" t="s">
        <v>1276</v>
      </c>
      <c r="V118" s="39">
        <v>0</v>
      </c>
      <c r="W118" s="39">
        <v>0</v>
      </c>
      <c r="X118" s="39">
        <v>4</v>
      </c>
      <c r="Y118" s="39"/>
      <c r="Z118" s="39" t="s">
        <v>1704</v>
      </c>
      <c r="AA118" s="39"/>
      <c r="AB118" s="39"/>
      <c r="AC118" s="39"/>
      <c r="AD118" s="39" t="s">
        <v>1681</v>
      </c>
      <c r="AE118" s="39">
        <v>400</v>
      </c>
      <c r="AF118" s="39" t="s">
        <v>283</v>
      </c>
    </row>
    <row r="119" spans="1:32">
      <c r="A119" s="39" t="s">
        <v>1667</v>
      </c>
      <c r="B119" s="39" t="s">
        <v>1237</v>
      </c>
      <c r="C119" s="39" t="s">
        <v>1226</v>
      </c>
      <c r="D119" s="39" t="s">
        <v>1550</v>
      </c>
      <c r="E119" s="39" t="s">
        <v>1551</v>
      </c>
      <c r="F119" s="39">
        <v>3</v>
      </c>
      <c r="G119" s="39">
        <v>3</v>
      </c>
      <c r="H119" s="787">
        <v>0</v>
      </c>
      <c r="I119" s="787">
        <v>0</v>
      </c>
      <c r="J119" s="787">
        <v>0</v>
      </c>
      <c r="K119" s="787">
        <v>0</v>
      </c>
      <c r="L119" s="787">
        <v>0.5</v>
      </c>
      <c r="M119" s="787">
        <v>-0.5</v>
      </c>
      <c r="N119" s="787">
        <v>0.5</v>
      </c>
      <c r="O119" s="787">
        <v>0</v>
      </c>
      <c r="P119" s="787">
        <v>0</v>
      </c>
      <c r="Q119" s="39">
        <v>4</v>
      </c>
      <c r="R119" s="39">
        <v>4</v>
      </c>
      <c r="S119" s="39">
        <v>4</v>
      </c>
      <c r="T119" s="39" t="s">
        <v>1679</v>
      </c>
      <c r="U119" s="39" t="s">
        <v>1276</v>
      </c>
      <c r="V119" s="39">
        <v>0</v>
      </c>
      <c r="W119" s="39">
        <v>0</v>
      </c>
      <c r="X119" s="39">
        <v>4</v>
      </c>
      <c r="Y119" s="39" t="s">
        <v>1694</v>
      </c>
      <c r="Z119" s="39" t="s">
        <v>1705</v>
      </c>
      <c r="AA119" s="39"/>
      <c r="AB119" s="39"/>
      <c r="AC119" s="39"/>
      <c r="AD119" s="39" t="s">
        <v>1687</v>
      </c>
      <c r="AE119" s="39">
        <v>400</v>
      </c>
      <c r="AF119" s="39" t="s">
        <v>283</v>
      </c>
    </row>
    <row r="120" spans="1:32">
      <c r="A120" s="39" t="s">
        <v>1668</v>
      </c>
      <c r="B120" s="39" t="s">
        <v>1239</v>
      </c>
      <c r="C120" s="39" t="s">
        <v>1226</v>
      </c>
      <c r="D120" s="39" t="s">
        <v>1624</v>
      </c>
      <c r="E120" s="39" t="s">
        <v>1551</v>
      </c>
      <c r="F120" s="39">
        <v>3</v>
      </c>
      <c r="G120" s="39">
        <v>3</v>
      </c>
      <c r="H120" s="787">
        <v>0.2</v>
      </c>
      <c r="I120" s="787">
        <v>0.2</v>
      </c>
      <c r="J120" s="787">
        <v>0.2</v>
      </c>
      <c r="K120" s="787">
        <v>0.2</v>
      </c>
      <c r="L120" s="787">
        <v>0.2</v>
      </c>
      <c r="M120" s="787">
        <v>0.2</v>
      </c>
      <c r="N120" s="787">
        <v>0.2</v>
      </c>
      <c r="O120" s="787">
        <v>0.2</v>
      </c>
      <c r="P120" s="787">
        <v>0.2</v>
      </c>
      <c r="Q120" s="39">
        <v>4</v>
      </c>
      <c r="R120" s="39">
        <v>4</v>
      </c>
      <c r="S120" s="39">
        <v>4</v>
      </c>
      <c r="T120" s="39" t="s">
        <v>1680</v>
      </c>
      <c r="U120" s="39" t="s">
        <v>1276</v>
      </c>
      <c r="V120" s="39">
        <v>0</v>
      </c>
      <c r="W120" s="39">
        <v>0</v>
      </c>
      <c r="X120" s="39">
        <v>4</v>
      </c>
      <c r="Y120" s="39" t="s">
        <v>1696</v>
      </c>
      <c r="Z120" s="39" t="s">
        <v>1706</v>
      </c>
      <c r="AA120" s="39"/>
      <c r="AB120" s="39"/>
      <c r="AC120" s="39"/>
      <c r="AD120" s="39" t="s">
        <v>1687</v>
      </c>
      <c r="AE120" s="39">
        <v>400</v>
      </c>
      <c r="AF120" s="39" t="s">
        <v>283</v>
      </c>
    </row>
    <row r="121" spans="1:32">
      <c r="A121" s="39" t="s">
        <v>1669</v>
      </c>
      <c r="B121" s="39" t="s">
        <v>1241</v>
      </c>
      <c r="C121" s="39" t="s">
        <v>1226</v>
      </c>
      <c r="D121" s="39" t="s">
        <v>1623</v>
      </c>
      <c r="E121" s="39" t="s">
        <v>1551</v>
      </c>
      <c r="F121" s="39">
        <v>5</v>
      </c>
      <c r="G121" s="39">
        <v>3</v>
      </c>
      <c r="H121" s="787">
        <v>0.5</v>
      </c>
      <c r="I121" s="787">
        <v>0.5</v>
      </c>
      <c r="J121" s="787">
        <v>0.5</v>
      </c>
      <c r="K121" s="787">
        <v>-0.5</v>
      </c>
      <c r="L121" s="787">
        <v>0.5</v>
      </c>
      <c r="M121" s="787">
        <v>0</v>
      </c>
      <c r="N121" s="787">
        <v>0.2</v>
      </c>
      <c r="O121" s="787">
        <v>0.2</v>
      </c>
      <c r="P121" s="787">
        <v>0</v>
      </c>
      <c r="Q121" s="39">
        <v>4</v>
      </c>
      <c r="R121" s="39">
        <v>4</v>
      </c>
      <c r="S121" s="39">
        <v>4</v>
      </c>
      <c r="T121" s="39" t="s">
        <v>1631</v>
      </c>
      <c r="U121" s="39" t="s">
        <v>1276</v>
      </c>
      <c r="V121" s="39">
        <v>0</v>
      </c>
      <c r="W121" s="39">
        <v>0</v>
      </c>
      <c r="X121" s="39">
        <v>4</v>
      </c>
      <c r="Y121" s="39"/>
      <c r="Z121" s="39" t="s">
        <v>1656</v>
      </c>
      <c r="AA121" s="39" t="s">
        <v>1711</v>
      </c>
      <c r="AB121" s="39"/>
      <c r="AC121" s="39"/>
      <c r="AD121" s="39" t="s">
        <v>1687</v>
      </c>
      <c r="AE121" s="39">
        <v>400</v>
      </c>
      <c r="AF121" s="39" t="s">
        <v>283</v>
      </c>
    </row>
    <row r="122" spans="1:32">
      <c r="A122" s="39" t="s">
        <v>1714</v>
      </c>
      <c r="B122" s="39" t="s">
        <v>1221</v>
      </c>
      <c r="C122" s="39" t="s">
        <v>1230</v>
      </c>
      <c r="D122" s="39" t="s">
        <v>1623</v>
      </c>
      <c r="E122" s="39" t="s">
        <v>1551</v>
      </c>
      <c r="F122" s="39">
        <v>5</v>
      </c>
      <c r="G122" s="39">
        <v>5</v>
      </c>
      <c r="H122" s="787">
        <v>0.2</v>
      </c>
      <c r="I122" s="787">
        <v>0.2</v>
      </c>
      <c r="J122" s="787">
        <v>0.2</v>
      </c>
      <c r="K122" s="787">
        <v>0.2</v>
      </c>
      <c r="L122" s="787">
        <v>0.2</v>
      </c>
      <c r="M122" s="787">
        <v>0.2</v>
      </c>
      <c r="N122" s="787">
        <v>0.2</v>
      </c>
      <c r="O122" s="787">
        <v>0.2</v>
      </c>
      <c r="P122" s="787">
        <v>0.2</v>
      </c>
      <c r="Q122" s="39">
        <v>4</v>
      </c>
      <c r="R122" s="39">
        <v>4</v>
      </c>
      <c r="S122" s="39">
        <v>4</v>
      </c>
      <c r="T122" s="39" t="s">
        <v>1728</v>
      </c>
      <c r="U122" s="39" t="s">
        <v>1276</v>
      </c>
      <c r="V122" s="39">
        <v>0.2</v>
      </c>
      <c r="W122" s="39">
        <v>0</v>
      </c>
      <c r="X122" s="39">
        <v>4</v>
      </c>
      <c r="Y122" s="39"/>
      <c r="Z122" s="39" t="s">
        <v>1742</v>
      </c>
      <c r="AA122" s="39"/>
      <c r="AB122" s="39"/>
      <c r="AC122" s="39"/>
      <c r="AD122" s="39" t="s">
        <v>1733</v>
      </c>
      <c r="AE122" s="39">
        <v>400</v>
      </c>
      <c r="AF122" s="39" t="s">
        <v>283</v>
      </c>
    </row>
    <row r="123" spans="1:32">
      <c r="A123" s="39" t="s">
        <v>1715</v>
      </c>
      <c r="B123" s="39" t="s">
        <v>1225</v>
      </c>
      <c r="C123" s="39" t="s">
        <v>1230</v>
      </c>
      <c r="D123" s="39" t="s">
        <v>1551</v>
      </c>
      <c r="E123" s="785" t="s">
        <v>1882</v>
      </c>
      <c r="F123" s="39">
        <v>5</v>
      </c>
      <c r="G123" s="39">
        <v>2</v>
      </c>
      <c r="H123" s="787">
        <v>0.1</v>
      </c>
      <c r="I123" s="787">
        <v>0.1</v>
      </c>
      <c r="J123" s="787">
        <v>-1</v>
      </c>
      <c r="K123" s="787">
        <v>0.4</v>
      </c>
      <c r="L123" s="787">
        <v>0.7</v>
      </c>
      <c r="M123" s="787">
        <v>-0.3</v>
      </c>
      <c r="N123" s="787">
        <v>-1</v>
      </c>
      <c r="O123" s="787">
        <v>1</v>
      </c>
      <c r="P123" s="787">
        <v>0.5</v>
      </c>
      <c r="Q123" s="39">
        <v>4</v>
      </c>
      <c r="R123" s="39">
        <v>4</v>
      </c>
      <c r="S123" s="39">
        <v>4</v>
      </c>
      <c r="T123" s="39" t="s">
        <v>1729</v>
      </c>
      <c r="U123" s="39" t="s">
        <v>1276</v>
      </c>
      <c r="V123" s="39">
        <v>0</v>
      </c>
      <c r="W123" s="39">
        <v>0</v>
      </c>
      <c r="X123" s="39">
        <v>4</v>
      </c>
      <c r="Y123" s="39" t="s">
        <v>1736</v>
      </c>
      <c r="Z123" s="39"/>
      <c r="AA123" s="39"/>
      <c r="AB123" s="39"/>
      <c r="AC123" s="39"/>
      <c r="AD123" s="39" t="s">
        <v>1734</v>
      </c>
      <c r="AE123" s="39">
        <v>400</v>
      </c>
      <c r="AF123" s="39" t="s">
        <v>283</v>
      </c>
    </row>
    <row r="124" spans="1:32">
      <c r="A124" s="39" t="s">
        <v>1716</v>
      </c>
      <c r="B124" s="39" t="s">
        <v>1227</v>
      </c>
      <c r="C124" s="39" t="s">
        <v>1230</v>
      </c>
      <c r="D124" s="39" t="s">
        <v>1623</v>
      </c>
      <c r="E124" s="39" t="s">
        <v>1551</v>
      </c>
      <c r="F124" s="39">
        <v>6</v>
      </c>
      <c r="G124" s="39">
        <v>2</v>
      </c>
      <c r="H124" s="787">
        <v>0</v>
      </c>
      <c r="I124" s="787">
        <v>0</v>
      </c>
      <c r="J124" s="787">
        <v>0</v>
      </c>
      <c r="K124" s="787">
        <v>-1</v>
      </c>
      <c r="L124" s="787">
        <v>0.5</v>
      </c>
      <c r="M124" s="787">
        <v>0.5</v>
      </c>
      <c r="N124" s="787">
        <v>-0.8</v>
      </c>
      <c r="O124" s="787">
        <v>0</v>
      </c>
      <c r="P124" s="787">
        <v>0</v>
      </c>
      <c r="Q124" s="39">
        <v>4</v>
      </c>
      <c r="R124" s="39">
        <v>4</v>
      </c>
      <c r="S124" s="39">
        <v>4</v>
      </c>
      <c r="T124" s="39" t="s">
        <v>1675</v>
      </c>
      <c r="U124" s="39" t="s">
        <v>1276</v>
      </c>
      <c r="V124" s="39">
        <v>0</v>
      </c>
      <c r="W124" s="39">
        <v>0</v>
      </c>
      <c r="X124" s="39">
        <v>4</v>
      </c>
      <c r="Y124" s="39" t="s">
        <v>1737</v>
      </c>
      <c r="Z124" s="39" t="s">
        <v>1743</v>
      </c>
      <c r="AA124" s="39" t="s">
        <v>1749</v>
      </c>
      <c r="AB124" s="39"/>
      <c r="AC124" s="39"/>
      <c r="AD124" s="39" t="s">
        <v>1733</v>
      </c>
      <c r="AE124" s="39">
        <v>400</v>
      </c>
      <c r="AF124" s="39" t="s">
        <v>283</v>
      </c>
    </row>
    <row r="125" spans="1:32">
      <c r="A125" s="39" t="s">
        <v>1717</v>
      </c>
      <c r="B125" s="39" t="s">
        <v>1229</v>
      </c>
      <c r="C125" s="39" t="s">
        <v>1230</v>
      </c>
      <c r="D125" s="39" t="s">
        <v>1623</v>
      </c>
      <c r="E125" s="39" t="s">
        <v>1551</v>
      </c>
      <c r="F125" s="39">
        <v>5</v>
      </c>
      <c r="G125" s="39">
        <v>4</v>
      </c>
      <c r="H125" s="787">
        <v>0.2</v>
      </c>
      <c r="I125" s="787">
        <v>0.2</v>
      </c>
      <c r="J125" s="787">
        <v>0.2</v>
      </c>
      <c r="K125" s="787">
        <v>0.2</v>
      </c>
      <c r="L125" s="787">
        <v>0.8</v>
      </c>
      <c r="M125" s="787">
        <v>-0.8</v>
      </c>
      <c r="N125" s="787">
        <v>0</v>
      </c>
      <c r="O125" s="787">
        <v>1</v>
      </c>
      <c r="P125" s="787">
        <v>1</v>
      </c>
      <c r="Q125" s="39">
        <v>4</v>
      </c>
      <c r="R125" s="39">
        <v>4</v>
      </c>
      <c r="S125" s="39">
        <v>4</v>
      </c>
      <c r="T125" s="39" t="s">
        <v>1675</v>
      </c>
      <c r="U125" s="39" t="s">
        <v>1276</v>
      </c>
      <c r="V125" s="39">
        <v>0.2</v>
      </c>
      <c r="W125" s="39">
        <v>0</v>
      </c>
      <c r="X125" s="39">
        <v>4</v>
      </c>
      <c r="Y125" s="39" t="s">
        <v>1738</v>
      </c>
      <c r="Z125" s="39" t="s">
        <v>1744</v>
      </c>
      <c r="AA125" s="39"/>
      <c r="AB125" s="39"/>
      <c r="AC125" s="39"/>
      <c r="AD125" s="39" t="s">
        <v>1733</v>
      </c>
      <c r="AE125" s="39">
        <v>400</v>
      </c>
      <c r="AF125" s="39" t="s">
        <v>283</v>
      </c>
    </row>
    <row r="126" spans="1:32">
      <c r="A126" s="39" t="s">
        <v>1718</v>
      </c>
      <c r="B126" s="39" t="s">
        <v>1231</v>
      </c>
      <c r="C126" s="39" t="s">
        <v>1230</v>
      </c>
      <c r="D126" s="39" t="s">
        <v>1724</v>
      </c>
      <c r="E126" s="39" t="s">
        <v>1551</v>
      </c>
      <c r="F126" s="39">
        <v>6</v>
      </c>
      <c r="G126" s="39">
        <v>3</v>
      </c>
      <c r="H126" s="787">
        <v>0</v>
      </c>
      <c r="I126" s="787">
        <v>0</v>
      </c>
      <c r="J126" s="787">
        <v>0</v>
      </c>
      <c r="K126" s="787">
        <v>-1</v>
      </c>
      <c r="L126" s="787">
        <v>0.5</v>
      </c>
      <c r="M126" s="787">
        <v>0.5</v>
      </c>
      <c r="N126" s="787">
        <v>-0.8</v>
      </c>
      <c r="O126" s="787">
        <v>0</v>
      </c>
      <c r="P126" s="787">
        <v>0</v>
      </c>
      <c r="Q126" s="39">
        <v>4</v>
      </c>
      <c r="R126" s="39">
        <v>4</v>
      </c>
      <c r="S126" s="39">
        <v>4</v>
      </c>
      <c r="T126" s="39" t="s">
        <v>1675</v>
      </c>
      <c r="U126" s="39" t="s">
        <v>1277</v>
      </c>
      <c r="V126" s="39">
        <v>0</v>
      </c>
      <c r="W126" s="39">
        <v>0</v>
      </c>
      <c r="X126" s="39">
        <v>4</v>
      </c>
      <c r="Y126" s="39" t="s">
        <v>1737</v>
      </c>
      <c r="Z126" s="39" t="s">
        <v>1745</v>
      </c>
      <c r="AA126" s="39" t="s">
        <v>1750</v>
      </c>
      <c r="AB126" s="39"/>
      <c r="AC126" s="39"/>
      <c r="AD126" s="39" t="s">
        <v>1733</v>
      </c>
      <c r="AE126" s="39">
        <v>400</v>
      </c>
      <c r="AF126" s="39" t="s">
        <v>283</v>
      </c>
    </row>
    <row r="127" spans="1:32">
      <c r="A127" s="39" t="s">
        <v>1719</v>
      </c>
      <c r="B127" s="39" t="s">
        <v>1233</v>
      </c>
      <c r="C127" s="39" t="s">
        <v>1230</v>
      </c>
      <c r="D127" s="39" t="s">
        <v>1623</v>
      </c>
      <c r="E127" s="39" t="s">
        <v>1551</v>
      </c>
      <c r="F127" s="39">
        <v>6</v>
      </c>
      <c r="G127" s="39">
        <v>3</v>
      </c>
      <c r="H127" s="787">
        <v>0</v>
      </c>
      <c r="I127" s="787">
        <v>0</v>
      </c>
      <c r="J127" s="787">
        <v>0</v>
      </c>
      <c r="K127" s="787">
        <v>-1</v>
      </c>
      <c r="L127" s="787">
        <v>0.5</v>
      </c>
      <c r="M127" s="787">
        <v>0.5</v>
      </c>
      <c r="N127" s="787">
        <v>-0.8</v>
      </c>
      <c r="O127" s="787">
        <v>0</v>
      </c>
      <c r="P127" s="787">
        <v>0</v>
      </c>
      <c r="Q127" s="39">
        <v>4</v>
      </c>
      <c r="R127" s="39">
        <v>4</v>
      </c>
      <c r="S127" s="39">
        <v>4</v>
      </c>
      <c r="T127" s="39" t="s">
        <v>1730</v>
      </c>
      <c r="U127" s="39" t="s">
        <v>1276</v>
      </c>
      <c r="V127" s="39">
        <v>0</v>
      </c>
      <c r="W127" s="39">
        <v>0</v>
      </c>
      <c r="X127" s="39">
        <v>4</v>
      </c>
      <c r="Y127" s="39" t="s">
        <v>1739</v>
      </c>
      <c r="Z127" s="39"/>
      <c r="AA127" s="39"/>
      <c r="AB127" s="39"/>
      <c r="AC127" s="39"/>
      <c r="AD127" s="39" t="s">
        <v>1734</v>
      </c>
      <c r="AE127" s="39">
        <v>400</v>
      </c>
      <c r="AF127" s="39" t="s">
        <v>283</v>
      </c>
    </row>
    <row r="128" spans="1:32">
      <c r="A128" s="39" t="s">
        <v>1720</v>
      </c>
      <c r="B128" s="39" t="s">
        <v>1235</v>
      </c>
      <c r="C128" s="39" t="s">
        <v>1230</v>
      </c>
      <c r="D128" s="39" t="s">
        <v>1623</v>
      </c>
      <c r="E128" s="39" t="s">
        <v>1551</v>
      </c>
      <c r="F128" s="39">
        <v>6</v>
      </c>
      <c r="G128" s="39">
        <v>3</v>
      </c>
      <c r="H128" s="787">
        <v>0</v>
      </c>
      <c r="I128" s="787">
        <v>0</v>
      </c>
      <c r="J128" s="787">
        <v>0</v>
      </c>
      <c r="K128" s="787">
        <v>-1</v>
      </c>
      <c r="L128" s="787">
        <v>0.5</v>
      </c>
      <c r="M128" s="787">
        <v>0.5</v>
      </c>
      <c r="N128" s="787">
        <v>-0.8</v>
      </c>
      <c r="O128" s="787">
        <v>0</v>
      </c>
      <c r="P128" s="787">
        <v>0</v>
      </c>
      <c r="Q128" s="39">
        <v>4</v>
      </c>
      <c r="R128" s="39">
        <v>4</v>
      </c>
      <c r="S128" s="39">
        <v>4</v>
      </c>
      <c r="T128" s="39" t="s">
        <v>1675</v>
      </c>
      <c r="U128" s="39" t="s">
        <v>1276</v>
      </c>
      <c r="V128" s="39">
        <v>0</v>
      </c>
      <c r="W128" s="39">
        <v>0</v>
      </c>
      <c r="X128" s="39">
        <v>4</v>
      </c>
      <c r="Y128" s="39" t="s">
        <v>1737</v>
      </c>
      <c r="Z128" s="39" t="s">
        <v>1746</v>
      </c>
      <c r="AA128" s="39"/>
      <c r="AB128" s="39"/>
      <c r="AC128" s="39"/>
      <c r="AD128" s="39" t="s">
        <v>1733</v>
      </c>
      <c r="AE128" s="39">
        <v>400</v>
      </c>
      <c r="AF128" s="39" t="s">
        <v>283</v>
      </c>
    </row>
    <row r="129" spans="1:32">
      <c r="A129" s="39" t="s">
        <v>1721</v>
      </c>
      <c r="B129" s="39" t="s">
        <v>1237</v>
      </c>
      <c r="C129" s="39" t="s">
        <v>1230</v>
      </c>
      <c r="D129" s="39" t="s">
        <v>1551</v>
      </c>
      <c r="E129" s="39" t="s">
        <v>1551</v>
      </c>
      <c r="F129" s="39">
        <v>3</v>
      </c>
      <c r="G129" s="39">
        <v>3</v>
      </c>
      <c r="H129" s="787">
        <v>-0.2</v>
      </c>
      <c r="I129" s="787">
        <v>0.2</v>
      </c>
      <c r="J129" s="787">
        <v>0</v>
      </c>
      <c r="K129" s="787">
        <v>0</v>
      </c>
      <c r="L129" s="787">
        <v>0.5</v>
      </c>
      <c r="M129" s="787">
        <v>-0.5</v>
      </c>
      <c r="N129" s="787">
        <v>-0.8</v>
      </c>
      <c r="O129" s="787">
        <v>1</v>
      </c>
      <c r="P129" s="787">
        <v>1</v>
      </c>
      <c r="Q129" s="39">
        <v>4</v>
      </c>
      <c r="R129" s="39">
        <v>4</v>
      </c>
      <c r="S129" s="39">
        <v>4</v>
      </c>
      <c r="T129" s="39" t="s">
        <v>1731</v>
      </c>
      <c r="U129" s="39" t="s">
        <v>1276</v>
      </c>
      <c r="V129" s="39">
        <v>0</v>
      </c>
      <c r="W129" s="39">
        <v>0</v>
      </c>
      <c r="X129" s="39">
        <v>4</v>
      </c>
      <c r="Y129" s="39" t="s">
        <v>1740</v>
      </c>
      <c r="Z129" s="39" t="s">
        <v>1747</v>
      </c>
      <c r="AA129" s="39"/>
      <c r="AB129" s="39"/>
      <c r="AC129" s="39"/>
      <c r="AD129" s="39" t="s">
        <v>1733</v>
      </c>
      <c r="AE129" s="39">
        <v>400</v>
      </c>
      <c r="AF129" s="39" t="s">
        <v>283</v>
      </c>
    </row>
    <row r="130" spans="1:32">
      <c r="A130" s="39" t="s">
        <v>1722</v>
      </c>
      <c r="B130" s="39" t="s">
        <v>1239</v>
      </c>
      <c r="C130" s="39" t="s">
        <v>1230</v>
      </c>
      <c r="D130" s="39" t="s">
        <v>1725</v>
      </c>
      <c r="E130" s="785" t="s">
        <v>1882</v>
      </c>
      <c r="F130" s="39">
        <v>0</v>
      </c>
      <c r="G130" s="39">
        <v>0</v>
      </c>
      <c r="H130" s="787">
        <v>0</v>
      </c>
      <c r="I130" s="787">
        <v>0</v>
      </c>
      <c r="J130" s="787">
        <v>0</v>
      </c>
      <c r="K130" s="787">
        <v>0</v>
      </c>
      <c r="L130" s="787">
        <v>0</v>
      </c>
      <c r="M130" s="787">
        <v>0</v>
      </c>
      <c r="N130" s="787">
        <v>0</v>
      </c>
      <c r="O130" s="787">
        <v>0</v>
      </c>
      <c r="P130" s="787">
        <v>0</v>
      </c>
      <c r="Q130" s="39">
        <v>4</v>
      </c>
      <c r="R130" s="39">
        <v>4</v>
      </c>
      <c r="S130" s="39">
        <v>4</v>
      </c>
      <c r="T130" s="39" t="s">
        <v>1732</v>
      </c>
      <c r="U130" s="39" t="s">
        <v>1276</v>
      </c>
      <c r="V130" s="39">
        <v>0.5</v>
      </c>
      <c r="W130" s="39">
        <v>0</v>
      </c>
      <c r="X130" s="39">
        <v>4</v>
      </c>
      <c r="Y130" s="39" t="s">
        <v>1741</v>
      </c>
      <c r="Z130" s="39"/>
      <c r="AA130" s="39"/>
      <c r="AB130" s="39"/>
      <c r="AC130" s="39"/>
      <c r="AD130" s="39" t="s">
        <v>1733</v>
      </c>
      <c r="AE130" s="39">
        <v>400</v>
      </c>
      <c r="AF130" s="39" t="s">
        <v>283</v>
      </c>
    </row>
    <row r="131" spans="1:32">
      <c r="A131" s="39" t="s">
        <v>1723</v>
      </c>
      <c r="B131" s="39" t="s">
        <v>1241</v>
      </c>
      <c r="C131" s="39" t="s">
        <v>1230</v>
      </c>
      <c r="D131" s="39" t="s">
        <v>1413</v>
      </c>
      <c r="E131" s="785" t="s">
        <v>1882</v>
      </c>
      <c r="F131" s="39">
        <v>5</v>
      </c>
      <c r="G131" s="39">
        <v>2</v>
      </c>
      <c r="H131" s="787">
        <v>0.5</v>
      </c>
      <c r="I131" s="787">
        <v>0</v>
      </c>
      <c r="J131" s="787">
        <v>0</v>
      </c>
      <c r="K131" s="787">
        <v>-1</v>
      </c>
      <c r="L131" s="787">
        <v>0.5</v>
      </c>
      <c r="M131" s="787">
        <v>0.5</v>
      </c>
      <c r="N131" s="787">
        <v>-0.8</v>
      </c>
      <c r="O131" s="787">
        <v>0</v>
      </c>
      <c r="P131" s="787">
        <v>0</v>
      </c>
      <c r="Q131" s="39">
        <v>4</v>
      </c>
      <c r="R131" s="39">
        <v>4</v>
      </c>
      <c r="S131" s="39">
        <v>4</v>
      </c>
      <c r="T131" s="39" t="s">
        <v>1675</v>
      </c>
      <c r="U131" s="39" t="s">
        <v>1276</v>
      </c>
      <c r="V131" s="39">
        <v>0</v>
      </c>
      <c r="W131" s="39">
        <v>0</v>
      </c>
      <c r="X131" s="39">
        <v>4</v>
      </c>
      <c r="Y131" s="39" t="s">
        <v>1423</v>
      </c>
      <c r="Z131" s="39" t="s">
        <v>1748</v>
      </c>
      <c r="AA131" s="39"/>
      <c r="AB131" s="39"/>
      <c r="AC131" s="39"/>
      <c r="AD131" s="39" t="s">
        <v>1733</v>
      </c>
      <c r="AE131" s="39">
        <v>400</v>
      </c>
      <c r="AF131" s="39" t="s">
        <v>283</v>
      </c>
    </row>
    <row r="132" spans="1:32">
      <c r="A132" s="39" t="s">
        <v>1139</v>
      </c>
      <c r="B132" s="39" t="s">
        <v>1221</v>
      </c>
      <c r="C132" s="39" t="s">
        <v>1222</v>
      </c>
      <c r="D132" s="39" t="s">
        <v>1551</v>
      </c>
      <c r="E132" s="39" t="s">
        <v>1551</v>
      </c>
      <c r="F132" s="39">
        <v>4</v>
      </c>
      <c r="G132" s="39">
        <v>4</v>
      </c>
      <c r="H132" s="787">
        <v>-0.2</v>
      </c>
      <c r="I132" s="787">
        <v>0.2</v>
      </c>
      <c r="J132" s="787">
        <v>0.8</v>
      </c>
      <c r="K132" s="787">
        <v>0</v>
      </c>
      <c r="L132" s="787">
        <v>0</v>
      </c>
      <c r="M132" s="787">
        <v>0</v>
      </c>
      <c r="N132" s="787">
        <v>0</v>
      </c>
      <c r="O132" s="787">
        <v>0</v>
      </c>
      <c r="P132" s="787">
        <v>0</v>
      </c>
      <c r="Q132" s="39">
        <v>4</v>
      </c>
      <c r="R132" s="39">
        <v>4</v>
      </c>
      <c r="S132" s="39">
        <v>4</v>
      </c>
      <c r="T132" s="39" t="s">
        <v>1762</v>
      </c>
      <c r="U132" s="39" t="s">
        <v>1276</v>
      </c>
      <c r="V132" s="39">
        <v>0</v>
      </c>
      <c r="W132" s="39">
        <v>0</v>
      </c>
      <c r="X132" s="39">
        <v>4</v>
      </c>
      <c r="Y132" s="39"/>
      <c r="Z132" s="39" t="s">
        <v>1776</v>
      </c>
      <c r="AA132" s="39" t="s">
        <v>1785</v>
      </c>
      <c r="AB132" s="39"/>
      <c r="AC132" s="39"/>
      <c r="AD132" s="39" t="s">
        <v>1636</v>
      </c>
      <c r="AE132" s="39">
        <v>400</v>
      </c>
      <c r="AF132" s="39" t="s">
        <v>283</v>
      </c>
    </row>
    <row r="133" spans="1:32">
      <c r="A133" s="39" t="s">
        <v>1751</v>
      </c>
      <c r="B133" s="39" t="s">
        <v>1225</v>
      </c>
      <c r="C133" s="39" t="s">
        <v>1222</v>
      </c>
      <c r="D133" s="39" t="s">
        <v>1551</v>
      </c>
      <c r="E133" s="39" t="s">
        <v>1551</v>
      </c>
      <c r="F133" s="39">
        <v>3</v>
      </c>
      <c r="G133" s="39">
        <v>3</v>
      </c>
      <c r="H133" s="787">
        <v>-0.2</v>
      </c>
      <c r="I133" s="787">
        <v>0.2</v>
      </c>
      <c r="J133" s="787">
        <v>-0.2</v>
      </c>
      <c r="K133" s="787">
        <v>0</v>
      </c>
      <c r="L133" s="787">
        <v>0.3</v>
      </c>
      <c r="M133" s="787">
        <v>0.2</v>
      </c>
      <c r="N133" s="787">
        <v>0</v>
      </c>
      <c r="O133" s="787">
        <v>0</v>
      </c>
      <c r="P133" s="787">
        <v>0.5</v>
      </c>
      <c r="Q133" s="39">
        <v>4</v>
      </c>
      <c r="R133" s="39">
        <v>4</v>
      </c>
      <c r="S133" s="39">
        <v>4</v>
      </c>
      <c r="T133" s="39" t="s">
        <v>1762</v>
      </c>
      <c r="U133" s="39" t="s">
        <v>1276</v>
      </c>
      <c r="V133" s="39">
        <v>0</v>
      </c>
      <c r="W133" s="39">
        <v>0</v>
      </c>
      <c r="X133" s="39">
        <v>4</v>
      </c>
      <c r="Y133" s="39" t="s">
        <v>1769</v>
      </c>
      <c r="Z133" s="39" t="s">
        <v>1777</v>
      </c>
      <c r="AA133" s="39"/>
      <c r="AB133" s="39"/>
      <c r="AC133" s="39"/>
      <c r="AD133" s="39" t="s">
        <v>1636</v>
      </c>
      <c r="AE133" s="39">
        <v>400</v>
      </c>
      <c r="AF133" s="39" t="s">
        <v>283</v>
      </c>
    </row>
    <row r="134" spans="1:32">
      <c r="A134" s="39" t="s">
        <v>1752</v>
      </c>
      <c r="B134" s="39" t="s">
        <v>1227</v>
      </c>
      <c r="C134" s="39" t="s">
        <v>1222</v>
      </c>
      <c r="D134" s="39" t="s">
        <v>1761</v>
      </c>
      <c r="E134" s="39" t="s">
        <v>1551</v>
      </c>
      <c r="F134" s="39">
        <v>2</v>
      </c>
      <c r="G134" s="39">
        <v>5</v>
      </c>
      <c r="H134" s="787">
        <v>0</v>
      </c>
      <c r="I134" s="787">
        <v>0.5</v>
      </c>
      <c r="J134" s="787">
        <v>-0.5</v>
      </c>
      <c r="K134" s="787">
        <v>0.5</v>
      </c>
      <c r="L134" s="787">
        <v>0</v>
      </c>
      <c r="M134" s="787">
        <v>0</v>
      </c>
      <c r="N134" s="787">
        <v>0</v>
      </c>
      <c r="O134" s="787">
        <v>0.5</v>
      </c>
      <c r="P134" s="787">
        <v>0</v>
      </c>
      <c r="Q134" s="39">
        <v>4</v>
      </c>
      <c r="R134" s="39">
        <v>4</v>
      </c>
      <c r="S134" s="39">
        <v>4</v>
      </c>
      <c r="T134" s="39" t="s">
        <v>1763</v>
      </c>
      <c r="U134" s="39" t="s">
        <v>1276</v>
      </c>
      <c r="V134" s="39">
        <v>0</v>
      </c>
      <c r="W134" s="39">
        <v>0</v>
      </c>
      <c r="X134" s="39">
        <v>4</v>
      </c>
      <c r="Y134" s="39" t="s">
        <v>1770</v>
      </c>
      <c r="Z134" s="39" t="s">
        <v>1778</v>
      </c>
      <c r="AA134" s="39"/>
      <c r="AB134" s="39"/>
      <c r="AC134" s="39"/>
      <c r="AD134" s="39" t="s">
        <v>1636</v>
      </c>
      <c r="AE134" s="39">
        <v>400</v>
      </c>
      <c r="AF134" s="39" t="s">
        <v>283</v>
      </c>
    </row>
    <row r="135" spans="1:32">
      <c r="A135" s="39" t="s">
        <v>1753</v>
      </c>
      <c r="B135" s="39" t="s">
        <v>1229</v>
      </c>
      <c r="C135" s="39" t="s">
        <v>1222</v>
      </c>
      <c r="D135" s="39" t="s">
        <v>1413</v>
      </c>
      <c r="E135" s="785" t="s">
        <v>1882</v>
      </c>
      <c r="F135" s="39">
        <v>4</v>
      </c>
      <c r="G135" s="39">
        <v>2</v>
      </c>
      <c r="H135" s="787">
        <v>0</v>
      </c>
      <c r="I135" s="787">
        <v>0.2</v>
      </c>
      <c r="J135" s="787">
        <v>0.1</v>
      </c>
      <c r="K135" s="787">
        <v>0.2</v>
      </c>
      <c r="L135" s="787">
        <v>0.1</v>
      </c>
      <c r="M135" s="787">
        <v>0.1</v>
      </c>
      <c r="N135" s="787">
        <v>0.4</v>
      </c>
      <c r="O135" s="787">
        <v>0.2</v>
      </c>
      <c r="P135" s="787">
        <v>-0.5</v>
      </c>
      <c r="Q135" s="39">
        <v>4</v>
      </c>
      <c r="R135" s="39">
        <v>4</v>
      </c>
      <c r="S135" s="39">
        <v>4</v>
      </c>
      <c r="T135" s="39" t="s">
        <v>1626</v>
      </c>
      <c r="U135" s="39" t="s">
        <v>1276</v>
      </c>
      <c r="V135" s="39">
        <v>0</v>
      </c>
      <c r="W135" s="39">
        <v>0</v>
      </c>
      <c r="X135" s="39">
        <v>4</v>
      </c>
      <c r="Y135" s="39" t="s">
        <v>1771</v>
      </c>
      <c r="Z135" s="39" t="s">
        <v>1779</v>
      </c>
      <c r="AA135" s="39"/>
      <c r="AB135" s="39"/>
      <c r="AC135" s="39"/>
      <c r="AD135" s="39" t="s">
        <v>1636</v>
      </c>
      <c r="AE135" s="39">
        <v>400</v>
      </c>
      <c r="AF135" s="39" t="s">
        <v>283</v>
      </c>
    </row>
    <row r="136" spans="1:32">
      <c r="A136" s="39" t="s">
        <v>1754</v>
      </c>
      <c r="B136" s="39" t="s">
        <v>1231</v>
      </c>
      <c r="C136" s="39" t="s">
        <v>1222</v>
      </c>
      <c r="D136" s="39" t="s">
        <v>1623</v>
      </c>
      <c r="E136" s="39" t="s">
        <v>1551</v>
      </c>
      <c r="F136" s="39">
        <v>4</v>
      </c>
      <c r="G136" s="39">
        <v>4</v>
      </c>
      <c r="H136" s="787">
        <v>0.5</v>
      </c>
      <c r="I136" s="787">
        <v>0.5</v>
      </c>
      <c r="J136" s="787">
        <v>0.5</v>
      </c>
      <c r="K136" s="787">
        <v>0.5</v>
      </c>
      <c r="L136" s="787">
        <v>0.5</v>
      </c>
      <c r="M136" s="787">
        <v>0.5</v>
      </c>
      <c r="N136" s="787">
        <v>0.5</v>
      </c>
      <c r="O136" s="787">
        <v>0.5</v>
      </c>
      <c r="P136" s="787">
        <v>0.5</v>
      </c>
      <c r="Q136" s="39">
        <v>4</v>
      </c>
      <c r="R136" s="39">
        <v>4</v>
      </c>
      <c r="S136" s="39">
        <v>4</v>
      </c>
      <c r="T136" s="39" t="s">
        <v>1762</v>
      </c>
      <c r="U136" s="39" t="s">
        <v>1276</v>
      </c>
      <c r="V136" s="39">
        <v>0</v>
      </c>
      <c r="W136" s="39">
        <v>0</v>
      </c>
      <c r="X136" s="39">
        <v>4</v>
      </c>
      <c r="Y136" s="39" t="s">
        <v>1772</v>
      </c>
      <c r="Z136" s="39" t="s">
        <v>1780</v>
      </c>
      <c r="AA136" s="39"/>
      <c r="AB136" s="39"/>
      <c r="AC136" s="39"/>
      <c r="AD136" s="39" t="s">
        <v>1636</v>
      </c>
      <c r="AE136" s="39">
        <v>400</v>
      </c>
      <c r="AF136" s="39" t="s">
        <v>283</v>
      </c>
    </row>
    <row r="137" spans="1:32">
      <c r="A137" s="39" t="s">
        <v>1755</v>
      </c>
      <c r="B137" s="39" t="s">
        <v>1233</v>
      </c>
      <c r="C137" s="39" t="s">
        <v>1222</v>
      </c>
      <c r="D137" s="39" t="s">
        <v>1413</v>
      </c>
      <c r="E137" s="39" t="s">
        <v>1551</v>
      </c>
      <c r="F137" s="39">
        <v>4</v>
      </c>
      <c r="G137" s="39">
        <v>4</v>
      </c>
      <c r="H137" s="787">
        <v>0</v>
      </c>
      <c r="I137" s="787">
        <v>0</v>
      </c>
      <c r="J137" s="787">
        <v>0.5</v>
      </c>
      <c r="K137" s="787">
        <v>-0.5</v>
      </c>
      <c r="L137" s="787">
        <v>0.5</v>
      </c>
      <c r="M137" s="787">
        <v>0</v>
      </c>
      <c r="N137" s="787">
        <v>0</v>
      </c>
      <c r="O137" s="787">
        <v>0</v>
      </c>
      <c r="P137" s="787">
        <v>0</v>
      </c>
      <c r="Q137" s="39">
        <v>4</v>
      </c>
      <c r="R137" s="39">
        <v>4</v>
      </c>
      <c r="S137" s="39">
        <v>4</v>
      </c>
      <c r="T137" s="39" t="s">
        <v>1764</v>
      </c>
      <c r="U137" s="39" t="s">
        <v>1276</v>
      </c>
      <c r="V137" s="39">
        <v>0</v>
      </c>
      <c r="W137" s="39">
        <v>0</v>
      </c>
      <c r="X137" s="39">
        <v>4</v>
      </c>
      <c r="Y137" s="39" t="s">
        <v>6516</v>
      </c>
      <c r="Z137" s="39" t="s">
        <v>1781</v>
      </c>
      <c r="AA137" s="39" t="s">
        <v>1786</v>
      </c>
      <c r="AB137" s="39"/>
      <c r="AC137" s="39"/>
      <c r="AD137" s="39" t="s">
        <v>1636</v>
      </c>
      <c r="AE137" s="39">
        <v>400</v>
      </c>
      <c r="AF137" s="39" t="s">
        <v>283</v>
      </c>
    </row>
    <row r="138" spans="1:32">
      <c r="A138" s="39" t="s">
        <v>1756</v>
      </c>
      <c r="B138" s="39" t="s">
        <v>1235</v>
      </c>
      <c r="C138" s="39" t="s">
        <v>1222</v>
      </c>
      <c r="D138" s="39" t="s">
        <v>1623</v>
      </c>
      <c r="E138" s="39" t="s">
        <v>1551</v>
      </c>
      <c r="F138" s="39">
        <v>5</v>
      </c>
      <c r="G138" s="39">
        <v>3</v>
      </c>
      <c r="H138" s="787">
        <v>-0.5</v>
      </c>
      <c r="I138" s="787">
        <v>0.5</v>
      </c>
      <c r="J138" s="787">
        <v>0.5</v>
      </c>
      <c r="K138" s="787">
        <v>-0.5</v>
      </c>
      <c r="L138" s="787">
        <v>0.5</v>
      </c>
      <c r="M138" s="787">
        <v>0</v>
      </c>
      <c r="N138" s="787">
        <v>-0.2</v>
      </c>
      <c r="O138" s="787">
        <v>0</v>
      </c>
      <c r="P138" s="787">
        <v>0</v>
      </c>
      <c r="Q138" s="39">
        <v>4</v>
      </c>
      <c r="R138" s="39">
        <v>4</v>
      </c>
      <c r="S138" s="39">
        <v>4</v>
      </c>
      <c r="T138" s="39" t="s">
        <v>1631</v>
      </c>
      <c r="U138" s="39" t="s">
        <v>1276</v>
      </c>
      <c r="V138" s="39">
        <v>0</v>
      </c>
      <c r="W138" s="39">
        <v>0</v>
      </c>
      <c r="X138" s="39">
        <v>4</v>
      </c>
      <c r="Y138" s="39"/>
      <c r="Z138" s="39" t="s">
        <v>1656</v>
      </c>
      <c r="AA138" s="39" t="s">
        <v>1787</v>
      </c>
      <c r="AB138" s="39"/>
      <c r="AC138" s="39"/>
      <c r="AD138" s="39" t="s">
        <v>1636</v>
      </c>
      <c r="AE138" s="39">
        <v>400</v>
      </c>
      <c r="AF138" s="39" t="s">
        <v>283</v>
      </c>
    </row>
    <row r="139" spans="1:32">
      <c r="A139" s="39" t="s">
        <v>1757</v>
      </c>
      <c r="B139" s="39" t="s">
        <v>1237</v>
      </c>
      <c r="C139" s="39" t="s">
        <v>1222</v>
      </c>
      <c r="D139" s="39" t="s">
        <v>1623</v>
      </c>
      <c r="E139" s="39" t="s">
        <v>1551</v>
      </c>
      <c r="F139" s="39">
        <v>5</v>
      </c>
      <c r="G139" s="39">
        <v>3</v>
      </c>
      <c r="H139" s="787">
        <v>-0.5</v>
      </c>
      <c r="I139" s="787">
        <v>0.5</v>
      </c>
      <c r="J139" s="787">
        <v>0.5</v>
      </c>
      <c r="K139" s="787">
        <v>-0.5</v>
      </c>
      <c r="L139" s="787">
        <v>0.5</v>
      </c>
      <c r="M139" s="787">
        <v>0</v>
      </c>
      <c r="N139" s="787">
        <v>-0.2</v>
      </c>
      <c r="O139" s="787">
        <v>0</v>
      </c>
      <c r="P139" s="787">
        <v>0</v>
      </c>
      <c r="Q139" s="39">
        <v>4</v>
      </c>
      <c r="R139" s="39">
        <v>4</v>
      </c>
      <c r="S139" s="39">
        <v>4</v>
      </c>
      <c r="T139" s="39" t="s">
        <v>1765</v>
      </c>
      <c r="U139" s="39" t="s">
        <v>1276</v>
      </c>
      <c r="V139" s="39">
        <v>0</v>
      </c>
      <c r="W139" s="39">
        <v>0</v>
      </c>
      <c r="X139" s="39">
        <v>4</v>
      </c>
      <c r="Y139" s="39"/>
      <c r="Z139" s="39"/>
      <c r="AA139" s="39" t="s">
        <v>1788</v>
      </c>
      <c r="AB139" s="39"/>
      <c r="AC139" s="39"/>
      <c r="AD139" s="39" t="s">
        <v>1636</v>
      </c>
      <c r="AE139" s="39">
        <v>400</v>
      </c>
      <c r="AF139" s="39" t="s">
        <v>283</v>
      </c>
    </row>
    <row r="140" spans="1:32">
      <c r="A140" s="39" t="s">
        <v>1758</v>
      </c>
      <c r="B140" s="39" t="s">
        <v>1239</v>
      </c>
      <c r="C140" s="39" t="s">
        <v>1222</v>
      </c>
      <c r="D140" s="39" t="s">
        <v>1672</v>
      </c>
      <c r="E140" s="785" t="s">
        <v>1882</v>
      </c>
      <c r="F140" s="39">
        <v>-5</v>
      </c>
      <c r="G140" s="39">
        <v>-5</v>
      </c>
      <c r="H140" s="787">
        <v>-0.5</v>
      </c>
      <c r="I140" s="787">
        <v>-0.5</v>
      </c>
      <c r="J140" s="787">
        <v>-0.5</v>
      </c>
      <c r="K140" s="787">
        <v>-0.5</v>
      </c>
      <c r="L140" s="787">
        <v>-0.5</v>
      </c>
      <c r="M140" s="787">
        <v>-0.5</v>
      </c>
      <c r="N140" s="787">
        <v>-0.5</v>
      </c>
      <c r="O140" s="787">
        <v>-0.5</v>
      </c>
      <c r="P140" s="787">
        <v>-0.5</v>
      </c>
      <c r="Q140" s="39">
        <v>0</v>
      </c>
      <c r="R140" s="39">
        <v>0</v>
      </c>
      <c r="S140" s="39">
        <v>0</v>
      </c>
      <c r="T140" s="39"/>
      <c r="U140" s="39" t="s">
        <v>1276</v>
      </c>
      <c r="V140" s="39">
        <v>0</v>
      </c>
      <c r="W140" s="39">
        <v>0</v>
      </c>
      <c r="X140" s="39">
        <v>4</v>
      </c>
      <c r="Y140" s="39" t="s">
        <v>1774</v>
      </c>
      <c r="Z140" s="39" t="s">
        <v>1782</v>
      </c>
      <c r="AA140" s="39" t="s">
        <v>1789</v>
      </c>
      <c r="AB140" s="39"/>
      <c r="AC140" s="39"/>
      <c r="AD140" s="39" t="s">
        <v>1636</v>
      </c>
      <c r="AE140" s="39">
        <v>400</v>
      </c>
      <c r="AF140" s="39" t="s">
        <v>283</v>
      </c>
    </row>
    <row r="141" spans="1:32">
      <c r="A141" s="39" t="s">
        <v>1759</v>
      </c>
      <c r="B141" s="39" t="s">
        <v>1241</v>
      </c>
      <c r="C141" s="39" t="s">
        <v>1222</v>
      </c>
      <c r="D141" s="39" t="s">
        <v>1761</v>
      </c>
      <c r="E141" s="39" t="s">
        <v>1623</v>
      </c>
      <c r="F141" s="39">
        <v>2</v>
      </c>
      <c r="G141" s="39">
        <v>2</v>
      </c>
      <c r="H141" s="787">
        <v>1</v>
      </c>
      <c r="I141" s="787">
        <v>-0.5</v>
      </c>
      <c r="J141" s="787">
        <v>0</v>
      </c>
      <c r="K141" s="787">
        <v>0</v>
      </c>
      <c r="L141" s="787">
        <v>0</v>
      </c>
      <c r="M141" s="787">
        <v>0</v>
      </c>
      <c r="N141" s="787">
        <v>0.5</v>
      </c>
      <c r="O141" s="787">
        <v>0</v>
      </c>
      <c r="P141" s="787">
        <v>0</v>
      </c>
      <c r="Q141" s="39">
        <v>4</v>
      </c>
      <c r="R141" s="39">
        <v>4</v>
      </c>
      <c r="S141" s="39">
        <v>4</v>
      </c>
      <c r="T141" s="39" t="s">
        <v>1766</v>
      </c>
      <c r="U141" s="39" t="s">
        <v>1276</v>
      </c>
      <c r="V141" s="39">
        <v>0</v>
      </c>
      <c r="W141" s="39">
        <v>0</v>
      </c>
      <c r="X141" s="39">
        <v>4</v>
      </c>
      <c r="Y141" s="39" t="s">
        <v>1775</v>
      </c>
      <c r="Z141" s="39" t="s">
        <v>1783</v>
      </c>
      <c r="AA141" s="39" t="s">
        <v>1790</v>
      </c>
      <c r="AB141" s="39"/>
      <c r="AC141" s="39"/>
      <c r="AD141" s="39" t="s">
        <v>1636</v>
      </c>
      <c r="AE141" s="39">
        <v>400</v>
      </c>
      <c r="AF141" s="39" t="s">
        <v>283</v>
      </c>
    </row>
    <row r="142" spans="1:32">
      <c r="A142" s="39" t="s">
        <v>1792</v>
      </c>
      <c r="B142" s="39" t="s">
        <v>1221</v>
      </c>
      <c r="C142" s="39" t="s">
        <v>1228</v>
      </c>
      <c r="D142" s="39" t="s">
        <v>1413</v>
      </c>
      <c r="E142" s="39" t="s">
        <v>1551</v>
      </c>
      <c r="F142" s="39">
        <v>-5</v>
      </c>
      <c r="G142" s="39">
        <v>5</v>
      </c>
      <c r="H142" s="787">
        <v>-0.2</v>
      </c>
      <c r="I142" s="787">
        <v>-0.2</v>
      </c>
      <c r="J142" s="787">
        <v>-0.2</v>
      </c>
      <c r="K142" s="787">
        <v>-0.2</v>
      </c>
      <c r="L142" s="787">
        <v>-0.2</v>
      </c>
      <c r="M142" s="787">
        <v>-0.2</v>
      </c>
      <c r="N142" s="787">
        <v>-0.2</v>
      </c>
      <c r="O142" s="787">
        <v>-0.2</v>
      </c>
      <c r="P142" s="787">
        <v>-0.2</v>
      </c>
      <c r="Q142" s="39">
        <v>4</v>
      </c>
      <c r="R142" s="39">
        <v>4</v>
      </c>
      <c r="S142" s="39">
        <v>4</v>
      </c>
      <c r="T142" s="39" t="s">
        <v>1803</v>
      </c>
      <c r="U142" s="39" t="s">
        <v>1276</v>
      </c>
      <c r="V142" s="39">
        <v>0</v>
      </c>
      <c r="W142" s="39">
        <v>0</v>
      </c>
      <c r="X142" s="39">
        <v>4</v>
      </c>
      <c r="Y142" s="39" t="s">
        <v>1423</v>
      </c>
      <c r="Z142" s="39" t="s">
        <v>1824</v>
      </c>
      <c r="AA142" s="39" t="s">
        <v>1835</v>
      </c>
      <c r="AB142" s="39"/>
      <c r="AC142" s="39"/>
      <c r="AD142" s="39" t="s">
        <v>1683</v>
      </c>
      <c r="AE142" s="39">
        <v>400</v>
      </c>
      <c r="AF142" s="39" t="s">
        <v>283</v>
      </c>
    </row>
    <row r="143" spans="1:32">
      <c r="A143" s="39" t="s">
        <v>1793</v>
      </c>
      <c r="B143" s="39" t="s">
        <v>1225</v>
      </c>
      <c r="C143" s="39" t="s">
        <v>1228</v>
      </c>
      <c r="D143" s="39" t="s">
        <v>1413</v>
      </c>
      <c r="E143" s="39" t="s">
        <v>1551</v>
      </c>
      <c r="F143" s="39">
        <v>-5</v>
      </c>
      <c r="G143" s="39">
        <v>0</v>
      </c>
      <c r="H143" s="787">
        <v>-0.2</v>
      </c>
      <c r="I143" s="787">
        <v>-0.2</v>
      </c>
      <c r="J143" s="787">
        <v>-0.2</v>
      </c>
      <c r="K143" s="787">
        <v>-0.2</v>
      </c>
      <c r="L143" s="787">
        <v>-0.2</v>
      </c>
      <c r="M143" s="787">
        <v>-0.2</v>
      </c>
      <c r="N143" s="787">
        <v>-0.2</v>
      </c>
      <c r="O143" s="787">
        <v>-1</v>
      </c>
      <c r="P143" s="787">
        <v>1</v>
      </c>
      <c r="Q143" s="39">
        <v>4</v>
      </c>
      <c r="R143" s="39">
        <v>4</v>
      </c>
      <c r="S143" s="39">
        <v>4</v>
      </c>
      <c r="T143" s="39" t="s">
        <v>1804</v>
      </c>
      <c r="U143" s="39" t="s">
        <v>1276</v>
      </c>
      <c r="V143" s="39">
        <v>0</v>
      </c>
      <c r="W143" s="39">
        <v>0</v>
      </c>
      <c r="X143" s="39">
        <v>4</v>
      </c>
      <c r="Y143" s="39" t="s">
        <v>1423</v>
      </c>
      <c r="Z143" s="39" t="s">
        <v>1825</v>
      </c>
      <c r="AA143" s="39" t="s">
        <v>1836</v>
      </c>
      <c r="AB143" s="39"/>
      <c r="AC143" s="39"/>
      <c r="AD143" s="39" t="s">
        <v>1814</v>
      </c>
      <c r="AE143" s="39">
        <v>400</v>
      </c>
      <c r="AF143" s="39" t="s">
        <v>283</v>
      </c>
    </row>
    <row r="144" spans="1:32">
      <c r="A144" s="39" t="s">
        <v>1794</v>
      </c>
      <c r="B144" s="39" t="s">
        <v>1227</v>
      </c>
      <c r="C144" s="39" t="s">
        <v>1228</v>
      </c>
      <c r="D144" s="39" t="s">
        <v>1413</v>
      </c>
      <c r="E144" s="39" t="s">
        <v>1551</v>
      </c>
      <c r="F144" s="39">
        <v>-5</v>
      </c>
      <c r="G144" s="39">
        <v>0</v>
      </c>
      <c r="H144" s="787">
        <v>-0.2</v>
      </c>
      <c r="I144" s="787">
        <v>-0.2</v>
      </c>
      <c r="J144" s="787">
        <v>-1</v>
      </c>
      <c r="K144" s="787">
        <v>1</v>
      </c>
      <c r="L144" s="787">
        <v>-0.2</v>
      </c>
      <c r="M144" s="787">
        <v>-0.2</v>
      </c>
      <c r="N144" s="787">
        <v>-0.2</v>
      </c>
      <c r="O144" s="787">
        <v>-0.2</v>
      </c>
      <c r="P144" s="787">
        <v>-0.2</v>
      </c>
      <c r="Q144" s="39">
        <v>4</v>
      </c>
      <c r="R144" s="39">
        <v>4</v>
      </c>
      <c r="S144" s="39">
        <v>4</v>
      </c>
      <c r="T144" s="39" t="s">
        <v>1805</v>
      </c>
      <c r="U144" s="39" t="s">
        <v>1276</v>
      </c>
      <c r="V144" s="39">
        <v>0</v>
      </c>
      <c r="W144" s="39">
        <v>0</v>
      </c>
      <c r="X144" s="39">
        <v>4</v>
      </c>
      <c r="Y144" s="39" t="s">
        <v>582</v>
      </c>
      <c r="Z144" s="39" t="s">
        <v>1826</v>
      </c>
      <c r="AA144" s="39" t="s">
        <v>1837</v>
      </c>
      <c r="AB144" s="39"/>
      <c r="AC144" s="39"/>
      <c r="AD144" s="39" t="s">
        <v>6517</v>
      </c>
      <c r="AE144" s="39">
        <v>400</v>
      </c>
      <c r="AF144" s="39" t="s">
        <v>283</v>
      </c>
    </row>
    <row r="145" spans="1:32">
      <c r="A145" s="39" t="s">
        <v>1795</v>
      </c>
      <c r="B145" s="39" t="s">
        <v>1229</v>
      </c>
      <c r="C145" s="39" t="s">
        <v>1228</v>
      </c>
      <c r="D145" s="39" t="s">
        <v>1413</v>
      </c>
      <c r="E145" s="39" t="s">
        <v>1551</v>
      </c>
      <c r="F145" s="39">
        <v>-5</v>
      </c>
      <c r="G145" s="39">
        <v>0</v>
      </c>
      <c r="H145" s="787">
        <v>-0.2</v>
      </c>
      <c r="I145" s="787">
        <v>-0.2</v>
      </c>
      <c r="J145" s="787">
        <v>-0.2</v>
      </c>
      <c r="K145" s="787">
        <v>-0.2</v>
      </c>
      <c r="L145" s="787">
        <v>-0.2</v>
      </c>
      <c r="M145" s="787">
        <v>-1</v>
      </c>
      <c r="N145" s="787">
        <v>1</v>
      </c>
      <c r="O145" s="787">
        <v>-0.2</v>
      </c>
      <c r="P145" s="787">
        <v>-0.2</v>
      </c>
      <c r="Q145" s="39">
        <v>4</v>
      </c>
      <c r="R145" s="39">
        <v>4</v>
      </c>
      <c r="S145" s="39">
        <v>4</v>
      </c>
      <c r="T145" s="39" t="s">
        <v>1806</v>
      </c>
      <c r="U145" s="39" t="s">
        <v>1276</v>
      </c>
      <c r="V145" s="39">
        <v>0</v>
      </c>
      <c r="W145" s="39">
        <v>0</v>
      </c>
      <c r="X145" s="39">
        <v>4</v>
      </c>
      <c r="Y145" s="39" t="s">
        <v>582</v>
      </c>
      <c r="Z145" s="39" t="s">
        <v>1827</v>
      </c>
      <c r="AA145" s="39" t="s">
        <v>1838</v>
      </c>
      <c r="AB145" s="39"/>
      <c r="AC145" s="39"/>
      <c r="AD145" s="39" t="s">
        <v>6518</v>
      </c>
      <c r="AE145" s="39">
        <v>400</v>
      </c>
      <c r="AF145" s="39" t="s">
        <v>283</v>
      </c>
    </row>
    <row r="146" spans="1:32">
      <c r="A146" s="39" t="s">
        <v>1796</v>
      </c>
      <c r="B146" s="39" t="s">
        <v>1231</v>
      </c>
      <c r="C146" s="39" t="s">
        <v>1228</v>
      </c>
      <c r="D146" s="39" t="s">
        <v>1413</v>
      </c>
      <c r="E146" s="39" t="s">
        <v>1551</v>
      </c>
      <c r="F146" s="39">
        <v>-5</v>
      </c>
      <c r="G146" s="39">
        <v>0</v>
      </c>
      <c r="H146" s="787">
        <v>-0.2</v>
      </c>
      <c r="I146" s="787">
        <v>-0.2</v>
      </c>
      <c r="J146" s="787">
        <v>-0.2</v>
      </c>
      <c r="K146" s="787">
        <v>-0.2</v>
      </c>
      <c r="L146" s="787">
        <v>1</v>
      </c>
      <c r="M146" s="787">
        <v>-0.2</v>
      </c>
      <c r="N146" s="787">
        <v>-1</v>
      </c>
      <c r="O146" s="787">
        <v>-0.2</v>
      </c>
      <c r="P146" s="787">
        <v>-0.2</v>
      </c>
      <c r="Q146" s="39">
        <v>4</v>
      </c>
      <c r="R146" s="39">
        <v>4</v>
      </c>
      <c r="S146" s="39">
        <v>4</v>
      </c>
      <c r="T146" s="39" t="s">
        <v>1807</v>
      </c>
      <c r="U146" s="39" t="s">
        <v>1276</v>
      </c>
      <c r="V146" s="39">
        <v>0</v>
      </c>
      <c r="W146" s="39">
        <v>0</v>
      </c>
      <c r="X146" s="39">
        <v>4</v>
      </c>
      <c r="Y146" s="39" t="s">
        <v>582</v>
      </c>
      <c r="Z146" s="39" t="s">
        <v>1828</v>
      </c>
      <c r="AA146" s="39" t="s">
        <v>1839</v>
      </c>
      <c r="AB146" s="39"/>
      <c r="AC146" s="39"/>
      <c r="AD146" s="39" t="s">
        <v>6568</v>
      </c>
      <c r="AE146" s="39">
        <v>400</v>
      </c>
      <c r="AF146" s="39" t="s">
        <v>283</v>
      </c>
    </row>
    <row r="147" spans="1:32">
      <c r="A147" s="39" t="s">
        <v>1797</v>
      </c>
      <c r="B147" s="39" t="s">
        <v>1233</v>
      </c>
      <c r="C147" s="39" t="s">
        <v>1228</v>
      </c>
      <c r="D147" s="39" t="s">
        <v>1413</v>
      </c>
      <c r="E147" s="39" t="s">
        <v>1551</v>
      </c>
      <c r="F147" s="39">
        <v>-5</v>
      </c>
      <c r="G147" s="39">
        <v>0</v>
      </c>
      <c r="H147" s="787">
        <v>-0.2</v>
      </c>
      <c r="I147" s="787">
        <v>-0.2</v>
      </c>
      <c r="J147" s="787">
        <v>-0.2</v>
      </c>
      <c r="K147" s="787">
        <v>-0.2</v>
      </c>
      <c r="L147" s="787">
        <v>-0.2</v>
      </c>
      <c r="M147" s="787">
        <v>-0.2</v>
      </c>
      <c r="N147" s="787">
        <v>-0.2</v>
      </c>
      <c r="O147" s="787">
        <v>1</v>
      </c>
      <c r="P147" s="787">
        <v>-1</v>
      </c>
      <c r="Q147" s="39">
        <v>4</v>
      </c>
      <c r="R147" s="39">
        <v>4</v>
      </c>
      <c r="S147" s="39">
        <v>4</v>
      </c>
      <c r="T147" s="39" t="s">
        <v>1808</v>
      </c>
      <c r="U147" s="39" t="s">
        <v>1276</v>
      </c>
      <c r="V147" s="39">
        <v>0</v>
      </c>
      <c r="W147" s="39">
        <v>0</v>
      </c>
      <c r="X147" s="39">
        <v>4</v>
      </c>
      <c r="Y147" s="39" t="s">
        <v>582</v>
      </c>
      <c r="Z147" s="39" t="s">
        <v>1829</v>
      </c>
      <c r="AA147" s="39" t="s">
        <v>1840</v>
      </c>
      <c r="AB147" s="39"/>
      <c r="AC147" s="39"/>
      <c r="AD147" s="39" t="s">
        <v>1818</v>
      </c>
      <c r="AE147" s="39">
        <v>400</v>
      </c>
      <c r="AF147" s="39" t="s">
        <v>283</v>
      </c>
    </row>
    <row r="148" spans="1:32">
      <c r="A148" s="39" t="s">
        <v>1798</v>
      </c>
      <c r="B148" s="39" t="s">
        <v>1235</v>
      </c>
      <c r="C148" s="39" t="s">
        <v>1228</v>
      </c>
      <c r="D148" s="39" t="s">
        <v>1413</v>
      </c>
      <c r="E148" s="39" t="s">
        <v>1551</v>
      </c>
      <c r="F148" s="39">
        <v>-5</v>
      </c>
      <c r="G148" s="39">
        <v>0</v>
      </c>
      <c r="H148" s="787">
        <v>-0.2</v>
      </c>
      <c r="I148" s="787">
        <v>-0.2</v>
      </c>
      <c r="J148" s="787">
        <v>1</v>
      </c>
      <c r="K148" s="787">
        <v>-1</v>
      </c>
      <c r="L148" s="787">
        <v>-0.2</v>
      </c>
      <c r="M148" s="787">
        <v>-0.2</v>
      </c>
      <c r="N148" s="787">
        <v>-0.2</v>
      </c>
      <c r="O148" s="787">
        <v>-0.2</v>
      </c>
      <c r="P148" s="787">
        <v>-0.2</v>
      </c>
      <c r="Q148" s="39">
        <v>4</v>
      </c>
      <c r="R148" s="39">
        <v>4</v>
      </c>
      <c r="S148" s="39">
        <v>4</v>
      </c>
      <c r="T148" s="39" t="s">
        <v>1809</v>
      </c>
      <c r="U148" s="39" t="s">
        <v>1276</v>
      </c>
      <c r="V148" s="39">
        <v>0</v>
      </c>
      <c r="W148" s="39">
        <v>0</v>
      </c>
      <c r="X148" s="39">
        <v>4</v>
      </c>
      <c r="Y148" s="39" t="s">
        <v>582</v>
      </c>
      <c r="Z148" s="39" t="s">
        <v>1830</v>
      </c>
      <c r="AA148" s="39" t="s">
        <v>1841</v>
      </c>
      <c r="AB148" s="39"/>
      <c r="AC148" s="39"/>
      <c r="AD148" s="39" t="s">
        <v>6519</v>
      </c>
      <c r="AE148" s="39">
        <v>400</v>
      </c>
      <c r="AF148" s="39" t="s">
        <v>283</v>
      </c>
    </row>
    <row r="149" spans="1:32">
      <c r="A149" s="39" t="s">
        <v>1799</v>
      </c>
      <c r="B149" s="39" t="s">
        <v>1237</v>
      </c>
      <c r="C149" s="39" t="s">
        <v>1228</v>
      </c>
      <c r="D149" s="39" t="s">
        <v>1413</v>
      </c>
      <c r="E149" s="39" t="s">
        <v>1551</v>
      </c>
      <c r="F149" s="39">
        <v>-5</v>
      </c>
      <c r="G149" s="39">
        <v>0</v>
      </c>
      <c r="H149" s="787">
        <v>-0.2</v>
      </c>
      <c r="I149" s="787">
        <v>-0.2</v>
      </c>
      <c r="J149" s="787">
        <v>-0.2</v>
      </c>
      <c r="K149" s="787">
        <v>-0.2</v>
      </c>
      <c r="L149" s="787">
        <v>-1</v>
      </c>
      <c r="M149" s="787">
        <v>1</v>
      </c>
      <c r="N149" s="787">
        <v>-0.2</v>
      </c>
      <c r="O149" s="787">
        <v>-0.2</v>
      </c>
      <c r="P149" s="787">
        <v>-0.2</v>
      </c>
      <c r="Q149" s="39">
        <v>4</v>
      </c>
      <c r="R149" s="39">
        <v>4</v>
      </c>
      <c r="S149" s="39">
        <v>4</v>
      </c>
      <c r="T149" s="39" t="s">
        <v>1810</v>
      </c>
      <c r="U149" s="39" t="s">
        <v>1276</v>
      </c>
      <c r="V149" s="39">
        <v>0</v>
      </c>
      <c r="W149" s="39">
        <v>0</v>
      </c>
      <c r="X149" s="39">
        <v>4</v>
      </c>
      <c r="Y149" s="39" t="s">
        <v>582</v>
      </c>
      <c r="Z149" s="39" t="s">
        <v>1831</v>
      </c>
      <c r="AA149" s="39" t="s">
        <v>1842</v>
      </c>
      <c r="AB149" s="39"/>
      <c r="AC149" s="39"/>
      <c r="AD149" s="39" t="s">
        <v>6520</v>
      </c>
      <c r="AE149" s="39">
        <v>400</v>
      </c>
      <c r="AF149" s="39" t="s">
        <v>283</v>
      </c>
    </row>
    <row r="150" spans="1:32">
      <c r="A150" s="39" t="s">
        <v>1800</v>
      </c>
      <c r="B150" s="39" t="s">
        <v>1239</v>
      </c>
      <c r="C150" s="39" t="s">
        <v>1228</v>
      </c>
      <c r="D150" s="39" t="s">
        <v>1413</v>
      </c>
      <c r="E150" s="39" t="s">
        <v>1551</v>
      </c>
      <c r="F150" s="39">
        <v>-5</v>
      </c>
      <c r="G150" s="39">
        <v>0</v>
      </c>
      <c r="H150" s="787">
        <v>-1</v>
      </c>
      <c r="I150" s="787">
        <v>1</v>
      </c>
      <c r="J150" s="787">
        <v>-0.2</v>
      </c>
      <c r="K150" s="787">
        <v>-0.2</v>
      </c>
      <c r="L150" s="787">
        <v>-0.2</v>
      </c>
      <c r="M150" s="787">
        <v>-0.2</v>
      </c>
      <c r="N150" s="787">
        <v>-0.2</v>
      </c>
      <c r="O150" s="787">
        <v>-0.2</v>
      </c>
      <c r="P150" s="787">
        <v>-0.2</v>
      </c>
      <c r="Q150" s="39">
        <v>4</v>
      </c>
      <c r="R150" s="39">
        <v>4</v>
      </c>
      <c r="S150" s="39">
        <v>4</v>
      </c>
      <c r="T150" s="39" t="s">
        <v>1811</v>
      </c>
      <c r="U150" s="39" t="s">
        <v>1276</v>
      </c>
      <c r="V150" s="39">
        <v>0</v>
      </c>
      <c r="W150" s="39">
        <v>0</v>
      </c>
      <c r="X150" s="39">
        <v>4</v>
      </c>
      <c r="Y150" s="39" t="s">
        <v>582</v>
      </c>
      <c r="Z150" s="39" t="s">
        <v>1832</v>
      </c>
      <c r="AA150" s="39" t="s">
        <v>1843</v>
      </c>
      <c r="AB150" s="39"/>
      <c r="AC150" s="39"/>
      <c r="AD150" s="39" t="s">
        <v>6521</v>
      </c>
      <c r="AE150" s="39">
        <v>400</v>
      </c>
      <c r="AF150" s="39" t="s">
        <v>283</v>
      </c>
    </row>
    <row r="151" spans="1:32">
      <c r="A151" s="39" t="s">
        <v>1801</v>
      </c>
      <c r="B151" s="39" t="s">
        <v>1241</v>
      </c>
      <c r="C151" s="39" t="s">
        <v>1228</v>
      </c>
      <c r="D151" s="39" t="s">
        <v>1413</v>
      </c>
      <c r="E151" s="39" t="s">
        <v>1551</v>
      </c>
      <c r="F151" s="39">
        <v>-5</v>
      </c>
      <c r="G151" s="39">
        <v>0</v>
      </c>
      <c r="H151" s="787">
        <v>1</v>
      </c>
      <c r="I151" s="787">
        <v>-1</v>
      </c>
      <c r="J151" s="787">
        <v>-0.2</v>
      </c>
      <c r="K151" s="787">
        <v>-0.2</v>
      </c>
      <c r="L151" s="787">
        <v>-0.2</v>
      </c>
      <c r="M151" s="787">
        <v>-0.2</v>
      </c>
      <c r="N151" s="787">
        <v>-0.2</v>
      </c>
      <c r="O151" s="787">
        <v>-0.2</v>
      </c>
      <c r="P151" s="787">
        <v>-0.2</v>
      </c>
      <c r="Q151" s="39">
        <v>4</v>
      </c>
      <c r="R151" s="39">
        <v>4</v>
      </c>
      <c r="S151" s="39">
        <v>4</v>
      </c>
      <c r="T151" s="39" t="s">
        <v>1812</v>
      </c>
      <c r="U151" s="39" t="s">
        <v>1276</v>
      </c>
      <c r="V151" s="39">
        <v>0</v>
      </c>
      <c r="W151" s="39">
        <v>0</v>
      </c>
      <c r="X151" s="39">
        <v>4</v>
      </c>
      <c r="Y151" s="39" t="s">
        <v>582</v>
      </c>
      <c r="Z151" s="39" t="s">
        <v>1833</v>
      </c>
      <c r="AA151" s="39" t="s">
        <v>1844</v>
      </c>
      <c r="AB151" s="39"/>
      <c r="AC151" s="39"/>
      <c r="AD151" s="39" t="s">
        <v>6522</v>
      </c>
      <c r="AE151" s="39">
        <v>400</v>
      </c>
      <c r="AF151" s="39" t="s">
        <v>283</v>
      </c>
    </row>
    <row r="152" spans="1:32">
      <c r="A152" s="39" t="s">
        <v>1846</v>
      </c>
      <c r="B152" s="39" t="s">
        <v>1221</v>
      </c>
      <c r="C152" s="39" t="s">
        <v>1232</v>
      </c>
      <c r="D152" s="39" t="s">
        <v>1551</v>
      </c>
      <c r="E152" s="39" t="s">
        <v>1551</v>
      </c>
      <c r="F152" s="39">
        <v>4</v>
      </c>
      <c r="G152" s="39">
        <v>4</v>
      </c>
      <c r="H152" s="787">
        <v>0</v>
      </c>
      <c r="I152" s="787">
        <v>0</v>
      </c>
      <c r="J152" s="787">
        <v>0</v>
      </c>
      <c r="K152" s="787">
        <v>0</v>
      </c>
      <c r="L152" s="787">
        <v>0</v>
      </c>
      <c r="M152" s="787">
        <v>0</v>
      </c>
      <c r="N152" s="787">
        <v>0</v>
      </c>
      <c r="O152" s="787">
        <v>0</v>
      </c>
      <c r="P152" s="787">
        <v>0</v>
      </c>
      <c r="Q152" s="39">
        <v>4</v>
      </c>
      <c r="R152" s="39">
        <v>4</v>
      </c>
      <c r="S152" s="39">
        <v>4</v>
      </c>
      <c r="T152" s="39" t="s">
        <v>1869</v>
      </c>
      <c r="U152" s="39" t="s">
        <v>1276</v>
      </c>
      <c r="V152" s="39">
        <v>0</v>
      </c>
      <c r="W152" s="39">
        <v>0</v>
      </c>
      <c r="X152" s="39">
        <v>5</v>
      </c>
      <c r="Y152" s="39" t="s">
        <v>1894</v>
      </c>
      <c r="Z152" s="39" t="s">
        <v>1910</v>
      </c>
      <c r="AA152" s="39" t="s">
        <v>1926</v>
      </c>
      <c r="AB152" s="39"/>
      <c r="AC152" s="39"/>
      <c r="AD152" s="39" t="s">
        <v>6569</v>
      </c>
      <c r="AE152" s="39">
        <v>600</v>
      </c>
      <c r="AF152" s="784" t="s">
        <v>6541</v>
      </c>
    </row>
    <row r="153" spans="1:32">
      <c r="A153" s="39" t="s">
        <v>1847</v>
      </c>
      <c r="B153" s="39" t="s">
        <v>1225</v>
      </c>
      <c r="C153" s="39" t="s">
        <v>1224</v>
      </c>
      <c r="D153" s="39" t="s">
        <v>1623</v>
      </c>
      <c r="E153" s="39" t="s">
        <v>1551</v>
      </c>
      <c r="F153" s="39">
        <v>5</v>
      </c>
      <c r="G153" s="39">
        <v>5</v>
      </c>
      <c r="H153" s="787">
        <v>-0.5</v>
      </c>
      <c r="I153" s="787">
        <v>0.5</v>
      </c>
      <c r="J153" s="787">
        <v>0</v>
      </c>
      <c r="K153" s="787">
        <v>0</v>
      </c>
      <c r="L153" s="787">
        <v>0</v>
      </c>
      <c r="M153" s="787">
        <v>0.5</v>
      </c>
      <c r="N153" s="787">
        <v>0</v>
      </c>
      <c r="O153" s="787">
        <v>0</v>
      </c>
      <c r="P153" s="787">
        <v>0</v>
      </c>
      <c r="Q153" s="39">
        <v>4</v>
      </c>
      <c r="R153" s="39">
        <v>4</v>
      </c>
      <c r="S153" s="39">
        <v>4</v>
      </c>
      <c r="T153" s="39" t="s">
        <v>1870</v>
      </c>
      <c r="U153" s="39" t="s">
        <v>1276</v>
      </c>
      <c r="V153" s="39">
        <v>0</v>
      </c>
      <c r="W153" s="39">
        <v>0</v>
      </c>
      <c r="X153" s="39">
        <v>5</v>
      </c>
      <c r="Y153" s="39" t="s">
        <v>1895</v>
      </c>
      <c r="Z153" s="39" t="s">
        <v>1911</v>
      </c>
      <c r="AA153" s="39"/>
      <c r="AB153" s="39"/>
      <c r="AC153" s="39"/>
      <c r="AD153" s="39" t="s">
        <v>6570</v>
      </c>
      <c r="AE153" s="39">
        <v>600</v>
      </c>
      <c r="AF153" s="784" t="s">
        <v>6541</v>
      </c>
    </row>
    <row r="154" spans="1:32">
      <c r="A154" s="39" t="s">
        <v>1848</v>
      </c>
      <c r="B154" s="39" t="s">
        <v>1227</v>
      </c>
      <c r="C154" s="39" t="s">
        <v>1232</v>
      </c>
      <c r="D154" s="39" t="s">
        <v>1623</v>
      </c>
      <c r="E154" s="785" t="s">
        <v>1882</v>
      </c>
      <c r="F154" s="39">
        <v>3</v>
      </c>
      <c r="G154" s="39">
        <v>3</v>
      </c>
      <c r="H154" s="787">
        <v>0</v>
      </c>
      <c r="I154" s="787">
        <v>0</v>
      </c>
      <c r="J154" s="787">
        <v>0</v>
      </c>
      <c r="K154" s="787">
        <v>0</v>
      </c>
      <c r="L154" s="787">
        <v>0</v>
      </c>
      <c r="M154" s="787">
        <v>0</v>
      </c>
      <c r="N154" s="787">
        <v>0</v>
      </c>
      <c r="O154" s="787">
        <v>0</v>
      </c>
      <c r="P154" s="787">
        <v>0</v>
      </c>
      <c r="Q154" s="39">
        <v>4</v>
      </c>
      <c r="R154" s="39">
        <v>4</v>
      </c>
      <c r="S154" s="39">
        <v>4</v>
      </c>
      <c r="T154" s="39" t="s">
        <v>1871</v>
      </c>
      <c r="U154" s="39" t="s">
        <v>1276</v>
      </c>
      <c r="V154" s="39">
        <v>0</v>
      </c>
      <c r="W154" s="39">
        <v>0</v>
      </c>
      <c r="X154" s="39">
        <v>5</v>
      </c>
      <c r="Y154" s="39"/>
      <c r="Z154" s="39" t="s">
        <v>1912</v>
      </c>
      <c r="AA154" s="39" t="s">
        <v>1927</v>
      </c>
      <c r="AB154" s="39"/>
      <c r="AC154" s="39"/>
      <c r="AD154" s="39" t="s">
        <v>6571</v>
      </c>
      <c r="AE154" s="39">
        <v>600</v>
      </c>
      <c r="AF154" s="784" t="s">
        <v>6541</v>
      </c>
    </row>
    <row r="155" spans="1:32">
      <c r="A155" s="39" t="s">
        <v>1849</v>
      </c>
      <c r="B155" s="39" t="s">
        <v>1229</v>
      </c>
      <c r="C155" s="39" t="s">
        <v>1226</v>
      </c>
      <c r="D155" s="39" t="s">
        <v>1865</v>
      </c>
      <c r="E155" s="39" t="s">
        <v>1551</v>
      </c>
      <c r="F155" s="39">
        <v>3</v>
      </c>
      <c r="G155" s="39">
        <v>3</v>
      </c>
      <c r="H155" s="787">
        <v>-2</v>
      </c>
      <c r="I155" s="787">
        <v>0.5</v>
      </c>
      <c r="J155" s="787">
        <v>-0.1</v>
      </c>
      <c r="K155" s="787">
        <v>0.5</v>
      </c>
      <c r="L155" s="787">
        <v>0.5</v>
      </c>
      <c r="M155" s="787">
        <v>-0.1</v>
      </c>
      <c r="N155" s="787">
        <v>0.5</v>
      </c>
      <c r="O155" s="787">
        <v>0</v>
      </c>
      <c r="P155" s="787">
        <v>0</v>
      </c>
      <c r="Q155" s="39">
        <v>4</v>
      </c>
      <c r="R155" s="39">
        <v>4</v>
      </c>
      <c r="S155" s="39">
        <v>4</v>
      </c>
      <c r="T155" s="39"/>
      <c r="U155" s="39" t="s">
        <v>1276</v>
      </c>
      <c r="V155" s="39">
        <v>0</v>
      </c>
      <c r="W155" s="39">
        <v>0</v>
      </c>
      <c r="X155" s="39">
        <v>5</v>
      </c>
      <c r="Y155" s="39" t="s">
        <v>1896</v>
      </c>
      <c r="Z155" s="39" t="s">
        <v>1913</v>
      </c>
      <c r="AA155" s="39"/>
      <c r="AB155" s="39"/>
      <c r="AC155" s="39"/>
      <c r="AD155" s="39" t="s">
        <v>6572</v>
      </c>
      <c r="AE155" s="39">
        <v>600</v>
      </c>
      <c r="AF155" s="784" t="s">
        <v>6541</v>
      </c>
    </row>
    <row r="156" spans="1:32">
      <c r="A156" s="39" t="s">
        <v>1850</v>
      </c>
      <c r="B156" s="39" t="s">
        <v>1231</v>
      </c>
      <c r="C156" s="39" t="s">
        <v>1232</v>
      </c>
      <c r="D156" s="39" t="s">
        <v>1865</v>
      </c>
      <c r="E156" s="785" t="s">
        <v>1882</v>
      </c>
      <c r="F156" s="39">
        <v>3</v>
      </c>
      <c r="G156" s="39">
        <v>3</v>
      </c>
      <c r="H156" s="787">
        <v>0</v>
      </c>
      <c r="I156" s="787">
        <v>0</v>
      </c>
      <c r="J156" s="787">
        <v>0</v>
      </c>
      <c r="K156" s="787">
        <v>0</v>
      </c>
      <c r="L156" s="787">
        <v>0</v>
      </c>
      <c r="M156" s="787">
        <v>0</v>
      </c>
      <c r="N156" s="787">
        <v>0</v>
      </c>
      <c r="O156" s="787">
        <v>0</v>
      </c>
      <c r="P156" s="787">
        <v>0</v>
      </c>
      <c r="Q156" s="39">
        <v>4</v>
      </c>
      <c r="R156" s="39">
        <v>4</v>
      </c>
      <c r="S156" s="39">
        <v>4</v>
      </c>
      <c r="T156" s="39" t="s">
        <v>1872</v>
      </c>
      <c r="U156" s="39" t="s">
        <v>1276</v>
      </c>
      <c r="V156" s="39">
        <v>0</v>
      </c>
      <c r="W156" s="39">
        <v>0</v>
      </c>
      <c r="X156" s="39">
        <v>5</v>
      </c>
      <c r="Y156" s="39" t="s">
        <v>1897</v>
      </c>
      <c r="Z156" s="39" t="s">
        <v>1914</v>
      </c>
      <c r="AA156" s="39" t="s">
        <v>1928</v>
      </c>
      <c r="AB156" s="39"/>
      <c r="AC156" s="39"/>
      <c r="AD156" s="39" t="s">
        <v>6573</v>
      </c>
      <c r="AE156" s="39">
        <v>600</v>
      </c>
      <c r="AF156" s="784" t="s">
        <v>6541</v>
      </c>
    </row>
    <row r="157" spans="1:32">
      <c r="A157" s="39" t="s">
        <v>1851</v>
      </c>
      <c r="B157" s="39" t="s">
        <v>1233</v>
      </c>
      <c r="C157" s="39" t="s">
        <v>1222</v>
      </c>
      <c r="D157" s="39" t="s">
        <v>1865</v>
      </c>
      <c r="E157" s="39" t="s">
        <v>1551</v>
      </c>
      <c r="F157" s="39">
        <v>3</v>
      </c>
      <c r="G157" s="39">
        <v>3</v>
      </c>
      <c r="H157" s="787">
        <v>0</v>
      </c>
      <c r="I157" s="787">
        <v>0</v>
      </c>
      <c r="J157" s="787">
        <v>0</v>
      </c>
      <c r="K157" s="787">
        <v>0</v>
      </c>
      <c r="L157" s="787">
        <v>0</v>
      </c>
      <c r="M157" s="787">
        <v>0</v>
      </c>
      <c r="N157" s="787">
        <v>0</v>
      </c>
      <c r="O157" s="787">
        <v>0</v>
      </c>
      <c r="P157" s="787">
        <v>0</v>
      </c>
      <c r="Q157" s="39">
        <v>4</v>
      </c>
      <c r="R157" s="39">
        <v>4</v>
      </c>
      <c r="S157" s="39">
        <v>4</v>
      </c>
      <c r="T157" s="39"/>
      <c r="U157" s="39" t="s">
        <v>1276</v>
      </c>
      <c r="V157" s="39">
        <v>0</v>
      </c>
      <c r="W157" s="39">
        <v>0</v>
      </c>
      <c r="X157" s="39">
        <v>5</v>
      </c>
      <c r="Y157" s="39" t="s">
        <v>1898</v>
      </c>
      <c r="Z157" s="39" t="s">
        <v>1915</v>
      </c>
      <c r="AA157" s="39" t="s">
        <v>1929</v>
      </c>
      <c r="AB157" s="39"/>
      <c r="AC157" s="39"/>
      <c r="AD157" s="39" t="s">
        <v>6574</v>
      </c>
      <c r="AE157" s="39">
        <v>600</v>
      </c>
      <c r="AF157" s="784" t="s">
        <v>6541</v>
      </c>
    </row>
    <row r="158" spans="1:32">
      <c r="A158" s="39" t="s">
        <v>1852</v>
      </c>
      <c r="B158" s="39" t="s">
        <v>1235</v>
      </c>
      <c r="C158" s="39" t="s">
        <v>1230</v>
      </c>
      <c r="D158" s="39" t="s">
        <v>1413</v>
      </c>
      <c r="E158" s="39" t="s">
        <v>1551</v>
      </c>
      <c r="F158" s="39">
        <v>4</v>
      </c>
      <c r="G158" s="39">
        <v>4</v>
      </c>
      <c r="H158" s="787">
        <v>0.5</v>
      </c>
      <c r="I158" s="787">
        <v>0.5</v>
      </c>
      <c r="J158" s="787">
        <v>1.5</v>
      </c>
      <c r="K158" s="787">
        <v>-1</v>
      </c>
      <c r="L158" s="787">
        <v>0</v>
      </c>
      <c r="M158" s="787">
        <v>0</v>
      </c>
      <c r="N158" s="787">
        <v>0</v>
      </c>
      <c r="O158" s="787">
        <v>0</v>
      </c>
      <c r="P158" s="787">
        <v>0</v>
      </c>
      <c r="Q158" s="39">
        <v>4</v>
      </c>
      <c r="R158" s="39">
        <v>4</v>
      </c>
      <c r="S158" s="39">
        <v>4</v>
      </c>
      <c r="T158" s="39" t="s">
        <v>1873</v>
      </c>
      <c r="U158" s="39" t="s">
        <v>1276</v>
      </c>
      <c r="V158" s="39">
        <v>0</v>
      </c>
      <c r="W158" s="39">
        <v>0</v>
      </c>
      <c r="X158" s="39">
        <v>5</v>
      </c>
      <c r="Y158" s="39" t="s">
        <v>1899</v>
      </c>
      <c r="Z158" s="39" t="s">
        <v>1916</v>
      </c>
      <c r="AA158" s="39" t="s">
        <v>1930</v>
      </c>
      <c r="AB158" s="39"/>
      <c r="AC158" s="39"/>
      <c r="AD158" s="39" t="s">
        <v>6575</v>
      </c>
      <c r="AE158" s="39">
        <v>600</v>
      </c>
      <c r="AF158" s="784" t="s">
        <v>6541</v>
      </c>
    </row>
    <row r="159" spans="1:32">
      <c r="A159" s="39" t="s">
        <v>1853</v>
      </c>
      <c r="B159" s="39" t="s">
        <v>1237</v>
      </c>
      <c r="C159" s="39" t="s">
        <v>1232</v>
      </c>
      <c r="D159" s="39" t="s">
        <v>1551</v>
      </c>
      <c r="E159" s="39" t="s">
        <v>1551</v>
      </c>
      <c r="F159" s="39">
        <v>4</v>
      </c>
      <c r="G159" s="39">
        <v>4</v>
      </c>
      <c r="H159" s="787">
        <v>0.5</v>
      </c>
      <c r="I159" s="787">
        <v>0.5</v>
      </c>
      <c r="J159" s="787">
        <v>0</v>
      </c>
      <c r="K159" s="787">
        <v>0</v>
      </c>
      <c r="L159" s="787">
        <v>0</v>
      </c>
      <c r="M159" s="787">
        <v>0</v>
      </c>
      <c r="N159" s="787">
        <v>0</v>
      </c>
      <c r="O159" s="787">
        <v>0</v>
      </c>
      <c r="P159" s="787">
        <v>0</v>
      </c>
      <c r="Q159" s="39">
        <v>4</v>
      </c>
      <c r="R159" s="39">
        <v>4</v>
      </c>
      <c r="S159" s="39">
        <v>4</v>
      </c>
      <c r="T159" s="39" t="s">
        <v>1874</v>
      </c>
      <c r="U159" s="39" t="s">
        <v>1276</v>
      </c>
      <c r="V159" s="39">
        <v>0</v>
      </c>
      <c r="W159" s="39">
        <v>0</v>
      </c>
      <c r="X159" s="39">
        <v>5</v>
      </c>
      <c r="Y159" s="39" t="s">
        <v>1900</v>
      </c>
      <c r="Z159" s="39" t="s">
        <v>1917</v>
      </c>
      <c r="AA159" s="39" t="s">
        <v>1931</v>
      </c>
      <c r="AB159" s="39"/>
      <c r="AC159" s="39"/>
      <c r="AD159" s="39" t="s">
        <v>6576</v>
      </c>
      <c r="AE159" s="39">
        <v>600</v>
      </c>
      <c r="AF159" s="784" t="s">
        <v>6541</v>
      </c>
    </row>
    <row r="160" spans="1:32">
      <c r="A160" s="39" t="s">
        <v>1854</v>
      </c>
      <c r="B160" s="39" t="s">
        <v>1239</v>
      </c>
      <c r="C160" s="39" t="s">
        <v>1230</v>
      </c>
      <c r="D160" s="39" t="s">
        <v>1551</v>
      </c>
      <c r="E160" s="39" t="s">
        <v>1551</v>
      </c>
      <c r="F160" s="39">
        <v>6</v>
      </c>
      <c r="G160" s="39">
        <v>6</v>
      </c>
      <c r="H160" s="787">
        <v>0</v>
      </c>
      <c r="I160" s="787">
        <v>0.8</v>
      </c>
      <c r="J160" s="787">
        <v>0</v>
      </c>
      <c r="K160" s="787">
        <v>0</v>
      </c>
      <c r="L160" s="787">
        <v>0</v>
      </c>
      <c r="M160" s="787">
        <v>0</v>
      </c>
      <c r="N160" s="787">
        <v>0</v>
      </c>
      <c r="O160" s="787">
        <v>0</v>
      </c>
      <c r="P160" s="787">
        <v>0</v>
      </c>
      <c r="Q160" s="39">
        <v>4</v>
      </c>
      <c r="R160" s="39">
        <v>4</v>
      </c>
      <c r="S160" s="39">
        <v>4</v>
      </c>
      <c r="T160" s="39" t="s">
        <v>6523</v>
      </c>
      <c r="U160" s="39" t="s">
        <v>1882</v>
      </c>
      <c r="V160" s="39">
        <v>0</v>
      </c>
      <c r="W160" s="39">
        <v>0</v>
      </c>
      <c r="X160" s="39">
        <v>5</v>
      </c>
      <c r="Y160" s="39" t="s">
        <v>1521</v>
      </c>
      <c r="Z160" s="39" t="s">
        <v>6524</v>
      </c>
      <c r="AA160" s="39"/>
      <c r="AB160" s="39"/>
      <c r="AC160" s="39"/>
      <c r="AD160" s="39" t="s">
        <v>6577</v>
      </c>
      <c r="AE160" s="39">
        <v>600</v>
      </c>
      <c r="AF160" s="784" t="s">
        <v>6541</v>
      </c>
    </row>
    <row r="161" spans="1:32">
      <c r="A161" s="39" t="s">
        <v>1855</v>
      </c>
      <c r="B161" s="39" t="s">
        <v>1241</v>
      </c>
      <c r="C161" s="39" t="s">
        <v>1228</v>
      </c>
      <c r="D161" s="39" t="s">
        <v>1551</v>
      </c>
      <c r="E161" s="785" t="s">
        <v>1882</v>
      </c>
      <c r="F161" s="39">
        <v>4</v>
      </c>
      <c r="G161" s="39">
        <v>4</v>
      </c>
      <c r="H161" s="787">
        <v>0.5</v>
      </c>
      <c r="I161" s="787">
        <v>0.5</v>
      </c>
      <c r="J161" s="787">
        <v>0</v>
      </c>
      <c r="K161" s="787">
        <v>0</v>
      </c>
      <c r="L161" s="787">
        <v>0</v>
      </c>
      <c r="M161" s="787">
        <v>0</v>
      </c>
      <c r="N161" s="787">
        <v>0</v>
      </c>
      <c r="O161" s="787">
        <v>0</v>
      </c>
      <c r="P161" s="787">
        <v>0</v>
      </c>
      <c r="Q161" s="39">
        <v>4</v>
      </c>
      <c r="R161" s="39">
        <v>4</v>
      </c>
      <c r="S161" s="39">
        <v>4</v>
      </c>
      <c r="T161" s="39" t="s">
        <v>1876</v>
      </c>
      <c r="U161" s="39" t="s">
        <v>1276</v>
      </c>
      <c r="V161" s="39">
        <v>0</v>
      </c>
      <c r="W161" s="39">
        <v>0</v>
      </c>
      <c r="X161" s="39">
        <v>5</v>
      </c>
      <c r="Y161" s="39" t="s">
        <v>1901</v>
      </c>
      <c r="Z161" s="39"/>
      <c r="AA161" s="39"/>
      <c r="AB161" s="39"/>
      <c r="AC161" s="39"/>
      <c r="AD161" s="39" t="s">
        <v>6578</v>
      </c>
      <c r="AE161" s="39">
        <v>600</v>
      </c>
      <c r="AF161" s="784" t="s">
        <v>6541</v>
      </c>
    </row>
    <row r="162" spans="1:32">
      <c r="A162" s="39" t="s">
        <v>1941</v>
      </c>
      <c r="B162" s="39" t="s">
        <v>1221</v>
      </c>
      <c r="C162" s="39" t="s">
        <v>1232</v>
      </c>
      <c r="D162" s="39" t="s">
        <v>1953</v>
      </c>
      <c r="E162" s="39" t="s">
        <v>1672</v>
      </c>
      <c r="F162" s="39">
        <v>5</v>
      </c>
      <c r="G162" s="39"/>
      <c r="H162" s="787">
        <v>0.2</v>
      </c>
      <c r="I162" s="787">
        <v>0</v>
      </c>
      <c r="J162" s="787">
        <v>0</v>
      </c>
      <c r="K162" s="787">
        <v>0</v>
      </c>
      <c r="L162" s="787">
        <v>0.7</v>
      </c>
      <c r="M162" s="787">
        <v>0</v>
      </c>
      <c r="N162" s="787">
        <v>-1</v>
      </c>
      <c r="O162" s="787">
        <v>-0.5</v>
      </c>
      <c r="P162" s="787">
        <v>0</v>
      </c>
      <c r="Q162" s="39">
        <v>6</v>
      </c>
      <c r="R162" s="39">
        <v>6</v>
      </c>
      <c r="S162" s="39">
        <v>0</v>
      </c>
      <c r="T162" s="39" t="s">
        <v>1961</v>
      </c>
      <c r="U162" s="39">
        <v>3</v>
      </c>
      <c r="V162" s="39">
        <v>0</v>
      </c>
      <c r="W162" s="39">
        <v>0</v>
      </c>
      <c r="X162" s="39">
        <v>6</v>
      </c>
      <c r="Y162" s="39" t="s">
        <v>1970</v>
      </c>
      <c r="Z162" s="39" t="s">
        <v>1979</v>
      </c>
      <c r="AA162" s="39" t="s">
        <v>1990</v>
      </c>
      <c r="AB162" s="39" t="s">
        <v>2001</v>
      </c>
      <c r="AC162" s="39" t="s">
        <v>2012</v>
      </c>
      <c r="AD162" s="39" t="s">
        <v>6579</v>
      </c>
      <c r="AE162" s="39">
        <v>800</v>
      </c>
      <c r="AF162" t="s">
        <v>285</v>
      </c>
    </row>
    <row r="163" spans="1:32">
      <c r="A163" s="39" t="s">
        <v>1942</v>
      </c>
      <c r="B163" s="39" t="s">
        <v>1225</v>
      </c>
      <c r="C163" s="39" t="s">
        <v>1232</v>
      </c>
      <c r="D163" s="39" t="s">
        <v>1954</v>
      </c>
      <c r="E163" s="39" t="s">
        <v>1956</v>
      </c>
      <c r="F163" s="39">
        <v>5</v>
      </c>
      <c r="G163" s="39"/>
      <c r="H163" s="787">
        <v>0</v>
      </c>
      <c r="I163" s="787">
        <v>-0.5</v>
      </c>
      <c r="J163" s="787">
        <v>0</v>
      </c>
      <c r="K163" s="787">
        <v>0</v>
      </c>
      <c r="L163" s="787">
        <v>0</v>
      </c>
      <c r="M163" s="787">
        <v>0</v>
      </c>
      <c r="N163" s="787">
        <v>-0.5</v>
      </c>
      <c r="O163" s="787">
        <v>-0.5</v>
      </c>
      <c r="P163" s="787">
        <v>0.5</v>
      </c>
      <c r="Q163" s="39">
        <v>10</v>
      </c>
      <c r="R163" s="39">
        <v>0</v>
      </c>
      <c r="S163" s="39">
        <v>0</v>
      </c>
      <c r="T163" s="39" t="s">
        <v>1962</v>
      </c>
      <c r="U163" s="39">
        <v>3</v>
      </c>
      <c r="V163" s="39">
        <v>0</v>
      </c>
      <c r="W163" s="39">
        <v>0</v>
      </c>
      <c r="X163" s="39">
        <v>6</v>
      </c>
      <c r="Y163" s="39"/>
      <c r="Z163" s="39" t="s">
        <v>1980</v>
      </c>
      <c r="AA163" s="39" t="s">
        <v>6525</v>
      </c>
      <c r="AB163" s="39" t="s">
        <v>2002</v>
      </c>
      <c r="AC163" s="39" t="s">
        <v>6526</v>
      </c>
      <c r="AD163" s="39" t="s">
        <v>6580</v>
      </c>
      <c r="AE163" s="39">
        <v>800</v>
      </c>
      <c r="AF163" s="39" t="s">
        <v>285</v>
      </c>
    </row>
    <row r="164" spans="1:32">
      <c r="A164" s="39" t="s">
        <v>1943</v>
      </c>
      <c r="B164" s="39" t="s">
        <v>1227</v>
      </c>
      <c r="C164" s="39" t="s">
        <v>1226</v>
      </c>
      <c r="D164" s="39" t="s">
        <v>1954</v>
      </c>
      <c r="E164" s="39" t="s">
        <v>1551</v>
      </c>
      <c r="F164" s="39">
        <v>4</v>
      </c>
      <c r="G164" s="39"/>
      <c r="H164" s="787">
        <v>0</v>
      </c>
      <c r="I164" s="787">
        <v>0</v>
      </c>
      <c r="J164" s="787">
        <v>-0.5</v>
      </c>
      <c r="K164" s="787">
        <v>2</v>
      </c>
      <c r="L164" s="787">
        <v>0</v>
      </c>
      <c r="M164" s="787">
        <v>0</v>
      </c>
      <c r="N164" s="787">
        <v>0</v>
      </c>
      <c r="O164" s="787">
        <v>0.5</v>
      </c>
      <c r="P164" s="787">
        <v>-0.5</v>
      </c>
      <c r="Q164" s="39">
        <v>2</v>
      </c>
      <c r="R164" s="39">
        <v>-2</v>
      </c>
      <c r="S164" s="39">
        <v>8</v>
      </c>
      <c r="T164" s="39" t="s">
        <v>6527</v>
      </c>
      <c r="U164" s="39">
        <v>3</v>
      </c>
      <c r="V164" s="39">
        <v>0</v>
      </c>
      <c r="W164" s="39">
        <v>0</v>
      </c>
      <c r="X164" s="39">
        <v>6</v>
      </c>
      <c r="Y164" s="39" t="s">
        <v>1971</v>
      </c>
      <c r="Z164" s="39" t="s">
        <v>1981</v>
      </c>
      <c r="AA164" s="39" t="s">
        <v>6528</v>
      </c>
      <c r="AB164" s="39" t="s">
        <v>2003</v>
      </c>
      <c r="AC164" s="39" t="s">
        <v>6529</v>
      </c>
      <c r="AD164" s="39" t="s">
        <v>6581</v>
      </c>
      <c r="AE164" s="39">
        <v>800</v>
      </c>
      <c r="AF164" s="39" t="s">
        <v>285</v>
      </c>
    </row>
    <row r="165" spans="1:32">
      <c r="A165" s="39" t="s">
        <v>1944</v>
      </c>
      <c r="B165" s="39" t="s">
        <v>1229</v>
      </c>
      <c r="C165" s="39" t="s">
        <v>1222</v>
      </c>
      <c r="D165" s="39" t="s">
        <v>1953</v>
      </c>
      <c r="E165" s="39" t="s">
        <v>1956</v>
      </c>
      <c r="F165" s="39">
        <v>3</v>
      </c>
      <c r="G165" s="39"/>
      <c r="H165" s="787">
        <v>0</v>
      </c>
      <c r="I165" s="787">
        <v>0.2</v>
      </c>
      <c r="J165" s="787">
        <v>0</v>
      </c>
      <c r="K165" s="787">
        <v>0</v>
      </c>
      <c r="L165" s="787">
        <v>0</v>
      </c>
      <c r="M165" s="787">
        <v>0</v>
      </c>
      <c r="N165" s="787">
        <v>0.2</v>
      </c>
      <c r="O165" s="787">
        <v>0</v>
      </c>
      <c r="P165" s="787">
        <v>0.2</v>
      </c>
      <c r="Q165" s="39">
        <v>3</v>
      </c>
      <c r="R165" s="39">
        <v>3</v>
      </c>
      <c r="S165" s="39">
        <v>3</v>
      </c>
      <c r="T165" s="39" t="s">
        <v>1964</v>
      </c>
      <c r="U165" s="39">
        <v>3</v>
      </c>
      <c r="V165" s="39">
        <v>0</v>
      </c>
      <c r="W165" s="39">
        <v>0</v>
      </c>
      <c r="X165" s="39">
        <v>6</v>
      </c>
      <c r="Y165" s="39" t="s">
        <v>1972</v>
      </c>
      <c r="Z165" s="39" t="s">
        <v>1982</v>
      </c>
      <c r="AA165" s="39" t="s">
        <v>6530</v>
      </c>
      <c r="AB165" s="39" t="s">
        <v>2004</v>
      </c>
      <c r="AC165" s="39" t="s">
        <v>2015</v>
      </c>
      <c r="AD165" s="39" t="s">
        <v>6582</v>
      </c>
      <c r="AE165" s="39">
        <v>800</v>
      </c>
      <c r="AF165" s="39" t="s">
        <v>285</v>
      </c>
    </row>
    <row r="166" spans="1:32">
      <c r="A166" s="39" t="s">
        <v>1945</v>
      </c>
      <c r="B166" s="39" t="s">
        <v>1231</v>
      </c>
      <c r="C166" s="39" t="s">
        <v>1952</v>
      </c>
      <c r="D166" s="39" t="s">
        <v>1954</v>
      </c>
      <c r="E166" s="39" t="s">
        <v>1672</v>
      </c>
      <c r="F166" s="39">
        <v>5</v>
      </c>
      <c r="G166" s="39"/>
      <c r="H166" s="787">
        <v>0</v>
      </c>
      <c r="I166" s="787">
        <v>0</v>
      </c>
      <c r="J166" s="787">
        <v>0.4</v>
      </c>
      <c r="K166" s="787">
        <v>-0.5</v>
      </c>
      <c r="L166" s="787">
        <v>0.2</v>
      </c>
      <c r="M166" s="787">
        <v>0.2</v>
      </c>
      <c r="N166" s="787">
        <v>-1</v>
      </c>
      <c r="O166" s="787">
        <v>1</v>
      </c>
      <c r="P166" s="787">
        <v>1</v>
      </c>
      <c r="Q166" s="39">
        <v>8</v>
      </c>
      <c r="R166" s="39">
        <v>0</v>
      </c>
      <c r="S166" s="39">
        <v>0</v>
      </c>
      <c r="T166" s="39" t="s">
        <v>1965</v>
      </c>
      <c r="U166" s="39">
        <v>3</v>
      </c>
      <c r="V166" s="39">
        <v>0</v>
      </c>
      <c r="W166" s="39">
        <v>0</v>
      </c>
      <c r="X166" s="39">
        <v>6</v>
      </c>
      <c r="Y166" s="39" t="s">
        <v>1973</v>
      </c>
      <c r="Z166" s="39" t="s">
        <v>1983</v>
      </c>
      <c r="AA166" s="39" t="s">
        <v>1994</v>
      </c>
      <c r="AB166" s="39" t="s">
        <v>2005</v>
      </c>
      <c r="AC166" s="39" t="s">
        <v>2016</v>
      </c>
      <c r="AD166" s="39" t="s">
        <v>6583</v>
      </c>
      <c r="AE166" s="39">
        <v>800</v>
      </c>
      <c r="AF166" s="39" t="s">
        <v>285</v>
      </c>
    </row>
    <row r="167" spans="1:32">
      <c r="A167" s="39" t="s">
        <v>1946</v>
      </c>
      <c r="B167" s="39" t="s">
        <v>1233</v>
      </c>
      <c r="C167" s="39" t="s">
        <v>1222</v>
      </c>
      <c r="D167" s="39" t="s">
        <v>1955</v>
      </c>
      <c r="E167" s="39" t="s">
        <v>1956</v>
      </c>
      <c r="F167" s="39">
        <v>5</v>
      </c>
      <c r="G167" s="39"/>
      <c r="H167" s="787">
        <v>-0.2</v>
      </c>
      <c r="I167" s="787">
        <v>0.2</v>
      </c>
      <c r="J167" s="787">
        <v>0.4</v>
      </c>
      <c r="K167" s="787">
        <v>-0.2</v>
      </c>
      <c r="L167" s="787">
        <v>0</v>
      </c>
      <c r="M167" s="787">
        <v>-0.3</v>
      </c>
      <c r="N167" s="787">
        <v>0</v>
      </c>
      <c r="O167" s="787">
        <v>0.5</v>
      </c>
      <c r="P167" s="787">
        <v>-0.5</v>
      </c>
      <c r="Q167" s="39">
        <v>8</v>
      </c>
      <c r="R167" s="39">
        <v>0</v>
      </c>
      <c r="S167" s="39">
        <v>0</v>
      </c>
      <c r="T167" s="39" t="s">
        <v>1961</v>
      </c>
      <c r="U167" s="39">
        <v>3</v>
      </c>
      <c r="V167" s="39">
        <v>0</v>
      </c>
      <c r="W167" s="39">
        <v>0</v>
      </c>
      <c r="X167" s="39">
        <v>6</v>
      </c>
      <c r="Y167" s="39" t="s">
        <v>1974</v>
      </c>
      <c r="Z167" s="39" t="s">
        <v>1984</v>
      </c>
      <c r="AA167" s="39" t="s">
        <v>1995</v>
      </c>
      <c r="AB167" s="39" t="s">
        <v>2006</v>
      </c>
      <c r="AC167" s="39" t="s">
        <v>2017</v>
      </c>
      <c r="AD167" s="39" t="s">
        <v>6584</v>
      </c>
      <c r="AE167" s="39">
        <v>800</v>
      </c>
      <c r="AF167" s="39" t="s">
        <v>285</v>
      </c>
    </row>
    <row r="168" spans="1:32">
      <c r="A168" s="39" t="s">
        <v>1947</v>
      </c>
      <c r="B168" s="39" t="s">
        <v>1235</v>
      </c>
      <c r="C168" s="39" t="s">
        <v>1230</v>
      </c>
      <c r="D168" s="39" t="s">
        <v>1953</v>
      </c>
      <c r="E168" s="39" t="s">
        <v>1672</v>
      </c>
      <c r="F168" s="39">
        <v>4</v>
      </c>
      <c r="G168" s="39"/>
      <c r="H168" s="787">
        <v>-0.2</v>
      </c>
      <c r="I168" s="787">
        <v>0.2</v>
      </c>
      <c r="J168" s="787">
        <v>1.5</v>
      </c>
      <c r="K168" s="787">
        <v>-1</v>
      </c>
      <c r="L168" s="787">
        <v>0.3</v>
      </c>
      <c r="M168" s="787">
        <v>-0.3</v>
      </c>
      <c r="N168" s="787">
        <v>0</v>
      </c>
      <c r="O168" s="787">
        <v>0</v>
      </c>
      <c r="P168" s="787">
        <v>-0.5</v>
      </c>
      <c r="Q168" s="39">
        <v>2</v>
      </c>
      <c r="R168" s="39">
        <v>5</v>
      </c>
      <c r="S168" s="39">
        <v>5</v>
      </c>
      <c r="T168" s="39" t="s">
        <v>1966</v>
      </c>
      <c r="U168" s="39">
        <v>3</v>
      </c>
      <c r="V168" s="39">
        <v>0</v>
      </c>
      <c r="W168" s="39">
        <v>0</v>
      </c>
      <c r="X168" s="39">
        <v>6</v>
      </c>
      <c r="Y168" s="39" t="s">
        <v>1975</v>
      </c>
      <c r="Z168" s="39" t="s">
        <v>1985</v>
      </c>
      <c r="AA168" s="39" t="s">
        <v>1996</v>
      </c>
      <c r="AB168" s="39" t="s">
        <v>2007</v>
      </c>
      <c r="AC168" s="39" t="s">
        <v>2018</v>
      </c>
      <c r="AD168" s="39" t="s">
        <v>6585</v>
      </c>
      <c r="AE168" s="39">
        <v>800</v>
      </c>
      <c r="AF168" s="39" t="s">
        <v>285</v>
      </c>
    </row>
    <row r="169" spans="1:32">
      <c r="A169" s="39" t="s">
        <v>1948</v>
      </c>
      <c r="B169" s="39" t="s">
        <v>1237</v>
      </c>
      <c r="C169" s="39" t="s">
        <v>1224</v>
      </c>
      <c r="D169" s="39" t="s">
        <v>1953</v>
      </c>
      <c r="E169" s="39" t="s">
        <v>1953</v>
      </c>
      <c r="F169" s="39">
        <v>6</v>
      </c>
      <c r="G169" s="39"/>
      <c r="H169" s="787">
        <v>-1</v>
      </c>
      <c r="I169" s="787">
        <v>0.5</v>
      </c>
      <c r="J169" s="787">
        <v>0</v>
      </c>
      <c r="K169" s="787">
        <v>0</v>
      </c>
      <c r="L169" s="787">
        <v>0</v>
      </c>
      <c r="M169" s="787">
        <v>0</v>
      </c>
      <c r="N169" s="787">
        <v>0</v>
      </c>
      <c r="O169" s="787">
        <v>1</v>
      </c>
      <c r="P169" s="787">
        <v>1</v>
      </c>
      <c r="Q169" s="39">
        <v>2</v>
      </c>
      <c r="R169" s="39">
        <v>5</v>
      </c>
      <c r="S169" s="39">
        <v>5</v>
      </c>
      <c r="T169" s="39" t="s">
        <v>1967</v>
      </c>
      <c r="U169" s="39">
        <v>3</v>
      </c>
      <c r="V169" s="39">
        <v>0</v>
      </c>
      <c r="W169" s="39">
        <v>0</v>
      </c>
      <c r="X169" s="39">
        <v>6</v>
      </c>
      <c r="Y169" s="39" t="s">
        <v>1976</v>
      </c>
      <c r="Z169" s="39" t="s">
        <v>1986</v>
      </c>
      <c r="AA169" s="39" t="s">
        <v>1997</v>
      </c>
      <c r="AB169" s="39" t="s">
        <v>2008</v>
      </c>
      <c r="AC169" s="39" t="s">
        <v>2019</v>
      </c>
      <c r="AD169" s="39" t="s">
        <v>6586</v>
      </c>
      <c r="AE169" s="39">
        <v>800</v>
      </c>
      <c r="AF169" s="39" t="s">
        <v>285</v>
      </c>
    </row>
    <row r="170" spans="1:32">
      <c r="A170" s="39" t="s">
        <v>1949</v>
      </c>
      <c r="B170" s="39" t="s">
        <v>1239</v>
      </c>
      <c r="C170" s="39" t="s">
        <v>1224</v>
      </c>
      <c r="D170" s="39" t="s">
        <v>1953</v>
      </c>
      <c r="E170" s="39" t="s">
        <v>1672</v>
      </c>
      <c r="F170" s="39" t="s">
        <v>1957</v>
      </c>
      <c r="G170" s="39"/>
      <c r="H170" s="787" t="s">
        <v>1960</v>
      </c>
      <c r="I170" s="787" t="s">
        <v>1960</v>
      </c>
      <c r="J170" s="787" t="s">
        <v>1960</v>
      </c>
      <c r="K170" s="787" t="s">
        <v>1960</v>
      </c>
      <c r="L170" s="787" t="s">
        <v>1960</v>
      </c>
      <c r="M170" s="787" t="s">
        <v>1960</v>
      </c>
      <c r="N170" s="787" t="s">
        <v>1960</v>
      </c>
      <c r="O170" s="787" t="s">
        <v>1960</v>
      </c>
      <c r="P170" s="787" t="s">
        <v>1960</v>
      </c>
      <c r="Q170" s="39">
        <v>5</v>
      </c>
      <c r="R170" s="39">
        <v>5</v>
      </c>
      <c r="S170" s="39">
        <v>5</v>
      </c>
      <c r="T170" s="39" t="s">
        <v>1968</v>
      </c>
      <c r="U170" s="39">
        <v>3</v>
      </c>
      <c r="V170" s="39">
        <v>0</v>
      </c>
      <c r="W170" s="39">
        <v>0</v>
      </c>
      <c r="X170" s="39">
        <v>6</v>
      </c>
      <c r="Y170" s="39" t="s">
        <v>6531</v>
      </c>
      <c r="Z170" s="39" t="s">
        <v>1987</v>
      </c>
      <c r="AA170" s="39" t="s">
        <v>1998</v>
      </c>
      <c r="AB170" s="39" t="s">
        <v>2009</v>
      </c>
      <c r="AC170" s="39" t="s">
        <v>2020</v>
      </c>
      <c r="AD170" s="39" t="s">
        <v>6587</v>
      </c>
      <c r="AE170" s="39">
        <v>800</v>
      </c>
      <c r="AF170" s="39" t="s">
        <v>285</v>
      </c>
    </row>
    <row r="171" spans="1:32">
      <c r="A171" s="39" t="s">
        <v>1950</v>
      </c>
      <c r="B171" s="39" t="s">
        <v>1241</v>
      </c>
      <c r="C171" s="39" t="s">
        <v>1226</v>
      </c>
      <c r="D171" s="39" t="s">
        <v>1953</v>
      </c>
      <c r="E171" s="39" t="s">
        <v>1953</v>
      </c>
      <c r="F171" s="39">
        <v>3</v>
      </c>
      <c r="G171" s="39"/>
      <c r="H171" s="787">
        <v>1</v>
      </c>
      <c r="I171" s="787">
        <v>0.2</v>
      </c>
      <c r="J171" s="787">
        <v>0</v>
      </c>
      <c r="K171" s="787">
        <v>0.2</v>
      </c>
      <c r="L171" s="787">
        <v>0.2</v>
      </c>
      <c r="M171" s="787">
        <v>0</v>
      </c>
      <c r="N171" s="787">
        <v>0</v>
      </c>
      <c r="O171" s="787">
        <v>-0.5</v>
      </c>
      <c r="P171" s="787">
        <v>-0.5</v>
      </c>
      <c r="Q171" s="39">
        <v>2</v>
      </c>
      <c r="R171" s="39">
        <v>5</v>
      </c>
      <c r="S171" s="39">
        <v>5</v>
      </c>
      <c r="T171" s="39" t="s">
        <v>1969</v>
      </c>
      <c r="U171" s="39">
        <v>3</v>
      </c>
      <c r="V171" s="39">
        <v>0</v>
      </c>
      <c r="W171" s="39">
        <v>0</v>
      </c>
      <c r="X171" s="39">
        <v>6</v>
      </c>
      <c r="Y171" s="39" t="s">
        <v>1978</v>
      </c>
      <c r="Z171" s="39" t="s">
        <v>1988</v>
      </c>
      <c r="AA171" s="39" t="s">
        <v>1999</v>
      </c>
      <c r="AB171" s="39" t="s">
        <v>2010</v>
      </c>
      <c r="AC171" s="39" t="s">
        <v>2021</v>
      </c>
      <c r="AD171" s="39" t="s">
        <v>6588</v>
      </c>
      <c r="AE171" s="39">
        <v>800</v>
      </c>
      <c r="AF171" s="39" t="s">
        <v>285</v>
      </c>
    </row>
    <row r="172" spans="1:32">
      <c r="A172" s="39" t="s">
        <v>2032</v>
      </c>
      <c r="B172" s="39" t="s">
        <v>1221</v>
      </c>
      <c r="C172" s="39" t="s">
        <v>1232</v>
      </c>
      <c r="D172" s="39" t="s">
        <v>1672</v>
      </c>
      <c r="E172" s="39" t="s">
        <v>1672</v>
      </c>
      <c r="F172" s="39">
        <v>5</v>
      </c>
      <c r="G172" s="39">
        <v>1</v>
      </c>
      <c r="H172" s="787">
        <v>0.1</v>
      </c>
      <c r="I172" s="787">
        <v>0.1</v>
      </c>
      <c r="J172" s="787">
        <v>0.1</v>
      </c>
      <c r="K172" s="787">
        <v>0.1</v>
      </c>
      <c r="L172" s="787">
        <v>0.1</v>
      </c>
      <c r="M172" s="787">
        <v>0.1</v>
      </c>
      <c r="N172" s="787">
        <v>0.1</v>
      </c>
      <c r="O172" s="787">
        <v>0.1</v>
      </c>
      <c r="P172" s="787">
        <v>0.1</v>
      </c>
      <c r="Q172" s="39">
        <v>10</v>
      </c>
      <c r="R172" s="39">
        <v>2</v>
      </c>
      <c r="S172" s="39">
        <v>2</v>
      </c>
      <c r="T172" s="39" t="s">
        <v>2046</v>
      </c>
      <c r="U172" s="39">
        <v>3</v>
      </c>
      <c r="V172" s="39">
        <v>0</v>
      </c>
      <c r="W172" s="39">
        <v>0</v>
      </c>
      <c r="X172" s="39">
        <v>6</v>
      </c>
      <c r="Y172" s="39" t="s">
        <v>2057</v>
      </c>
      <c r="Z172" s="39" t="s">
        <v>2067</v>
      </c>
      <c r="AA172" s="39" t="s">
        <v>2077</v>
      </c>
      <c r="AB172" s="39" t="s">
        <v>2086</v>
      </c>
      <c r="AC172" s="39" t="s">
        <v>2096</v>
      </c>
      <c r="AD172" s="39" t="s">
        <v>6589</v>
      </c>
      <c r="AE172" s="39">
        <v>800</v>
      </c>
      <c r="AF172" s="39" t="s">
        <v>285</v>
      </c>
    </row>
    <row r="173" spans="1:32">
      <c r="A173" s="39" t="s">
        <v>2033</v>
      </c>
      <c r="B173" s="39" t="s">
        <v>1225</v>
      </c>
      <c r="C173" s="39" t="s">
        <v>1232</v>
      </c>
      <c r="D173" s="39" t="s">
        <v>2042</v>
      </c>
      <c r="E173" s="39" t="s">
        <v>2044</v>
      </c>
      <c r="F173" s="39">
        <v>4</v>
      </c>
      <c r="G173" s="39">
        <v>4</v>
      </c>
      <c r="H173" s="787">
        <v>-0.2</v>
      </c>
      <c r="I173" s="787">
        <v>0</v>
      </c>
      <c r="J173" s="787">
        <v>0.1</v>
      </c>
      <c r="K173" s="787">
        <v>0.3</v>
      </c>
      <c r="L173" s="787">
        <v>0.5</v>
      </c>
      <c r="M173" s="787">
        <v>0.4</v>
      </c>
      <c r="N173" s="787">
        <v>-0.3</v>
      </c>
      <c r="O173" s="787">
        <v>-0.2</v>
      </c>
      <c r="P173" s="787">
        <v>0.5</v>
      </c>
      <c r="Q173" s="39">
        <v>2</v>
      </c>
      <c r="R173" s="39">
        <v>6</v>
      </c>
      <c r="S173" s="39">
        <v>4</v>
      </c>
      <c r="T173" s="39" t="s">
        <v>2047</v>
      </c>
      <c r="U173" s="39">
        <v>3</v>
      </c>
      <c r="V173" s="39">
        <v>0</v>
      </c>
      <c r="W173" s="39">
        <v>0</v>
      </c>
      <c r="X173" s="39">
        <v>6</v>
      </c>
      <c r="Y173" s="39" t="s">
        <v>2058</v>
      </c>
      <c r="Z173" s="39" t="s">
        <v>2068</v>
      </c>
      <c r="AA173" s="39" t="s">
        <v>2078</v>
      </c>
      <c r="AB173" s="39" t="s">
        <v>2087</v>
      </c>
      <c r="AC173" s="39" t="s">
        <v>2097</v>
      </c>
      <c r="AD173" s="39" t="s">
        <v>6590</v>
      </c>
      <c r="AE173" s="39">
        <v>800</v>
      </c>
      <c r="AF173" s="39" t="s">
        <v>285</v>
      </c>
    </row>
    <row r="174" spans="1:32">
      <c r="A174" s="39" t="s">
        <v>2034</v>
      </c>
      <c r="B174" s="39" t="s">
        <v>1227</v>
      </c>
      <c r="C174" s="39" t="s">
        <v>1228</v>
      </c>
      <c r="D174" s="784" t="s">
        <v>1265</v>
      </c>
      <c r="E174" s="784" t="s">
        <v>1265</v>
      </c>
      <c r="F174" s="39">
        <v>3</v>
      </c>
      <c r="G174" s="39">
        <v>3</v>
      </c>
      <c r="H174" s="787">
        <v>0.5</v>
      </c>
      <c r="I174" s="787">
        <v>0</v>
      </c>
      <c r="J174" s="787">
        <v>-0.5</v>
      </c>
      <c r="K174" s="787">
        <v>0.5</v>
      </c>
      <c r="L174" s="787">
        <v>-0.5</v>
      </c>
      <c r="M174" s="787">
        <v>-0.5</v>
      </c>
      <c r="N174" s="787">
        <v>-0.5</v>
      </c>
      <c r="O174" s="787">
        <v>0</v>
      </c>
      <c r="P174" s="787">
        <v>0</v>
      </c>
      <c r="Q174" s="39">
        <v>1</v>
      </c>
      <c r="R174" s="39">
        <v>1</v>
      </c>
      <c r="S174" s="39">
        <v>1</v>
      </c>
      <c r="T174" s="39" t="s">
        <v>6532</v>
      </c>
      <c r="U174" s="39" t="s">
        <v>1276</v>
      </c>
      <c r="V174" s="39" t="s">
        <v>2056</v>
      </c>
      <c r="W174" s="39">
        <v>0</v>
      </c>
      <c r="X174" s="39">
        <v>6</v>
      </c>
      <c r="Y174" s="784" t="s">
        <v>6543</v>
      </c>
      <c r="Z174" s="39" t="s">
        <v>2069</v>
      </c>
      <c r="AA174" s="39" t="s">
        <v>2079</v>
      </c>
      <c r="AB174" s="39" t="s">
        <v>2088</v>
      </c>
      <c r="AC174" s="39"/>
      <c r="AD174" s="39" t="s">
        <v>6591</v>
      </c>
      <c r="AE174" s="39">
        <v>800</v>
      </c>
      <c r="AF174" s="39" t="s">
        <v>285</v>
      </c>
    </row>
    <row r="175" spans="1:32">
      <c r="A175" s="39" t="s">
        <v>2035</v>
      </c>
      <c r="B175" s="39" t="s">
        <v>1229</v>
      </c>
      <c r="C175" s="39" t="s">
        <v>1228</v>
      </c>
      <c r="D175" s="39" t="s">
        <v>1954</v>
      </c>
      <c r="E175" s="39" t="s">
        <v>1956</v>
      </c>
      <c r="F175" s="39">
        <v>4</v>
      </c>
      <c r="G175" s="39">
        <v>5</v>
      </c>
      <c r="H175" s="787">
        <v>1</v>
      </c>
      <c r="I175" s="787">
        <v>-0.5</v>
      </c>
      <c r="J175" s="787">
        <v>0</v>
      </c>
      <c r="K175" s="787">
        <v>0</v>
      </c>
      <c r="L175" s="787">
        <v>0</v>
      </c>
      <c r="M175" s="787">
        <v>0</v>
      </c>
      <c r="N175" s="787">
        <v>0</v>
      </c>
      <c r="O175" s="787">
        <v>0</v>
      </c>
      <c r="P175" s="787">
        <v>0</v>
      </c>
      <c r="Q175" s="39">
        <v>5</v>
      </c>
      <c r="R175" s="39">
        <v>5</v>
      </c>
      <c r="S175" s="39">
        <v>5</v>
      </c>
      <c r="T175" s="39" t="s">
        <v>2049</v>
      </c>
      <c r="U175" s="39">
        <v>3</v>
      </c>
      <c r="V175" s="39">
        <v>0.2</v>
      </c>
      <c r="W175" s="39">
        <v>0</v>
      </c>
      <c r="X175" s="39">
        <v>6</v>
      </c>
      <c r="Y175" s="39" t="s">
        <v>2060</v>
      </c>
      <c r="Z175" s="39" t="s">
        <v>2070</v>
      </c>
      <c r="AA175" s="39" t="s">
        <v>2080</v>
      </c>
      <c r="AB175" s="39" t="s">
        <v>2089</v>
      </c>
      <c r="AC175" s="39" t="s">
        <v>2098</v>
      </c>
      <c r="AD175" s="39" t="s">
        <v>6592</v>
      </c>
      <c r="AE175" s="39">
        <v>800</v>
      </c>
      <c r="AF175" s="39" t="s">
        <v>285</v>
      </c>
    </row>
    <row r="176" spans="1:32">
      <c r="A176" s="39" t="s">
        <v>2036</v>
      </c>
      <c r="B176" s="39" t="s">
        <v>1231</v>
      </c>
      <c r="C176" s="39" t="s">
        <v>1226</v>
      </c>
      <c r="D176" s="39" t="s">
        <v>1954</v>
      </c>
      <c r="E176" s="39" t="s">
        <v>1953</v>
      </c>
      <c r="F176" s="39">
        <v>5</v>
      </c>
      <c r="G176" s="39">
        <v>4</v>
      </c>
      <c r="H176" s="787">
        <v>0.5</v>
      </c>
      <c r="I176" s="787">
        <v>-0.5</v>
      </c>
      <c r="J176" s="787">
        <v>0.5</v>
      </c>
      <c r="K176" s="787">
        <v>-1</v>
      </c>
      <c r="L176" s="787">
        <v>0.5</v>
      </c>
      <c r="M176" s="787">
        <v>0.5</v>
      </c>
      <c r="N176" s="787">
        <v>-1</v>
      </c>
      <c r="O176" s="787">
        <v>-0.5</v>
      </c>
      <c r="P176" s="787">
        <v>-0.5</v>
      </c>
      <c r="Q176" s="39">
        <v>0</v>
      </c>
      <c r="R176" s="39">
        <v>0</v>
      </c>
      <c r="S176" s="39">
        <v>5</v>
      </c>
      <c r="T176" s="39" t="s">
        <v>2050</v>
      </c>
      <c r="U176" s="39">
        <v>3</v>
      </c>
      <c r="V176" s="39">
        <v>0</v>
      </c>
      <c r="W176" s="39">
        <v>0</v>
      </c>
      <c r="X176" s="39">
        <v>6</v>
      </c>
      <c r="Y176" s="39" t="s">
        <v>2061</v>
      </c>
      <c r="Z176" s="39" t="s">
        <v>2071</v>
      </c>
      <c r="AA176" s="39" t="s">
        <v>2081</v>
      </c>
      <c r="AB176" s="39" t="s">
        <v>2090</v>
      </c>
      <c r="AC176" s="39" t="s">
        <v>2099</v>
      </c>
      <c r="AD176" s="39" t="s">
        <v>6593</v>
      </c>
      <c r="AE176" s="39">
        <v>800</v>
      </c>
      <c r="AF176" s="39" t="s">
        <v>285</v>
      </c>
    </row>
    <row r="177" spans="1:32">
      <c r="A177" s="39" t="s">
        <v>2037</v>
      </c>
      <c r="B177" s="39" t="s">
        <v>1233</v>
      </c>
      <c r="C177" s="39" t="s">
        <v>1224</v>
      </c>
      <c r="D177" s="39" t="s">
        <v>1954</v>
      </c>
      <c r="E177" s="39" t="s">
        <v>2045</v>
      </c>
      <c r="F177" s="39">
        <v>5</v>
      </c>
      <c r="G177" s="39">
        <v>5</v>
      </c>
      <c r="H177" s="787">
        <v>-0.1</v>
      </c>
      <c r="I177" s="787">
        <v>0.3</v>
      </c>
      <c r="J177" s="787">
        <v>0.1</v>
      </c>
      <c r="K177" s="787">
        <v>0</v>
      </c>
      <c r="L177" s="787">
        <v>0</v>
      </c>
      <c r="M177" s="787">
        <v>-0.3</v>
      </c>
      <c r="N177" s="787">
        <v>-0.5</v>
      </c>
      <c r="O177" s="787">
        <v>0.7</v>
      </c>
      <c r="P177" s="787">
        <v>0.5</v>
      </c>
      <c r="Q177" s="39">
        <v>0</v>
      </c>
      <c r="R177" s="39">
        <v>0</v>
      </c>
      <c r="S177" s="39">
        <v>5</v>
      </c>
      <c r="T177" s="39" t="s">
        <v>2051</v>
      </c>
      <c r="U177" s="39">
        <v>3</v>
      </c>
      <c r="V177" s="39">
        <v>0</v>
      </c>
      <c r="W177" s="39">
        <v>0</v>
      </c>
      <c r="X177" s="39">
        <v>6</v>
      </c>
      <c r="Y177" s="39" t="s">
        <v>2062</v>
      </c>
      <c r="Z177" s="39" t="s">
        <v>2072</v>
      </c>
      <c r="AA177" s="39" t="s">
        <v>2082</v>
      </c>
      <c r="AB177" s="39" t="s">
        <v>2091</v>
      </c>
      <c r="AC177" s="39" t="s">
        <v>2100</v>
      </c>
      <c r="AD177" s="39" t="s">
        <v>6594</v>
      </c>
      <c r="AE177" s="39">
        <v>800</v>
      </c>
      <c r="AF177" s="39" t="s">
        <v>285</v>
      </c>
    </row>
    <row r="178" spans="1:32">
      <c r="A178" s="39" t="s">
        <v>2038</v>
      </c>
      <c r="B178" s="39" t="s">
        <v>1235</v>
      </c>
      <c r="C178" s="39" t="s">
        <v>1222</v>
      </c>
      <c r="D178" s="39" t="s">
        <v>1953</v>
      </c>
      <c r="E178" s="39" t="s">
        <v>1672</v>
      </c>
      <c r="F178" s="39">
        <v>4</v>
      </c>
      <c r="G178" s="39">
        <v>4</v>
      </c>
      <c r="H178" s="787">
        <v>0.3</v>
      </c>
      <c r="I178" s="787">
        <v>0</v>
      </c>
      <c r="J178" s="787">
        <v>0.7</v>
      </c>
      <c r="K178" s="787">
        <v>-0.5</v>
      </c>
      <c r="L178" s="787">
        <v>0</v>
      </c>
      <c r="M178" s="787">
        <v>0.1</v>
      </c>
      <c r="N178" s="787">
        <v>-0.2</v>
      </c>
      <c r="O178" s="787">
        <v>0.2</v>
      </c>
      <c r="P178" s="787">
        <v>0.1</v>
      </c>
      <c r="Q178" s="39">
        <v>2</v>
      </c>
      <c r="R178" s="39">
        <v>2</v>
      </c>
      <c r="S178" s="39">
        <v>5</v>
      </c>
      <c r="T178" s="39" t="s">
        <v>2052</v>
      </c>
      <c r="U178" s="39">
        <v>3</v>
      </c>
      <c r="V178" s="39">
        <v>0</v>
      </c>
      <c r="W178" s="39">
        <v>0</v>
      </c>
      <c r="X178" s="39">
        <v>6</v>
      </c>
      <c r="Y178" s="39" t="s">
        <v>2063</v>
      </c>
      <c r="Z178" s="39" t="s">
        <v>2073</v>
      </c>
      <c r="AA178" s="39" t="s">
        <v>2083</v>
      </c>
      <c r="AB178" s="39" t="s">
        <v>6533</v>
      </c>
      <c r="AC178" s="39" t="s">
        <v>2101</v>
      </c>
      <c r="AD178" s="39" t="s">
        <v>6585</v>
      </c>
      <c r="AE178" s="39">
        <v>800</v>
      </c>
      <c r="AF178" s="39" t="s">
        <v>285</v>
      </c>
    </row>
    <row r="179" spans="1:32">
      <c r="A179" s="39" t="s">
        <v>2039</v>
      </c>
      <c r="B179" s="39" t="s">
        <v>1237</v>
      </c>
      <c r="C179" s="39" t="s">
        <v>1230</v>
      </c>
      <c r="D179" s="39" t="s">
        <v>1672</v>
      </c>
      <c r="E179" s="39" t="s">
        <v>1551</v>
      </c>
      <c r="F179" s="39">
        <v>3</v>
      </c>
      <c r="G179" s="39">
        <v>3</v>
      </c>
      <c r="H179" s="787">
        <v>-1</v>
      </c>
      <c r="I179" s="787">
        <v>0.3</v>
      </c>
      <c r="J179" s="787">
        <v>0.2</v>
      </c>
      <c r="K179" s="787">
        <v>0.2</v>
      </c>
      <c r="L179" s="787">
        <v>0.2</v>
      </c>
      <c r="M179" s="787">
        <v>-0.8</v>
      </c>
      <c r="N179" s="787">
        <v>-0.4</v>
      </c>
      <c r="O179" s="787">
        <v>0.6</v>
      </c>
      <c r="P179" s="787">
        <v>1</v>
      </c>
      <c r="Q179" s="39">
        <v>5</v>
      </c>
      <c r="R179" s="39">
        <v>1</v>
      </c>
      <c r="S179" s="39">
        <v>4</v>
      </c>
      <c r="T179" s="39" t="s">
        <v>1961</v>
      </c>
      <c r="U179" s="39">
        <v>3</v>
      </c>
      <c r="V179" s="39">
        <v>0</v>
      </c>
      <c r="W179" s="39">
        <v>0</v>
      </c>
      <c r="X179" s="39">
        <v>6</v>
      </c>
      <c r="Y179" s="39" t="s">
        <v>2064</v>
      </c>
      <c r="Z179" s="39" t="s">
        <v>2074</v>
      </c>
      <c r="AA179" s="39" t="s">
        <v>2084</v>
      </c>
      <c r="AB179" s="39" t="s">
        <v>2093</v>
      </c>
      <c r="AC179" s="39" t="s">
        <v>6534</v>
      </c>
      <c r="AD179" s="39" t="s">
        <v>6595</v>
      </c>
      <c r="AE179" s="39">
        <v>800</v>
      </c>
      <c r="AF179" s="39" t="s">
        <v>285</v>
      </c>
    </row>
    <row r="180" spans="1:32">
      <c r="A180" s="39" t="s">
        <v>2040</v>
      </c>
      <c r="B180" s="39" t="s">
        <v>1239</v>
      </c>
      <c r="C180" s="39" t="s">
        <v>1232</v>
      </c>
      <c r="D180" s="39" t="s">
        <v>1953</v>
      </c>
      <c r="E180" s="39" t="s">
        <v>1672</v>
      </c>
      <c r="F180" s="39">
        <v>4</v>
      </c>
      <c r="G180" s="39">
        <v>4</v>
      </c>
      <c r="H180" s="787">
        <v>-0.5</v>
      </c>
      <c r="I180" s="787">
        <v>0.5</v>
      </c>
      <c r="J180" s="787">
        <v>-0.5</v>
      </c>
      <c r="K180" s="787">
        <v>0.5</v>
      </c>
      <c r="L180" s="787">
        <v>0</v>
      </c>
      <c r="M180" s="787">
        <v>0</v>
      </c>
      <c r="N180" s="787">
        <v>0</v>
      </c>
      <c r="O180" s="787">
        <v>0.5</v>
      </c>
      <c r="P180" s="787">
        <v>0.5</v>
      </c>
      <c r="Q180" s="39">
        <v>5</v>
      </c>
      <c r="R180" s="39">
        <v>1</v>
      </c>
      <c r="S180" s="39">
        <v>4</v>
      </c>
      <c r="T180" s="39" t="s">
        <v>2053</v>
      </c>
      <c r="U180" s="39" t="s">
        <v>1276</v>
      </c>
      <c r="V180" s="39">
        <v>0</v>
      </c>
      <c r="W180" s="39">
        <v>0</v>
      </c>
      <c r="X180" s="39">
        <v>6</v>
      </c>
      <c r="Y180" s="39" t="s">
        <v>2065</v>
      </c>
      <c r="Z180" s="39" t="s">
        <v>2075</v>
      </c>
      <c r="AA180" s="39" t="s">
        <v>2085</v>
      </c>
      <c r="AB180" s="39" t="s">
        <v>2094</v>
      </c>
      <c r="AC180" s="39" t="s">
        <v>2103</v>
      </c>
      <c r="AD180" s="39" t="s">
        <v>6596</v>
      </c>
      <c r="AE180" s="39">
        <v>800</v>
      </c>
      <c r="AF180" s="39" t="s">
        <v>285</v>
      </c>
    </row>
    <row r="181" spans="1:32">
      <c r="A181" s="39" t="s">
        <v>2041</v>
      </c>
      <c r="B181" s="39" t="s">
        <v>1241</v>
      </c>
      <c r="C181" s="39" t="s">
        <v>1228</v>
      </c>
      <c r="D181" s="39" t="s">
        <v>1954</v>
      </c>
      <c r="E181" s="785" t="s">
        <v>1882</v>
      </c>
      <c r="F181" s="39">
        <v>0</v>
      </c>
      <c r="G181" s="39">
        <v>0</v>
      </c>
      <c r="H181" s="787">
        <v>0</v>
      </c>
      <c r="I181" s="787">
        <v>0</v>
      </c>
      <c r="J181" s="787">
        <v>0</v>
      </c>
      <c r="K181" s="787">
        <v>0</v>
      </c>
      <c r="L181" s="787">
        <v>0</v>
      </c>
      <c r="M181" s="787">
        <v>0</v>
      </c>
      <c r="N181" s="787">
        <v>0</v>
      </c>
      <c r="O181" s="787">
        <v>1</v>
      </c>
      <c r="P181" s="787">
        <v>1</v>
      </c>
      <c r="Q181" s="39">
        <v>5</v>
      </c>
      <c r="R181" s="39">
        <v>1</v>
      </c>
      <c r="S181" s="39">
        <v>4</v>
      </c>
      <c r="T181" s="39" t="s">
        <v>2054</v>
      </c>
      <c r="U181" s="39" t="s">
        <v>2055</v>
      </c>
      <c r="V181" s="39">
        <v>0</v>
      </c>
      <c r="W181" s="39">
        <v>0</v>
      </c>
      <c r="X181" s="39">
        <v>6</v>
      </c>
      <c r="Y181" s="39" t="s">
        <v>2066</v>
      </c>
      <c r="Z181" s="39" t="s">
        <v>2076</v>
      </c>
      <c r="AA181" s="39"/>
      <c r="AB181" s="39" t="s">
        <v>2095</v>
      </c>
      <c r="AC181" s="39" t="s">
        <v>2104</v>
      </c>
      <c r="AD181" s="39" t="s">
        <v>6597</v>
      </c>
      <c r="AE181" s="39">
        <v>800</v>
      </c>
      <c r="AF181" s="39" t="s">
        <v>285</v>
      </c>
    </row>
    <row r="182" spans="1:32">
      <c r="A182" s="39" t="s">
        <v>2115</v>
      </c>
      <c r="B182" s="39" t="s">
        <v>1221</v>
      </c>
      <c r="C182" s="39" t="s">
        <v>1232</v>
      </c>
      <c r="D182" s="39" t="s">
        <v>2126</v>
      </c>
      <c r="E182" s="39" t="s">
        <v>1672</v>
      </c>
      <c r="F182" s="39">
        <v>6</v>
      </c>
      <c r="G182" s="39">
        <v>6</v>
      </c>
      <c r="H182" s="787">
        <v>0.1</v>
      </c>
      <c r="I182" s="787">
        <v>0.1</v>
      </c>
      <c r="J182" s="787">
        <v>0.3</v>
      </c>
      <c r="K182" s="787">
        <v>0.1</v>
      </c>
      <c r="L182" s="787">
        <v>0.1</v>
      </c>
      <c r="M182" s="787">
        <v>0.1</v>
      </c>
      <c r="N182" s="787">
        <v>0.1</v>
      </c>
      <c r="O182" s="787">
        <v>0.3</v>
      </c>
      <c r="P182" s="787">
        <v>0.3</v>
      </c>
      <c r="Q182" s="39">
        <v>10</v>
      </c>
      <c r="R182" s="39">
        <v>5</v>
      </c>
      <c r="S182" s="39">
        <v>5</v>
      </c>
      <c r="T182" s="39" t="s">
        <v>2129</v>
      </c>
      <c r="U182" s="39">
        <v>3</v>
      </c>
      <c r="V182" s="39"/>
      <c r="W182" s="39">
        <v>0</v>
      </c>
      <c r="X182" s="39">
        <v>8</v>
      </c>
      <c r="Y182" s="39" t="s">
        <v>2133</v>
      </c>
      <c r="Z182" s="39" t="s">
        <v>2141</v>
      </c>
      <c r="AA182" s="39" t="s">
        <v>2150</v>
      </c>
      <c r="AB182" s="39" t="s">
        <v>2160</v>
      </c>
      <c r="AC182" s="39" t="s">
        <v>2170</v>
      </c>
      <c r="AD182" s="39" t="s">
        <v>6598</v>
      </c>
      <c r="AE182" s="39">
        <v>1000</v>
      </c>
      <c r="AF182" s="784" t="s">
        <v>6542</v>
      </c>
    </row>
    <row r="183" spans="1:32">
      <c r="A183" s="39" t="s">
        <v>2116</v>
      </c>
      <c r="B183" s="39" t="s">
        <v>1225</v>
      </c>
      <c r="C183" s="39" t="s">
        <v>1232</v>
      </c>
      <c r="D183" s="39" t="s">
        <v>2127</v>
      </c>
      <c r="E183" s="39" t="s">
        <v>1551</v>
      </c>
      <c r="F183" s="39">
        <v>3</v>
      </c>
      <c r="G183" s="39">
        <v>3</v>
      </c>
      <c r="H183" s="787">
        <v>0.1</v>
      </c>
      <c r="I183" s="787">
        <v>0.1</v>
      </c>
      <c r="J183" s="787">
        <v>0.1</v>
      </c>
      <c r="K183" s="787">
        <v>0.1</v>
      </c>
      <c r="L183" s="787">
        <v>0.1</v>
      </c>
      <c r="M183" s="787">
        <v>0.1</v>
      </c>
      <c r="N183" s="787">
        <v>0.1</v>
      </c>
      <c r="O183" s="787">
        <v>0.1</v>
      </c>
      <c r="P183" s="787">
        <v>0.7</v>
      </c>
      <c r="Q183" s="39">
        <v>5</v>
      </c>
      <c r="R183" s="39">
        <v>10</v>
      </c>
      <c r="S183" s="39">
        <v>5</v>
      </c>
      <c r="T183" s="39" t="s">
        <v>2129</v>
      </c>
      <c r="U183" s="39">
        <v>3</v>
      </c>
      <c r="V183" s="39"/>
      <c r="W183" s="39">
        <v>0</v>
      </c>
      <c r="X183" s="39">
        <v>8</v>
      </c>
      <c r="Y183" s="39" t="s">
        <v>2134</v>
      </c>
      <c r="Z183" s="39" t="s">
        <v>2142</v>
      </c>
      <c r="AA183" s="39" t="s">
        <v>2151</v>
      </c>
      <c r="AB183" s="39" t="s">
        <v>2161</v>
      </c>
      <c r="AC183" s="39" t="s">
        <v>2171</v>
      </c>
      <c r="AD183" s="39" t="s">
        <v>6599</v>
      </c>
      <c r="AE183" s="39">
        <v>1000</v>
      </c>
      <c r="AF183" s="784" t="s">
        <v>6542</v>
      </c>
    </row>
    <row r="184" spans="1:32">
      <c r="A184" s="39" t="s">
        <v>2117</v>
      </c>
      <c r="B184" s="39" t="s">
        <v>1227</v>
      </c>
      <c r="C184" s="39" t="s">
        <v>1232</v>
      </c>
      <c r="D184" s="39" t="s">
        <v>2127</v>
      </c>
      <c r="E184" s="39" t="s">
        <v>1624</v>
      </c>
      <c r="F184" s="39">
        <v>8</v>
      </c>
      <c r="G184" s="39">
        <v>8</v>
      </c>
      <c r="H184" s="787">
        <v>0.2</v>
      </c>
      <c r="I184" s="787">
        <v>0.2</v>
      </c>
      <c r="J184" s="787">
        <v>0.2</v>
      </c>
      <c r="K184" s="787">
        <v>0.4</v>
      </c>
      <c r="L184" s="787">
        <v>0.2</v>
      </c>
      <c r="M184" s="787">
        <v>0.2</v>
      </c>
      <c r="N184" s="787">
        <v>0.2</v>
      </c>
      <c r="O184" s="787">
        <v>0.4</v>
      </c>
      <c r="P184" s="787">
        <v>0</v>
      </c>
      <c r="Q184" s="39">
        <v>7</v>
      </c>
      <c r="R184" s="39">
        <v>7</v>
      </c>
      <c r="S184" s="39">
        <v>7</v>
      </c>
      <c r="T184" s="39" t="s">
        <v>2129</v>
      </c>
      <c r="U184" s="39">
        <v>3</v>
      </c>
      <c r="V184" s="39"/>
      <c r="W184" s="39">
        <v>0</v>
      </c>
      <c r="X184" s="39">
        <v>8</v>
      </c>
      <c r="Y184" s="39" t="s">
        <v>2135</v>
      </c>
      <c r="Z184" s="39" t="s">
        <v>2143</v>
      </c>
      <c r="AA184" s="39" t="s">
        <v>2152</v>
      </c>
      <c r="AB184" s="39" t="s">
        <v>2162</v>
      </c>
      <c r="AC184" s="39" t="s">
        <v>2172</v>
      </c>
      <c r="AD184" s="39" t="s">
        <v>6600</v>
      </c>
      <c r="AE184" s="39">
        <v>1000</v>
      </c>
      <c r="AF184" s="784" t="s">
        <v>6542</v>
      </c>
    </row>
    <row r="185" spans="1:32">
      <c r="A185" s="39" t="s">
        <v>2118</v>
      </c>
      <c r="B185" s="39" t="s">
        <v>1229</v>
      </c>
      <c r="C185" s="39" t="s">
        <v>1232</v>
      </c>
      <c r="D185" s="39" t="s">
        <v>1954</v>
      </c>
      <c r="E185" s="39" t="s">
        <v>1953</v>
      </c>
      <c r="F185" s="39">
        <v>0</v>
      </c>
      <c r="G185" s="39">
        <v>8</v>
      </c>
      <c r="H185" s="787">
        <v>0.1</v>
      </c>
      <c r="I185" s="787">
        <v>0.1</v>
      </c>
      <c r="J185" s="787">
        <v>0.1</v>
      </c>
      <c r="K185" s="787">
        <v>0.1</v>
      </c>
      <c r="L185" s="787">
        <v>0.1</v>
      </c>
      <c r="M185" s="787">
        <v>0.1</v>
      </c>
      <c r="N185" s="787">
        <v>0.7</v>
      </c>
      <c r="O185" s="787">
        <v>0.2</v>
      </c>
      <c r="P185" s="787">
        <v>0.2</v>
      </c>
      <c r="Q185" s="39">
        <v>5</v>
      </c>
      <c r="R185" s="39">
        <v>5</v>
      </c>
      <c r="S185" s="39">
        <v>10</v>
      </c>
      <c r="T185" s="39" t="s">
        <v>2130</v>
      </c>
      <c r="U185" s="39">
        <v>3</v>
      </c>
      <c r="V185" s="39"/>
      <c r="W185" s="39">
        <v>0</v>
      </c>
      <c r="X185" s="39">
        <v>8</v>
      </c>
      <c r="Y185" s="39" t="s">
        <v>2136</v>
      </c>
      <c r="Z185" s="39" t="s">
        <v>2144</v>
      </c>
      <c r="AA185" s="39" t="s">
        <v>2153</v>
      </c>
      <c r="AB185" s="39" t="s">
        <v>2163</v>
      </c>
      <c r="AC185" s="39" t="s">
        <v>2173</v>
      </c>
      <c r="AD185" s="39" t="s">
        <v>6601</v>
      </c>
      <c r="AE185" s="39">
        <v>1000</v>
      </c>
      <c r="AF185" s="784" t="s">
        <v>6542</v>
      </c>
    </row>
    <row r="186" spans="1:32">
      <c r="A186" s="39" t="s">
        <v>2119</v>
      </c>
      <c r="B186" s="39" t="s">
        <v>1231</v>
      </c>
      <c r="C186" s="39" t="s">
        <v>1232</v>
      </c>
      <c r="D186" s="39" t="s">
        <v>2126</v>
      </c>
      <c r="E186" s="39" t="s">
        <v>1624</v>
      </c>
      <c r="F186" s="39">
        <v>6</v>
      </c>
      <c r="G186" s="39">
        <v>6</v>
      </c>
      <c r="H186" s="787">
        <v>0.3</v>
      </c>
      <c r="I186" s="787">
        <v>0.3</v>
      </c>
      <c r="J186" s="787">
        <v>0.3</v>
      </c>
      <c r="K186" s="787">
        <v>0.3</v>
      </c>
      <c r="L186" s="787">
        <v>0.3</v>
      </c>
      <c r="M186" s="787">
        <v>0.3</v>
      </c>
      <c r="N186" s="787">
        <v>0.3</v>
      </c>
      <c r="O186" s="787">
        <v>0.3</v>
      </c>
      <c r="P186" s="787">
        <v>0.3</v>
      </c>
      <c r="Q186" s="39">
        <v>10</v>
      </c>
      <c r="R186" s="39">
        <v>5</v>
      </c>
      <c r="S186" s="39">
        <v>5</v>
      </c>
      <c r="T186" s="39" t="s">
        <v>2129</v>
      </c>
      <c r="U186" s="39">
        <v>3</v>
      </c>
      <c r="V186" s="39"/>
      <c r="W186" s="39">
        <v>0</v>
      </c>
      <c r="X186" s="39">
        <v>8</v>
      </c>
      <c r="Y186" s="39" t="s">
        <v>2137</v>
      </c>
      <c r="Z186" s="39" t="s">
        <v>2145</v>
      </c>
      <c r="AA186" s="39" t="s">
        <v>2154</v>
      </c>
      <c r="AB186" s="39" t="s">
        <v>2164</v>
      </c>
      <c r="AC186" s="39" t="s">
        <v>2174</v>
      </c>
      <c r="AD186" s="39" t="s">
        <v>6602</v>
      </c>
      <c r="AE186" s="39">
        <v>1000</v>
      </c>
      <c r="AF186" s="784" t="s">
        <v>6542</v>
      </c>
    </row>
    <row r="187" spans="1:32">
      <c r="A187" s="39" t="s">
        <v>2120</v>
      </c>
      <c r="B187" s="39" t="s">
        <v>1233</v>
      </c>
      <c r="C187" s="39" t="s">
        <v>1232</v>
      </c>
      <c r="D187" s="39" t="s">
        <v>2126</v>
      </c>
      <c r="E187" s="39" t="s">
        <v>1672</v>
      </c>
      <c r="F187" s="39">
        <v>6</v>
      </c>
      <c r="G187" s="39">
        <v>6</v>
      </c>
      <c r="H187" s="787">
        <v>0.1</v>
      </c>
      <c r="I187" s="787">
        <v>0.1</v>
      </c>
      <c r="J187" s="787">
        <v>0.1</v>
      </c>
      <c r="K187" s="787">
        <v>0.1</v>
      </c>
      <c r="L187" s="787">
        <v>0.1</v>
      </c>
      <c r="M187" s="787">
        <v>0.1</v>
      </c>
      <c r="N187" s="787">
        <v>0.1</v>
      </c>
      <c r="O187" s="787">
        <v>0.8</v>
      </c>
      <c r="P187" s="787">
        <v>0</v>
      </c>
      <c r="Q187" s="39">
        <v>5</v>
      </c>
      <c r="R187" s="39">
        <v>10</v>
      </c>
      <c r="S187" s="39">
        <v>5</v>
      </c>
      <c r="T187" s="39" t="s">
        <v>2129</v>
      </c>
      <c r="U187" s="39">
        <v>3</v>
      </c>
      <c r="V187" s="39"/>
      <c r="W187" s="39">
        <v>0</v>
      </c>
      <c r="X187" s="39">
        <v>8</v>
      </c>
      <c r="Y187" s="39" t="s">
        <v>2134</v>
      </c>
      <c r="Z187" s="39" t="s">
        <v>2146</v>
      </c>
      <c r="AA187" s="39" t="s">
        <v>2155</v>
      </c>
      <c r="AB187" s="39" t="s">
        <v>2165</v>
      </c>
      <c r="AC187" s="39" t="s">
        <v>2175</v>
      </c>
      <c r="AD187" s="39" t="s">
        <v>6603</v>
      </c>
      <c r="AE187" s="39">
        <v>1000</v>
      </c>
      <c r="AF187" s="784" t="s">
        <v>6542</v>
      </c>
    </row>
    <row r="188" spans="1:32">
      <c r="A188" s="39" t="s">
        <v>2121</v>
      </c>
      <c r="B188" s="39" t="s">
        <v>1235</v>
      </c>
      <c r="C188" s="39" t="s">
        <v>1232</v>
      </c>
      <c r="D188" s="39" t="s">
        <v>1954</v>
      </c>
      <c r="E188" s="39" t="s">
        <v>1953</v>
      </c>
      <c r="F188" s="39">
        <v>6</v>
      </c>
      <c r="G188" s="39">
        <v>6</v>
      </c>
      <c r="H188" s="787">
        <v>0.1</v>
      </c>
      <c r="I188" s="787">
        <v>0.1</v>
      </c>
      <c r="J188" s="787">
        <v>0.8</v>
      </c>
      <c r="K188" s="787">
        <v>0.1</v>
      </c>
      <c r="L188" s="787">
        <v>0.1</v>
      </c>
      <c r="M188" s="787">
        <v>0.1</v>
      </c>
      <c r="N188" s="787">
        <v>0.1</v>
      </c>
      <c r="O188" s="787">
        <v>0.1</v>
      </c>
      <c r="P188" s="787">
        <v>0.1</v>
      </c>
      <c r="Q188" s="39">
        <v>8</v>
      </c>
      <c r="R188" s="39">
        <v>2</v>
      </c>
      <c r="S188" s="39">
        <v>8</v>
      </c>
      <c r="T188" s="39" t="s">
        <v>2129</v>
      </c>
      <c r="U188" s="39">
        <v>3</v>
      </c>
      <c r="V188" s="39"/>
      <c r="W188" s="39">
        <v>0</v>
      </c>
      <c r="X188" s="39">
        <v>8</v>
      </c>
      <c r="Y188" s="39" t="s">
        <v>2138</v>
      </c>
      <c r="Z188" s="39" t="s">
        <v>2147</v>
      </c>
      <c r="AA188" s="39" t="s">
        <v>2156</v>
      </c>
      <c r="AB188" s="39" t="s">
        <v>2166</v>
      </c>
      <c r="AC188" s="39" t="s">
        <v>2176</v>
      </c>
      <c r="AD188" s="39" t="s">
        <v>6604</v>
      </c>
      <c r="AE188" s="39">
        <v>1000</v>
      </c>
      <c r="AF188" s="784" t="s">
        <v>6542</v>
      </c>
    </row>
    <row r="189" spans="1:32">
      <c r="A189" s="39" t="s">
        <v>2122</v>
      </c>
      <c r="B189" s="39" t="s">
        <v>1237</v>
      </c>
      <c r="C189" s="39" t="s">
        <v>1232</v>
      </c>
      <c r="D189" s="39" t="s">
        <v>2042</v>
      </c>
      <c r="E189" s="39" t="s">
        <v>1672</v>
      </c>
      <c r="F189" s="39">
        <v>4</v>
      </c>
      <c r="G189" s="39">
        <v>4</v>
      </c>
      <c r="H189" s="787">
        <v>0.1</v>
      </c>
      <c r="I189" s="787">
        <v>0.1</v>
      </c>
      <c r="J189" s="787">
        <v>0.1</v>
      </c>
      <c r="K189" s="787">
        <v>0.1</v>
      </c>
      <c r="L189" s="787">
        <v>0.1</v>
      </c>
      <c r="M189" s="787">
        <v>0.5</v>
      </c>
      <c r="N189" s="787">
        <v>0.1</v>
      </c>
      <c r="O189" s="787">
        <v>0.1</v>
      </c>
      <c r="P189" s="787">
        <v>0.1</v>
      </c>
      <c r="Q189" s="39">
        <v>10</v>
      </c>
      <c r="R189" s="39">
        <v>5</v>
      </c>
      <c r="S189" s="39">
        <v>5</v>
      </c>
      <c r="T189" s="39" t="s">
        <v>2131</v>
      </c>
      <c r="U189" s="39">
        <v>3</v>
      </c>
      <c r="V189" s="39"/>
      <c r="W189" s="39">
        <v>0</v>
      </c>
      <c r="X189" s="39">
        <v>8</v>
      </c>
      <c r="Y189" s="39" t="s">
        <v>2139</v>
      </c>
      <c r="Z189" s="39" t="s">
        <v>2148</v>
      </c>
      <c r="AA189" s="39" t="s">
        <v>2157</v>
      </c>
      <c r="AB189" s="39" t="s">
        <v>2167</v>
      </c>
      <c r="AC189" s="39" t="s">
        <v>2177</v>
      </c>
      <c r="AD189" s="39" t="s">
        <v>6605</v>
      </c>
      <c r="AE189" s="39">
        <v>1000</v>
      </c>
      <c r="AF189" s="784" t="s">
        <v>6542</v>
      </c>
    </row>
    <row r="190" spans="1:32">
      <c r="A190" s="39" t="s">
        <v>2123</v>
      </c>
      <c r="B190" s="39" t="s">
        <v>1239</v>
      </c>
      <c r="C190" s="39" t="s">
        <v>1232</v>
      </c>
      <c r="D190" s="39" t="s">
        <v>2128</v>
      </c>
      <c r="E190" s="39" t="s">
        <v>1551</v>
      </c>
      <c r="F190" s="39">
        <v>8</v>
      </c>
      <c r="G190" s="39">
        <v>8</v>
      </c>
      <c r="H190" s="787">
        <v>0</v>
      </c>
      <c r="I190" s="787">
        <v>0.6</v>
      </c>
      <c r="J190" s="787">
        <v>0.3</v>
      </c>
      <c r="K190" s="787">
        <v>0.3</v>
      </c>
      <c r="L190" s="787">
        <v>0.3</v>
      </c>
      <c r="M190" s="787">
        <v>0.3</v>
      </c>
      <c r="N190" s="787">
        <v>0.3</v>
      </c>
      <c r="O190" s="787">
        <v>0.3</v>
      </c>
      <c r="P190" s="787">
        <v>0.3</v>
      </c>
      <c r="Q190" s="39">
        <v>10</v>
      </c>
      <c r="R190" s="39">
        <v>5</v>
      </c>
      <c r="S190" s="39">
        <v>5</v>
      </c>
      <c r="T190" s="39" t="s">
        <v>2129</v>
      </c>
      <c r="U190" s="39">
        <v>3</v>
      </c>
      <c r="V190" s="39"/>
      <c r="W190" s="39">
        <v>0</v>
      </c>
      <c r="X190" s="39">
        <v>8</v>
      </c>
      <c r="Y190" s="39" t="s">
        <v>2140</v>
      </c>
      <c r="Z190" s="39" t="s">
        <v>2149</v>
      </c>
      <c r="AA190" s="39" t="s">
        <v>2158</v>
      </c>
      <c r="AB190" s="39" t="s">
        <v>2168</v>
      </c>
      <c r="AC190" s="39" t="s">
        <v>2178</v>
      </c>
      <c r="AD190" s="39" t="s">
        <v>6606</v>
      </c>
      <c r="AE190" s="39">
        <v>1000</v>
      </c>
      <c r="AF190" s="784" t="s">
        <v>6542</v>
      </c>
    </row>
    <row r="191" spans="1:32">
      <c r="A191" s="39" t="s">
        <v>2124</v>
      </c>
      <c r="B191" s="39" t="s">
        <v>1241</v>
      </c>
      <c r="C191" s="39" t="s">
        <v>1232</v>
      </c>
      <c r="D191" s="39" t="s">
        <v>1953</v>
      </c>
      <c r="E191" s="39" t="s">
        <v>1672</v>
      </c>
      <c r="F191" s="39">
        <v>6</v>
      </c>
      <c r="G191" s="39">
        <v>6</v>
      </c>
      <c r="H191" s="787">
        <v>0.5</v>
      </c>
      <c r="I191" s="787">
        <v>0.1</v>
      </c>
      <c r="J191" s="787">
        <v>0.1</v>
      </c>
      <c r="K191" s="787">
        <v>0.1</v>
      </c>
      <c r="L191" s="787">
        <v>0.1</v>
      </c>
      <c r="M191" s="787">
        <v>0.1</v>
      </c>
      <c r="N191" s="787">
        <v>0.1</v>
      </c>
      <c r="O191" s="787">
        <v>0.1</v>
      </c>
      <c r="P191" s="787">
        <v>0.1</v>
      </c>
      <c r="Q191" s="39">
        <v>5</v>
      </c>
      <c r="R191" s="39">
        <v>10</v>
      </c>
      <c r="S191" s="39">
        <v>5</v>
      </c>
      <c r="T191" s="39" t="s">
        <v>2132</v>
      </c>
      <c r="U191" s="39">
        <v>3</v>
      </c>
      <c r="V191" s="39"/>
      <c r="W191" s="39">
        <v>0</v>
      </c>
      <c r="X191" s="39">
        <v>8</v>
      </c>
      <c r="Y191" s="39" t="s">
        <v>2139</v>
      </c>
      <c r="Z191" s="39" t="s">
        <v>2148</v>
      </c>
      <c r="AA191" s="39" t="s">
        <v>2159</v>
      </c>
      <c r="AB191" s="39" t="s">
        <v>2169</v>
      </c>
      <c r="AC191" s="39" t="s">
        <v>2179</v>
      </c>
      <c r="AD191" s="39" t="s">
        <v>6607</v>
      </c>
      <c r="AE191" s="39">
        <v>1000</v>
      </c>
      <c r="AF191" s="784" t="s">
        <v>6542</v>
      </c>
    </row>
    <row r="192" spans="1:32">
      <c r="A192" s="39" t="s">
        <v>2191</v>
      </c>
      <c r="B192" s="39" t="s">
        <v>1221</v>
      </c>
      <c r="C192" s="39" t="s">
        <v>1232</v>
      </c>
      <c r="D192" s="39" t="s">
        <v>2127</v>
      </c>
      <c r="E192" s="39" t="s">
        <v>1954</v>
      </c>
      <c r="F192" s="39">
        <v>10</v>
      </c>
      <c r="G192" s="39">
        <v>10</v>
      </c>
      <c r="H192" s="787">
        <v>0.4</v>
      </c>
      <c r="I192" s="787">
        <v>0.4</v>
      </c>
      <c r="J192" s="787">
        <v>0.7</v>
      </c>
      <c r="K192" s="787">
        <v>0.4</v>
      </c>
      <c r="L192" s="787">
        <v>0.4</v>
      </c>
      <c r="M192" s="787">
        <v>0.4</v>
      </c>
      <c r="N192" s="787">
        <v>0.4</v>
      </c>
      <c r="O192" s="787">
        <v>0.5</v>
      </c>
      <c r="P192" s="787">
        <v>0.5</v>
      </c>
      <c r="Q192" s="39">
        <v>20</v>
      </c>
      <c r="R192" s="39">
        <v>10</v>
      </c>
      <c r="S192" s="39">
        <v>20</v>
      </c>
      <c r="T192" s="39" t="s">
        <v>2203</v>
      </c>
      <c r="U192" s="39" t="s">
        <v>2212</v>
      </c>
      <c r="V192" s="39">
        <v>0.2</v>
      </c>
      <c r="W192" s="39">
        <v>0</v>
      </c>
      <c r="X192" s="39">
        <v>10</v>
      </c>
      <c r="Y192" s="39" t="s">
        <v>2214</v>
      </c>
      <c r="Z192" s="39" t="s">
        <v>2223</v>
      </c>
      <c r="AA192" s="39" t="s">
        <v>2232</v>
      </c>
      <c r="AB192" s="39" t="s">
        <v>2241</v>
      </c>
      <c r="AC192" s="39" t="s">
        <v>2250</v>
      </c>
      <c r="AD192" s="39" t="s">
        <v>2259</v>
      </c>
      <c r="AE192" s="39">
        <v>2000</v>
      </c>
      <c r="AF192" t="s">
        <v>287</v>
      </c>
    </row>
    <row r="193" spans="1:32">
      <c r="A193" s="39" t="s">
        <v>2192</v>
      </c>
      <c r="B193" s="39" t="s">
        <v>1225</v>
      </c>
      <c r="C193" s="39" t="s">
        <v>1232</v>
      </c>
      <c r="D193" s="39" t="s">
        <v>1954</v>
      </c>
      <c r="E193" s="39" t="s">
        <v>1953</v>
      </c>
      <c r="F193" s="39">
        <v>8</v>
      </c>
      <c r="G193" s="39">
        <v>8</v>
      </c>
      <c r="H193" s="787">
        <v>0.3</v>
      </c>
      <c r="I193" s="787">
        <v>0.3</v>
      </c>
      <c r="J193" s="787">
        <v>0.3</v>
      </c>
      <c r="K193" s="787">
        <v>0.3</v>
      </c>
      <c r="L193" s="787">
        <v>0.3</v>
      </c>
      <c r="M193" s="787">
        <v>0.3</v>
      </c>
      <c r="N193" s="787">
        <v>0.3</v>
      </c>
      <c r="O193" s="787">
        <v>-0.5</v>
      </c>
      <c r="P193" s="787">
        <v>-0.5</v>
      </c>
      <c r="Q193" s="39">
        <v>5</v>
      </c>
      <c r="R193" s="39">
        <v>5</v>
      </c>
      <c r="S193" s="39">
        <v>5</v>
      </c>
      <c r="T193" s="39" t="s">
        <v>2204</v>
      </c>
      <c r="U193" s="39" t="s">
        <v>2213</v>
      </c>
      <c r="V193" s="39">
        <v>0</v>
      </c>
      <c r="W193" s="39">
        <v>2</v>
      </c>
      <c r="X193" s="39">
        <v>10</v>
      </c>
      <c r="Y193" s="39" t="s">
        <v>2215</v>
      </c>
      <c r="Z193" s="39" t="s">
        <v>2224</v>
      </c>
      <c r="AA193" s="39" t="s">
        <v>2233</v>
      </c>
      <c r="AB193" s="39" t="s">
        <v>2242</v>
      </c>
      <c r="AC193" s="39" t="s">
        <v>2251</v>
      </c>
      <c r="AD193" s="39" t="s">
        <v>2260</v>
      </c>
      <c r="AE193" s="39">
        <v>2000</v>
      </c>
      <c r="AF193" s="39" t="s">
        <v>287</v>
      </c>
    </row>
    <row r="194" spans="1:32">
      <c r="A194" s="39" t="s">
        <v>2193</v>
      </c>
      <c r="B194" s="39" t="s">
        <v>1227</v>
      </c>
      <c r="C194" s="39" t="s">
        <v>1226</v>
      </c>
      <c r="D194" s="39" t="s">
        <v>1954</v>
      </c>
      <c r="E194" s="39" t="s">
        <v>1953</v>
      </c>
      <c r="F194" s="39">
        <v>8</v>
      </c>
      <c r="G194" s="39">
        <v>8</v>
      </c>
      <c r="H194" s="787">
        <v>0</v>
      </c>
      <c r="I194" s="787">
        <v>-0.5</v>
      </c>
      <c r="J194" s="787">
        <v>0</v>
      </c>
      <c r="K194" s="787">
        <v>1</v>
      </c>
      <c r="L194" s="787">
        <v>0.5</v>
      </c>
      <c r="M194" s="787">
        <v>-0.5</v>
      </c>
      <c r="N194" s="787">
        <v>0.5</v>
      </c>
      <c r="O194" s="787">
        <v>0</v>
      </c>
      <c r="P194" s="787">
        <v>0</v>
      </c>
      <c r="Q194" s="39">
        <v>5</v>
      </c>
      <c r="R194" s="39">
        <v>5</v>
      </c>
      <c r="S194" s="39">
        <v>10</v>
      </c>
      <c r="T194" s="39" t="s">
        <v>2205</v>
      </c>
      <c r="U194" s="39">
        <v>3</v>
      </c>
      <c r="V194" s="39">
        <v>0</v>
      </c>
      <c r="W194" s="39">
        <v>0</v>
      </c>
      <c r="X194" s="39">
        <v>10</v>
      </c>
      <c r="Y194" s="39" t="s">
        <v>2216</v>
      </c>
      <c r="Z194" s="39" t="s">
        <v>2225</v>
      </c>
      <c r="AA194" s="39" t="s">
        <v>2234</v>
      </c>
      <c r="AB194" s="39" t="s">
        <v>2243</v>
      </c>
      <c r="AC194" s="39" t="s">
        <v>2252</v>
      </c>
      <c r="AD194" s="39" t="s">
        <v>2261</v>
      </c>
      <c r="AE194" s="39">
        <v>2000</v>
      </c>
      <c r="AF194" s="39" t="s">
        <v>287</v>
      </c>
    </row>
    <row r="195" spans="1:32">
      <c r="A195" s="39" t="s">
        <v>2194</v>
      </c>
      <c r="B195" s="39" t="s">
        <v>1229</v>
      </c>
      <c r="C195" s="39" t="s">
        <v>1232</v>
      </c>
      <c r="D195" s="39" t="s">
        <v>1954</v>
      </c>
      <c r="E195" s="39" t="s">
        <v>1953</v>
      </c>
      <c r="F195" s="39">
        <v>0</v>
      </c>
      <c r="G195" s="39">
        <v>8</v>
      </c>
      <c r="H195" s="787">
        <v>0.1</v>
      </c>
      <c r="I195" s="787">
        <v>0.1</v>
      </c>
      <c r="J195" s="787">
        <v>0.1</v>
      </c>
      <c r="K195" s="787">
        <v>0.1</v>
      </c>
      <c r="L195" s="787">
        <v>0.1</v>
      </c>
      <c r="M195" s="787">
        <v>0.1</v>
      </c>
      <c r="N195" s="787">
        <v>0.7</v>
      </c>
      <c r="O195" s="787">
        <v>0.2</v>
      </c>
      <c r="P195" s="787">
        <v>0.2</v>
      </c>
      <c r="Q195" s="39">
        <v>5</v>
      </c>
      <c r="R195" s="39">
        <v>5</v>
      </c>
      <c r="S195" s="39">
        <v>10</v>
      </c>
      <c r="T195" s="39" t="s">
        <v>2130</v>
      </c>
      <c r="U195" s="39">
        <v>3</v>
      </c>
      <c r="V195" s="39">
        <v>0.2</v>
      </c>
      <c r="W195" s="39">
        <v>1000</v>
      </c>
      <c r="X195" s="39">
        <v>10</v>
      </c>
      <c r="Y195" s="39" t="s">
        <v>2136</v>
      </c>
      <c r="Z195" s="39" t="s">
        <v>2144</v>
      </c>
      <c r="AA195" s="39" t="s">
        <v>2153</v>
      </c>
      <c r="AB195" s="39" t="s">
        <v>2163</v>
      </c>
      <c r="AC195" s="39" t="s">
        <v>2173</v>
      </c>
      <c r="AD195" s="39" t="s">
        <v>2262</v>
      </c>
      <c r="AE195" s="39">
        <v>2000</v>
      </c>
      <c r="AF195" s="39" t="s">
        <v>287</v>
      </c>
    </row>
    <row r="196" spans="1:32">
      <c r="A196" s="39" t="s">
        <v>2195</v>
      </c>
      <c r="B196" s="39" t="s">
        <v>1231</v>
      </c>
      <c r="C196" s="39" t="s">
        <v>1230</v>
      </c>
      <c r="D196" s="39" t="s">
        <v>2126</v>
      </c>
      <c r="E196" s="39" t="s">
        <v>1551</v>
      </c>
      <c r="F196" s="39">
        <v>10</v>
      </c>
      <c r="G196" s="39">
        <v>10</v>
      </c>
      <c r="H196" s="787">
        <v>0.5</v>
      </c>
      <c r="I196" s="787">
        <v>-0.5</v>
      </c>
      <c r="J196" s="787">
        <v>0.5</v>
      </c>
      <c r="K196" s="787">
        <v>-0.5</v>
      </c>
      <c r="L196" s="787">
        <v>0.5</v>
      </c>
      <c r="M196" s="787">
        <v>0.5</v>
      </c>
      <c r="N196" s="787">
        <v>0</v>
      </c>
      <c r="O196" s="787">
        <v>1</v>
      </c>
      <c r="P196" s="787">
        <v>1</v>
      </c>
      <c r="Q196" s="39">
        <v>10</v>
      </c>
      <c r="R196" s="39">
        <v>5</v>
      </c>
      <c r="S196" s="39">
        <v>5</v>
      </c>
      <c r="T196" s="39" t="s">
        <v>2206</v>
      </c>
      <c r="U196" s="39" t="s">
        <v>1277</v>
      </c>
      <c r="V196" s="39">
        <v>0</v>
      </c>
      <c r="W196" s="39">
        <v>0</v>
      </c>
      <c r="X196" s="39">
        <v>10</v>
      </c>
      <c r="Y196" s="39" t="s">
        <v>2217</v>
      </c>
      <c r="Z196" s="39" t="s">
        <v>2226</v>
      </c>
      <c r="AA196" s="39" t="s">
        <v>2235</v>
      </c>
      <c r="AB196" s="39" t="s">
        <v>2244</v>
      </c>
      <c r="AC196" s="39" t="s">
        <v>2253</v>
      </c>
      <c r="AD196" s="39" t="s">
        <v>2263</v>
      </c>
      <c r="AE196" s="39">
        <v>2000</v>
      </c>
      <c r="AF196" s="39" t="s">
        <v>287</v>
      </c>
    </row>
    <row r="197" spans="1:32">
      <c r="A197" s="39" t="s">
        <v>2196</v>
      </c>
      <c r="B197" s="39" t="s">
        <v>1233</v>
      </c>
      <c r="C197" s="39" t="s">
        <v>1232</v>
      </c>
      <c r="D197" s="39" t="s">
        <v>2126</v>
      </c>
      <c r="E197" s="785" t="s">
        <v>1882</v>
      </c>
      <c r="F197" s="39">
        <v>10</v>
      </c>
      <c r="G197" s="39">
        <v>10</v>
      </c>
      <c r="H197" s="787">
        <v>-0.5</v>
      </c>
      <c r="I197" s="787">
        <v>0.5</v>
      </c>
      <c r="J197" s="787">
        <v>0.1</v>
      </c>
      <c r="K197" s="787">
        <v>0.1</v>
      </c>
      <c r="L197" s="787">
        <v>0.1</v>
      </c>
      <c r="M197" s="787">
        <v>0.1</v>
      </c>
      <c r="N197" s="787">
        <v>0.1</v>
      </c>
      <c r="O197" s="787">
        <v>1</v>
      </c>
      <c r="P197" s="787">
        <v>0</v>
      </c>
      <c r="Q197" s="39">
        <v>5</v>
      </c>
      <c r="R197" s="39">
        <v>5</v>
      </c>
      <c r="S197" s="39">
        <v>5</v>
      </c>
      <c r="T197" s="39" t="s">
        <v>2207</v>
      </c>
      <c r="U197" s="39">
        <v>3</v>
      </c>
      <c r="V197" s="39">
        <v>0</v>
      </c>
      <c r="W197" s="39">
        <v>0</v>
      </c>
      <c r="X197" s="39">
        <v>10</v>
      </c>
      <c r="Y197" s="39" t="s">
        <v>6535</v>
      </c>
      <c r="Z197" s="39" t="s">
        <v>6536</v>
      </c>
      <c r="AA197" s="39" t="s">
        <v>2236</v>
      </c>
      <c r="AB197" s="39" t="s">
        <v>6537</v>
      </c>
      <c r="AC197" s="39" t="s">
        <v>2254</v>
      </c>
      <c r="AD197" s="39" t="s">
        <v>2264</v>
      </c>
      <c r="AE197" s="39">
        <v>2000</v>
      </c>
      <c r="AF197" s="39" t="s">
        <v>287</v>
      </c>
    </row>
    <row r="198" spans="1:32">
      <c r="A198" s="39" t="s">
        <v>2197</v>
      </c>
      <c r="B198" s="39" t="s">
        <v>1235</v>
      </c>
      <c r="C198" s="39" t="s">
        <v>1222</v>
      </c>
      <c r="D198" s="39" t="s">
        <v>2126</v>
      </c>
      <c r="E198" s="39" t="s">
        <v>1956</v>
      </c>
      <c r="F198" s="39">
        <v>10</v>
      </c>
      <c r="G198" s="39">
        <v>10</v>
      </c>
      <c r="H198" s="787">
        <v>-0.5</v>
      </c>
      <c r="I198" s="787">
        <v>0.5</v>
      </c>
      <c r="J198" s="787">
        <v>1</v>
      </c>
      <c r="K198" s="787">
        <v>0.5</v>
      </c>
      <c r="L198" s="787">
        <v>-0.5</v>
      </c>
      <c r="M198" s="787">
        <v>-0.5</v>
      </c>
      <c r="N198" s="787">
        <v>-0.5</v>
      </c>
      <c r="O198" s="787">
        <v>1</v>
      </c>
      <c r="P198" s="787">
        <v>1</v>
      </c>
      <c r="Q198" s="39">
        <v>20</v>
      </c>
      <c r="R198" s="39">
        <v>2</v>
      </c>
      <c r="S198" s="39">
        <v>2</v>
      </c>
      <c r="T198" s="39" t="s">
        <v>2208</v>
      </c>
      <c r="U198" s="39">
        <v>2</v>
      </c>
      <c r="V198" s="39">
        <v>0</v>
      </c>
      <c r="W198" s="39">
        <v>0</v>
      </c>
      <c r="X198" s="39">
        <v>10</v>
      </c>
      <c r="Y198" s="39" t="s">
        <v>2219</v>
      </c>
      <c r="Z198" s="39" t="s">
        <v>2228</v>
      </c>
      <c r="AA198" s="39" t="s">
        <v>2237</v>
      </c>
      <c r="AB198" s="39" t="s">
        <v>2246</v>
      </c>
      <c r="AC198" s="39" t="s">
        <v>2255</v>
      </c>
      <c r="AD198" s="39" t="s">
        <v>2265</v>
      </c>
      <c r="AE198" s="39">
        <v>2000</v>
      </c>
      <c r="AF198" s="39" t="s">
        <v>287</v>
      </c>
    </row>
    <row r="199" spans="1:32">
      <c r="A199" s="39" t="s">
        <v>2198</v>
      </c>
      <c r="B199" s="39" t="s">
        <v>1237</v>
      </c>
      <c r="C199" s="39" t="s">
        <v>1232</v>
      </c>
      <c r="D199" s="39" t="s">
        <v>1954</v>
      </c>
      <c r="E199" s="39" t="s">
        <v>1953</v>
      </c>
      <c r="F199" s="39">
        <v>12</v>
      </c>
      <c r="G199" s="39">
        <v>0</v>
      </c>
      <c r="H199" s="787">
        <v>0.1</v>
      </c>
      <c r="I199" s="787">
        <v>0.1</v>
      </c>
      <c r="J199" s="787">
        <v>0.1</v>
      </c>
      <c r="K199" s="787">
        <v>0.1</v>
      </c>
      <c r="L199" s="787">
        <v>0.1</v>
      </c>
      <c r="M199" s="787">
        <v>0.4</v>
      </c>
      <c r="N199" s="787">
        <v>0.2</v>
      </c>
      <c r="O199" s="787">
        <v>0.2</v>
      </c>
      <c r="P199" s="787">
        <v>0.2</v>
      </c>
      <c r="Q199" s="39">
        <v>5</v>
      </c>
      <c r="R199" s="39">
        <v>5</v>
      </c>
      <c r="S199" s="39">
        <v>10</v>
      </c>
      <c r="T199" s="39" t="s">
        <v>2209</v>
      </c>
      <c r="U199" s="39">
        <v>3</v>
      </c>
      <c r="V199" s="39">
        <v>0</v>
      </c>
      <c r="W199" s="39">
        <v>1</v>
      </c>
      <c r="X199" s="39">
        <v>10</v>
      </c>
      <c r="Y199" s="39" t="s">
        <v>2220</v>
      </c>
      <c r="Z199" s="39" t="s">
        <v>2229</v>
      </c>
      <c r="AA199" s="39" t="s">
        <v>2238</v>
      </c>
      <c r="AB199" s="39" t="s">
        <v>2247</v>
      </c>
      <c r="AC199" s="39" t="s">
        <v>2256</v>
      </c>
      <c r="AD199" s="39" t="s">
        <v>2266</v>
      </c>
      <c r="AE199" s="39">
        <v>2000</v>
      </c>
      <c r="AF199" s="39" t="s">
        <v>287</v>
      </c>
    </row>
    <row r="200" spans="1:32">
      <c r="A200" s="39" t="s">
        <v>2199</v>
      </c>
      <c r="B200" s="39" t="s">
        <v>1239</v>
      </c>
      <c r="C200" s="39" t="s">
        <v>1232</v>
      </c>
      <c r="D200" s="39" t="s">
        <v>2126</v>
      </c>
      <c r="E200" s="39" t="s">
        <v>1953</v>
      </c>
      <c r="F200" s="39">
        <v>5</v>
      </c>
      <c r="G200" s="39">
        <v>5</v>
      </c>
      <c r="H200" s="787">
        <v>0.5</v>
      </c>
      <c r="I200" s="787">
        <v>0.5</v>
      </c>
      <c r="J200" s="787">
        <v>0</v>
      </c>
      <c r="K200" s="787">
        <v>0</v>
      </c>
      <c r="L200" s="787">
        <v>0</v>
      </c>
      <c r="M200" s="787">
        <v>-0.5</v>
      </c>
      <c r="N200" s="787">
        <v>-0.5</v>
      </c>
      <c r="O200" s="787">
        <v>0</v>
      </c>
      <c r="P200" s="787">
        <v>0</v>
      </c>
      <c r="Q200" s="39">
        <v>2</v>
      </c>
      <c r="R200" s="39">
        <v>2</v>
      </c>
      <c r="S200" s="39">
        <v>10</v>
      </c>
      <c r="T200" s="39" t="s">
        <v>2210</v>
      </c>
      <c r="U200" s="39">
        <v>3</v>
      </c>
      <c r="V200" s="39">
        <v>0.3</v>
      </c>
      <c r="W200" s="39">
        <v>0</v>
      </c>
      <c r="X200" s="39">
        <v>10</v>
      </c>
      <c r="Y200" s="39" t="s">
        <v>2221</v>
      </c>
      <c r="Z200" s="39" t="s">
        <v>2230</v>
      </c>
      <c r="AA200" s="39" t="s">
        <v>2239</v>
      </c>
      <c r="AB200" s="39" t="s">
        <v>2248</v>
      </c>
      <c r="AC200" s="39" t="s">
        <v>2257</v>
      </c>
      <c r="AD200" s="39" t="s">
        <v>2267</v>
      </c>
      <c r="AE200" s="39">
        <v>2000</v>
      </c>
      <c r="AF200" s="39" t="s">
        <v>287</v>
      </c>
    </row>
    <row r="201" spans="1:32">
      <c r="A201" s="39" t="s">
        <v>2200</v>
      </c>
      <c r="B201" s="39" t="s">
        <v>1241</v>
      </c>
      <c r="C201" s="39" t="s">
        <v>1228</v>
      </c>
      <c r="D201" s="39" t="s">
        <v>2126</v>
      </c>
      <c r="E201" s="39" t="s">
        <v>1956</v>
      </c>
      <c r="F201" s="39">
        <v>10</v>
      </c>
      <c r="G201" s="39">
        <v>10</v>
      </c>
      <c r="H201" s="787">
        <v>0.5</v>
      </c>
      <c r="I201" s="787">
        <v>-0.5</v>
      </c>
      <c r="J201" s="787">
        <v>0</v>
      </c>
      <c r="K201" s="787">
        <v>0</v>
      </c>
      <c r="L201" s="787">
        <v>0</v>
      </c>
      <c r="M201" s="787">
        <v>0</v>
      </c>
      <c r="N201" s="787">
        <v>0</v>
      </c>
      <c r="O201" s="787">
        <v>0</v>
      </c>
      <c r="P201" s="787">
        <v>0</v>
      </c>
      <c r="Q201" s="39">
        <v>5</v>
      </c>
      <c r="R201" s="39">
        <v>5</v>
      </c>
      <c r="S201" s="39">
        <v>5</v>
      </c>
      <c r="T201" s="39" t="s">
        <v>2211</v>
      </c>
      <c r="U201" s="39">
        <v>3</v>
      </c>
      <c r="V201" s="39">
        <v>0</v>
      </c>
      <c r="W201" s="39">
        <v>0</v>
      </c>
      <c r="X201" s="39">
        <v>10</v>
      </c>
      <c r="Y201" s="39" t="s">
        <v>2222</v>
      </c>
      <c r="Z201" s="39" t="s">
        <v>2231</v>
      </c>
      <c r="AA201" s="39" t="s">
        <v>2240</v>
      </c>
      <c r="AB201" s="39" t="s">
        <v>6538</v>
      </c>
      <c r="AC201" s="39" t="s">
        <v>2258</v>
      </c>
      <c r="AD201" s="39" t="s">
        <v>2268</v>
      </c>
      <c r="AE201" s="39">
        <v>2000</v>
      </c>
      <c r="AF201" s="39" t="s">
        <v>287</v>
      </c>
    </row>
  </sheetData>
  <autoFilter ref="A1:AF20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Gabor Daniel</dc:creator>
  <cp:keywords/>
  <dc:description/>
  <cp:lastModifiedBy>Yak</cp:lastModifiedBy>
  <cp:revision>6</cp:revision>
  <dcterms:created xsi:type="dcterms:W3CDTF">2021-02-27T21:12:09Z</dcterms:created>
  <dcterms:modified xsi:type="dcterms:W3CDTF">2026-02-13T22:21:20Z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